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ugagagoubu\Dropbox\LOL\Spring Split 2018\Modell\BaiMuT_2.3\Monogoto-no-Thor-master\"/>
    </mc:Choice>
  </mc:AlternateContent>
  <xr:revisionPtr revIDLastSave="0" documentId="13_ncr:1_{CF45DF04-43B6-4845-BCD1-7DFB623AB1F3}" xr6:coauthVersionLast="33" xr6:coauthVersionMax="33" xr10:uidLastSave="{00000000-0000-0000-0000-000000000000}"/>
  <bookViews>
    <workbookView xWindow="255" yWindow="465" windowWidth="28725" windowHeight="17535" xr2:uid="{00000000-000D-0000-FFFF-FFFF00000000}"/>
  </bookViews>
  <sheets>
    <sheet name="Übersicht" sheetId="1" r:id="rId1"/>
  </sheets>
  <definedNames>
    <definedName name="UpdateRange">Übersicht!$P$159:$P$596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26" i="1" l="1"/>
  <c r="K626" i="1"/>
  <c r="L626" i="1"/>
  <c r="R626" i="1"/>
  <c r="I625" i="1"/>
  <c r="K625" i="1"/>
  <c r="L625" i="1"/>
  <c r="R625" i="1"/>
  <c r="I624" i="1"/>
  <c r="K624" i="1"/>
  <c r="L624" i="1"/>
  <c r="R624" i="1"/>
  <c r="I623" i="1"/>
  <c r="K623" i="1"/>
  <c r="L623" i="1"/>
  <c r="R623" i="1"/>
  <c r="I622" i="1"/>
  <c r="K622" i="1"/>
  <c r="L622" i="1"/>
  <c r="R622" i="1"/>
  <c r="I621" i="1"/>
  <c r="K621" i="1"/>
  <c r="L621" i="1"/>
  <c r="R621" i="1"/>
  <c r="I620" i="1"/>
  <c r="K620" i="1"/>
  <c r="L620" i="1"/>
  <c r="R620" i="1"/>
  <c r="I619" i="1"/>
  <c r="K619" i="1"/>
  <c r="L619" i="1"/>
  <c r="R619" i="1"/>
  <c r="I618" i="1"/>
  <c r="K618" i="1"/>
  <c r="L618" i="1"/>
  <c r="R618" i="1"/>
  <c r="I617" i="1"/>
  <c r="K617" i="1"/>
  <c r="L617" i="1"/>
  <c r="R617" i="1"/>
  <c r="J596" i="1"/>
  <c r="L596" i="1"/>
  <c r="R596" i="1"/>
  <c r="J595" i="1"/>
  <c r="L595" i="1"/>
  <c r="R595" i="1"/>
  <c r="J594" i="1"/>
  <c r="L594" i="1"/>
  <c r="R594" i="1"/>
  <c r="J593" i="1"/>
  <c r="L593" i="1"/>
  <c r="R593" i="1"/>
  <c r="J592" i="1"/>
  <c r="L592" i="1"/>
  <c r="R592" i="1"/>
  <c r="J591" i="1"/>
  <c r="L591" i="1"/>
  <c r="R591" i="1"/>
  <c r="J590" i="1"/>
  <c r="L590" i="1"/>
  <c r="R590" i="1"/>
  <c r="J589" i="1"/>
  <c r="L589" i="1"/>
  <c r="R589" i="1"/>
  <c r="J588" i="1"/>
  <c r="L588" i="1"/>
  <c r="R588" i="1"/>
  <c r="J587" i="1"/>
  <c r="L587" i="1"/>
  <c r="R587" i="1"/>
  <c r="J582" i="1"/>
  <c r="L582" i="1"/>
  <c r="I582" i="1"/>
  <c r="K582" i="1"/>
  <c r="M582" i="1"/>
  <c r="R582" i="1"/>
  <c r="J581" i="1"/>
  <c r="L581" i="1"/>
  <c r="I581" i="1"/>
  <c r="K581" i="1"/>
  <c r="M581" i="1"/>
  <c r="R581" i="1"/>
  <c r="J580" i="1"/>
  <c r="L580" i="1"/>
  <c r="I580" i="1"/>
  <c r="K580" i="1"/>
  <c r="M580" i="1"/>
  <c r="R580" i="1"/>
  <c r="J579" i="1"/>
  <c r="L579" i="1"/>
  <c r="I579" i="1"/>
  <c r="K579" i="1"/>
  <c r="M579" i="1"/>
  <c r="R579" i="1"/>
  <c r="J578" i="1"/>
  <c r="L578" i="1"/>
  <c r="I578" i="1"/>
  <c r="K578" i="1"/>
  <c r="M578" i="1"/>
  <c r="R578" i="1"/>
  <c r="J577" i="1"/>
  <c r="L577" i="1"/>
  <c r="I577" i="1"/>
  <c r="K577" i="1"/>
  <c r="M577" i="1"/>
  <c r="R577" i="1"/>
  <c r="J576" i="1"/>
  <c r="L576" i="1"/>
  <c r="I576" i="1"/>
  <c r="K576" i="1"/>
  <c r="M576" i="1"/>
  <c r="R576" i="1"/>
  <c r="J575" i="1"/>
  <c r="L575" i="1"/>
  <c r="I575" i="1"/>
  <c r="K575" i="1"/>
  <c r="M575" i="1"/>
  <c r="R575" i="1"/>
  <c r="J574" i="1"/>
  <c r="L574" i="1"/>
  <c r="I574" i="1"/>
  <c r="K574" i="1"/>
  <c r="M574" i="1"/>
  <c r="R574" i="1"/>
  <c r="J573" i="1"/>
  <c r="L573" i="1"/>
  <c r="I573" i="1"/>
  <c r="K573" i="1"/>
  <c r="M573" i="1"/>
  <c r="R573" i="1"/>
  <c r="J568" i="1"/>
  <c r="L568" i="1"/>
  <c r="I568" i="1"/>
  <c r="K568" i="1"/>
  <c r="M568" i="1"/>
  <c r="R568" i="1"/>
  <c r="J567" i="1"/>
  <c r="L567" i="1"/>
  <c r="I567" i="1"/>
  <c r="K567" i="1"/>
  <c r="M567" i="1"/>
  <c r="R567" i="1"/>
  <c r="J566" i="1"/>
  <c r="L566" i="1"/>
  <c r="I566" i="1"/>
  <c r="K566" i="1"/>
  <c r="M566" i="1"/>
  <c r="R566" i="1"/>
  <c r="J565" i="1"/>
  <c r="L565" i="1"/>
  <c r="I565" i="1"/>
  <c r="K565" i="1"/>
  <c r="M565" i="1"/>
  <c r="R565" i="1"/>
  <c r="J564" i="1"/>
  <c r="L564" i="1"/>
  <c r="I564" i="1"/>
  <c r="K564" i="1"/>
  <c r="M564" i="1"/>
  <c r="R564" i="1"/>
  <c r="J563" i="1"/>
  <c r="L563" i="1"/>
  <c r="I563" i="1"/>
  <c r="K563" i="1"/>
  <c r="M563" i="1"/>
  <c r="R563" i="1"/>
  <c r="J562" i="1"/>
  <c r="L562" i="1"/>
  <c r="I562" i="1"/>
  <c r="K562" i="1"/>
  <c r="M562" i="1"/>
  <c r="R562" i="1"/>
  <c r="J561" i="1"/>
  <c r="L561" i="1"/>
  <c r="I561" i="1"/>
  <c r="K561" i="1"/>
  <c r="M561" i="1"/>
  <c r="R561" i="1"/>
  <c r="J560" i="1"/>
  <c r="L560" i="1"/>
  <c r="I560" i="1"/>
  <c r="K560" i="1"/>
  <c r="M560" i="1"/>
  <c r="R560" i="1"/>
  <c r="J559" i="1"/>
  <c r="L559" i="1"/>
  <c r="I559" i="1"/>
  <c r="K559" i="1"/>
  <c r="M559" i="1"/>
  <c r="R559" i="1"/>
  <c r="J554" i="1"/>
  <c r="L554" i="1"/>
  <c r="I554" i="1"/>
  <c r="K554" i="1"/>
  <c r="M554" i="1"/>
  <c r="R554" i="1"/>
  <c r="J553" i="1"/>
  <c r="L553" i="1"/>
  <c r="I553" i="1"/>
  <c r="K553" i="1"/>
  <c r="M553" i="1"/>
  <c r="R553" i="1"/>
  <c r="J552" i="1"/>
  <c r="L552" i="1"/>
  <c r="I552" i="1"/>
  <c r="K552" i="1"/>
  <c r="M552" i="1"/>
  <c r="R552" i="1"/>
  <c r="J551" i="1"/>
  <c r="L551" i="1"/>
  <c r="I551" i="1"/>
  <c r="K551" i="1"/>
  <c r="M551" i="1"/>
  <c r="R551" i="1"/>
  <c r="J550" i="1"/>
  <c r="L550" i="1"/>
  <c r="I550" i="1"/>
  <c r="K550" i="1"/>
  <c r="M550" i="1"/>
  <c r="R550" i="1"/>
  <c r="J549" i="1"/>
  <c r="L549" i="1"/>
  <c r="I549" i="1"/>
  <c r="K549" i="1"/>
  <c r="M549" i="1"/>
  <c r="R549" i="1"/>
  <c r="J548" i="1"/>
  <c r="L548" i="1"/>
  <c r="I548" i="1"/>
  <c r="K548" i="1"/>
  <c r="M548" i="1"/>
  <c r="R548" i="1"/>
  <c r="J547" i="1"/>
  <c r="L547" i="1"/>
  <c r="I547" i="1"/>
  <c r="K547" i="1"/>
  <c r="M547" i="1"/>
  <c r="R547" i="1"/>
  <c r="J546" i="1"/>
  <c r="L546" i="1"/>
  <c r="I546" i="1"/>
  <c r="K546" i="1"/>
  <c r="M546" i="1"/>
  <c r="R546" i="1"/>
  <c r="J545" i="1"/>
  <c r="L545" i="1"/>
  <c r="I545" i="1"/>
  <c r="K545" i="1"/>
  <c r="M545" i="1"/>
  <c r="R545" i="1"/>
  <c r="J540" i="1"/>
  <c r="L540" i="1"/>
  <c r="I540" i="1"/>
  <c r="K540" i="1"/>
  <c r="M540" i="1"/>
  <c r="R540" i="1"/>
  <c r="J539" i="1"/>
  <c r="L539" i="1"/>
  <c r="I539" i="1"/>
  <c r="K539" i="1"/>
  <c r="M539" i="1"/>
  <c r="R539" i="1"/>
  <c r="J538" i="1"/>
  <c r="L538" i="1"/>
  <c r="I538" i="1"/>
  <c r="K538" i="1"/>
  <c r="M538" i="1"/>
  <c r="R538" i="1"/>
  <c r="J537" i="1"/>
  <c r="L537" i="1"/>
  <c r="I537" i="1"/>
  <c r="K537" i="1"/>
  <c r="M537" i="1"/>
  <c r="R537" i="1"/>
  <c r="J536" i="1"/>
  <c r="L536" i="1"/>
  <c r="I536" i="1"/>
  <c r="K536" i="1"/>
  <c r="M536" i="1"/>
  <c r="R536" i="1"/>
  <c r="J535" i="1"/>
  <c r="L535" i="1"/>
  <c r="I535" i="1"/>
  <c r="K535" i="1"/>
  <c r="M535" i="1"/>
  <c r="R535" i="1"/>
  <c r="J534" i="1"/>
  <c r="L534" i="1"/>
  <c r="I534" i="1"/>
  <c r="K534" i="1"/>
  <c r="M534" i="1"/>
  <c r="R534" i="1"/>
  <c r="J533" i="1"/>
  <c r="L533" i="1"/>
  <c r="I533" i="1"/>
  <c r="K533" i="1"/>
  <c r="M533" i="1"/>
  <c r="R533" i="1"/>
  <c r="J532" i="1"/>
  <c r="L532" i="1"/>
  <c r="I532" i="1"/>
  <c r="K532" i="1"/>
  <c r="M532" i="1"/>
  <c r="R532" i="1"/>
  <c r="J531" i="1"/>
  <c r="L531" i="1"/>
  <c r="I531" i="1"/>
  <c r="K531" i="1"/>
  <c r="M531" i="1"/>
  <c r="R531" i="1"/>
  <c r="J526" i="1"/>
  <c r="L526" i="1"/>
  <c r="I526" i="1"/>
  <c r="K526" i="1"/>
  <c r="M526" i="1"/>
  <c r="R526" i="1"/>
  <c r="J525" i="1"/>
  <c r="L525" i="1"/>
  <c r="I525" i="1"/>
  <c r="K525" i="1"/>
  <c r="M525" i="1"/>
  <c r="R525" i="1"/>
  <c r="J524" i="1"/>
  <c r="L524" i="1"/>
  <c r="I524" i="1"/>
  <c r="K524" i="1"/>
  <c r="M524" i="1"/>
  <c r="R524" i="1"/>
  <c r="J523" i="1"/>
  <c r="L523" i="1"/>
  <c r="I523" i="1"/>
  <c r="K523" i="1"/>
  <c r="M523" i="1"/>
  <c r="R523" i="1"/>
  <c r="J522" i="1"/>
  <c r="L522" i="1"/>
  <c r="I522" i="1"/>
  <c r="K522" i="1"/>
  <c r="M522" i="1"/>
  <c r="R522" i="1"/>
  <c r="J521" i="1"/>
  <c r="L521" i="1"/>
  <c r="I521" i="1"/>
  <c r="K521" i="1"/>
  <c r="M521" i="1"/>
  <c r="R521" i="1"/>
  <c r="J520" i="1"/>
  <c r="L520" i="1"/>
  <c r="I520" i="1"/>
  <c r="K520" i="1"/>
  <c r="M520" i="1"/>
  <c r="R520" i="1"/>
  <c r="J519" i="1"/>
  <c r="L519" i="1"/>
  <c r="I519" i="1"/>
  <c r="K519" i="1"/>
  <c r="M519" i="1"/>
  <c r="R519" i="1"/>
  <c r="J518" i="1"/>
  <c r="L518" i="1"/>
  <c r="I518" i="1"/>
  <c r="K518" i="1"/>
  <c r="M518" i="1"/>
  <c r="R518" i="1"/>
  <c r="J517" i="1"/>
  <c r="L517" i="1"/>
  <c r="I517" i="1"/>
  <c r="K517" i="1"/>
  <c r="M517" i="1"/>
  <c r="R517" i="1"/>
  <c r="J512" i="1"/>
  <c r="L512" i="1"/>
  <c r="I512" i="1"/>
  <c r="K512" i="1"/>
  <c r="M512" i="1"/>
  <c r="R512" i="1"/>
  <c r="J511" i="1"/>
  <c r="L511" i="1"/>
  <c r="I511" i="1"/>
  <c r="K511" i="1"/>
  <c r="M511" i="1"/>
  <c r="R511" i="1"/>
  <c r="J510" i="1"/>
  <c r="L510" i="1"/>
  <c r="I510" i="1"/>
  <c r="K510" i="1"/>
  <c r="M510" i="1"/>
  <c r="R510" i="1"/>
  <c r="J509" i="1"/>
  <c r="L509" i="1"/>
  <c r="I509" i="1"/>
  <c r="K509" i="1"/>
  <c r="M509" i="1"/>
  <c r="R509" i="1"/>
  <c r="J508" i="1"/>
  <c r="L508" i="1"/>
  <c r="I508" i="1"/>
  <c r="K508" i="1"/>
  <c r="M508" i="1"/>
  <c r="R508" i="1"/>
  <c r="J507" i="1"/>
  <c r="L507" i="1"/>
  <c r="I507" i="1"/>
  <c r="K507" i="1"/>
  <c r="M507" i="1"/>
  <c r="R507" i="1"/>
  <c r="J506" i="1"/>
  <c r="L506" i="1"/>
  <c r="I506" i="1"/>
  <c r="K506" i="1"/>
  <c r="M506" i="1"/>
  <c r="R506" i="1"/>
  <c r="J505" i="1"/>
  <c r="L505" i="1"/>
  <c r="I505" i="1"/>
  <c r="K505" i="1"/>
  <c r="M505" i="1"/>
  <c r="R505" i="1"/>
  <c r="J504" i="1"/>
  <c r="L504" i="1"/>
  <c r="I504" i="1"/>
  <c r="K504" i="1"/>
  <c r="M504" i="1"/>
  <c r="R504" i="1"/>
  <c r="J503" i="1"/>
  <c r="L503" i="1"/>
  <c r="I503" i="1"/>
  <c r="K503" i="1"/>
  <c r="M503" i="1"/>
  <c r="R503" i="1"/>
  <c r="J498" i="1"/>
  <c r="L498" i="1"/>
  <c r="R498" i="1"/>
  <c r="J497" i="1"/>
  <c r="L497" i="1"/>
  <c r="R497" i="1"/>
  <c r="J496" i="1"/>
  <c r="L496" i="1"/>
  <c r="R496" i="1"/>
  <c r="J495" i="1"/>
  <c r="L495" i="1"/>
  <c r="R495" i="1"/>
  <c r="J494" i="1"/>
  <c r="L494" i="1"/>
  <c r="R494" i="1"/>
  <c r="J493" i="1"/>
  <c r="L493" i="1"/>
  <c r="R493" i="1"/>
  <c r="J492" i="1"/>
  <c r="L492" i="1"/>
  <c r="R492" i="1"/>
  <c r="J491" i="1"/>
  <c r="L491" i="1"/>
  <c r="R491" i="1"/>
  <c r="J490" i="1"/>
  <c r="L490" i="1"/>
  <c r="R490" i="1"/>
  <c r="J489" i="1"/>
  <c r="L489" i="1"/>
  <c r="R489" i="1"/>
  <c r="F484" i="1"/>
  <c r="J484" i="1"/>
  <c r="I484" i="1"/>
  <c r="K484" i="1"/>
  <c r="L484" i="1"/>
  <c r="M484" i="1"/>
  <c r="R484" i="1"/>
  <c r="F483" i="1"/>
  <c r="J483" i="1"/>
  <c r="I483" i="1"/>
  <c r="K483" i="1"/>
  <c r="L483" i="1"/>
  <c r="M483" i="1"/>
  <c r="R483" i="1"/>
  <c r="F482" i="1"/>
  <c r="J482" i="1"/>
  <c r="I482" i="1"/>
  <c r="K482" i="1"/>
  <c r="L482" i="1"/>
  <c r="M482" i="1"/>
  <c r="R482" i="1"/>
  <c r="F481" i="1"/>
  <c r="J481" i="1"/>
  <c r="I481" i="1"/>
  <c r="K481" i="1"/>
  <c r="L481" i="1"/>
  <c r="M481" i="1"/>
  <c r="R481" i="1"/>
  <c r="F480" i="1"/>
  <c r="J480" i="1"/>
  <c r="I480" i="1"/>
  <c r="K480" i="1"/>
  <c r="L480" i="1"/>
  <c r="M480" i="1"/>
  <c r="R480" i="1"/>
  <c r="F479" i="1"/>
  <c r="J479" i="1"/>
  <c r="I479" i="1"/>
  <c r="K479" i="1"/>
  <c r="L479" i="1"/>
  <c r="M479" i="1"/>
  <c r="R479" i="1"/>
  <c r="F478" i="1"/>
  <c r="J478" i="1"/>
  <c r="I478" i="1"/>
  <c r="K478" i="1"/>
  <c r="L478" i="1"/>
  <c r="M478" i="1"/>
  <c r="R478" i="1"/>
  <c r="F477" i="1"/>
  <c r="J477" i="1"/>
  <c r="I477" i="1"/>
  <c r="K477" i="1"/>
  <c r="L477" i="1"/>
  <c r="M477" i="1"/>
  <c r="R477" i="1"/>
  <c r="F476" i="1"/>
  <c r="J476" i="1"/>
  <c r="I476" i="1"/>
  <c r="K476" i="1"/>
  <c r="L476" i="1"/>
  <c r="M476" i="1"/>
  <c r="R476" i="1"/>
  <c r="F475" i="1"/>
  <c r="J475" i="1"/>
  <c r="I475" i="1"/>
  <c r="K475" i="1"/>
  <c r="L475" i="1"/>
  <c r="M475" i="1"/>
  <c r="R475" i="1"/>
  <c r="F470" i="1"/>
  <c r="J470" i="1"/>
  <c r="I470" i="1"/>
  <c r="K470" i="1"/>
  <c r="L470" i="1"/>
  <c r="M470" i="1"/>
  <c r="R470" i="1"/>
  <c r="F469" i="1"/>
  <c r="J469" i="1"/>
  <c r="I469" i="1"/>
  <c r="K469" i="1"/>
  <c r="L469" i="1"/>
  <c r="M469" i="1"/>
  <c r="R469" i="1"/>
  <c r="F468" i="1"/>
  <c r="J468" i="1"/>
  <c r="I468" i="1"/>
  <c r="K468" i="1"/>
  <c r="L468" i="1"/>
  <c r="M468" i="1"/>
  <c r="R468" i="1"/>
  <c r="F467" i="1"/>
  <c r="J467" i="1"/>
  <c r="I467" i="1"/>
  <c r="K467" i="1"/>
  <c r="L467" i="1"/>
  <c r="M467" i="1"/>
  <c r="R467" i="1"/>
  <c r="F466" i="1"/>
  <c r="J466" i="1"/>
  <c r="I466" i="1"/>
  <c r="K466" i="1"/>
  <c r="L466" i="1"/>
  <c r="M466" i="1"/>
  <c r="R466" i="1"/>
  <c r="F465" i="1"/>
  <c r="J465" i="1"/>
  <c r="I465" i="1"/>
  <c r="K465" i="1"/>
  <c r="L465" i="1"/>
  <c r="M465" i="1"/>
  <c r="R465" i="1"/>
  <c r="F464" i="1"/>
  <c r="J464" i="1"/>
  <c r="I464" i="1"/>
  <c r="K464" i="1"/>
  <c r="L464" i="1"/>
  <c r="M464" i="1"/>
  <c r="R464" i="1"/>
  <c r="F463" i="1"/>
  <c r="J463" i="1"/>
  <c r="I463" i="1"/>
  <c r="K463" i="1"/>
  <c r="L463" i="1"/>
  <c r="M463" i="1"/>
  <c r="R463" i="1"/>
  <c r="F462" i="1"/>
  <c r="J462" i="1"/>
  <c r="I462" i="1"/>
  <c r="K462" i="1"/>
  <c r="L462" i="1"/>
  <c r="M462" i="1"/>
  <c r="R462" i="1"/>
  <c r="F461" i="1"/>
  <c r="J461" i="1"/>
  <c r="I461" i="1"/>
  <c r="K461" i="1"/>
  <c r="L461" i="1"/>
  <c r="M461" i="1"/>
  <c r="R461" i="1"/>
  <c r="J440" i="1"/>
  <c r="L440" i="1"/>
  <c r="R440" i="1"/>
  <c r="J439" i="1"/>
  <c r="L439" i="1"/>
  <c r="R439" i="1"/>
  <c r="J438" i="1"/>
  <c r="L438" i="1"/>
  <c r="R438" i="1"/>
  <c r="J437" i="1"/>
  <c r="L437" i="1"/>
  <c r="R437" i="1"/>
  <c r="J436" i="1"/>
  <c r="L436" i="1"/>
  <c r="R436" i="1"/>
  <c r="J435" i="1"/>
  <c r="L435" i="1"/>
  <c r="R435" i="1"/>
  <c r="J434" i="1"/>
  <c r="L434" i="1"/>
  <c r="R434" i="1"/>
  <c r="J433" i="1"/>
  <c r="L433" i="1"/>
  <c r="R433" i="1"/>
  <c r="J432" i="1"/>
  <c r="L432" i="1"/>
  <c r="R432" i="1"/>
  <c r="J431" i="1"/>
  <c r="L431" i="1"/>
  <c r="R431" i="1"/>
  <c r="J426" i="1"/>
  <c r="L426" i="1"/>
  <c r="I426" i="1"/>
  <c r="K426" i="1"/>
  <c r="M426" i="1"/>
  <c r="R426" i="1"/>
  <c r="J425" i="1"/>
  <c r="L425" i="1"/>
  <c r="I425" i="1"/>
  <c r="K425" i="1"/>
  <c r="M425" i="1"/>
  <c r="R425" i="1"/>
  <c r="J424" i="1"/>
  <c r="L424" i="1"/>
  <c r="I424" i="1"/>
  <c r="K424" i="1"/>
  <c r="M424" i="1"/>
  <c r="R424" i="1"/>
  <c r="J423" i="1"/>
  <c r="L423" i="1"/>
  <c r="I423" i="1"/>
  <c r="K423" i="1"/>
  <c r="M423" i="1"/>
  <c r="R423" i="1"/>
  <c r="J422" i="1"/>
  <c r="L422" i="1"/>
  <c r="I422" i="1"/>
  <c r="K422" i="1"/>
  <c r="M422" i="1"/>
  <c r="R422" i="1"/>
  <c r="J421" i="1"/>
  <c r="L421" i="1"/>
  <c r="I421" i="1"/>
  <c r="K421" i="1"/>
  <c r="M421" i="1"/>
  <c r="R421" i="1"/>
  <c r="J420" i="1"/>
  <c r="L420" i="1"/>
  <c r="I420" i="1"/>
  <c r="K420" i="1"/>
  <c r="M420" i="1"/>
  <c r="R420" i="1"/>
  <c r="J419" i="1"/>
  <c r="L419" i="1"/>
  <c r="I419" i="1"/>
  <c r="K419" i="1"/>
  <c r="M419" i="1"/>
  <c r="R419" i="1"/>
  <c r="J418" i="1"/>
  <c r="L418" i="1"/>
  <c r="I418" i="1"/>
  <c r="K418" i="1"/>
  <c r="M418" i="1"/>
  <c r="R418" i="1"/>
  <c r="J417" i="1"/>
  <c r="L417" i="1"/>
  <c r="I417" i="1"/>
  <c r="K417" i="1"/>
  <c r="M417" i="1"/>
  <c r="R417" i="1"/>
  <c r="J412" i="1"/>
  <c r="L412" i="1"/>
  <c r="I412" i="1"/>
  <c r="K412" i="1"/>
  <c r="M412" i="1"/>
  <c r="R412" i="1"/>
  <c r="J411" i="1"/>
  <c r="L411" i="1"/>
  <c r="I411" i="1"/>
  <c r="K411" i="1"/>
  <c r="M411" i="1"/>
  <c r="R411" i="1"/>
  <c r="J410" i="1"/>
  <c r="L410" i="1"/>
  <c r="I410" i="1"/>
  <c r="K410" i="1"/>
  <c r="M410" i="1"/>
  <c r="R410" i="1"/>
  <c r="J409" i="1"/>
  <c r="L409" i="1"/>
  <c r="I409" i="1"/>
  <c r="K409" i="1"/>
  <c r="M409" i="1"/>
  <c r="R409" i="1"/>
  <c r="J408" i="1"/>
  <c r="L408" i="1"/>
  <c r="I408" i="1"/>
  <c r="K408" i="1"/>
  <c r="M408" i="1"/>
  <c r="R408" i="1"/>
  <c r="J407" i="1"/>
  <c r="L407" i="1"/>
  <c r="I407" i="1"/>
  <c r="K407" i="1"/>
  <c r="M407" i="1"/>
  <c r="R407" i="1"/>
  <c r="J406" i="1"/>
  <c r="L406" i="1"/>
  <c r="I406" i="1"/>
  <c r="K406" i="1"/>
  <c r="M406" i="1"/>
  <c r="R406" i="1"/>
  <c r="J405" i="1"/>
  <c r="L405" i="1"/>
  <c r="I405" i="1"/>
  <c r="K405" i="1"/>
  <c r="M405" i="1"/>
  <c r="R405" i="1"/>
  <c r="J404" i="1"/>
  <c r="L404" i="1"/>
  <c r="I404" i="1"/>
  <c r="K404" i="1"/>
  <c r="M404" i="1"/>
  <c r="R404" i="1"/>
  <c r="J403" i="1"/>
  <c r="L403" i="1"/>
  <c r="I403" i="1"/>
  <c r="K403" i="1"/>
  <c r="M403" i="1"/>
  <c r="R403" i="1"/>
  <c r="J398" i="1"/>
  <c r="L398" i="1"/>
  <c r="I398" i="1"/>
  <c r="K398" i="1"/>
  <c r="M398" i="1"/>
  <c r="R398" i="1"/>
  <c r="J397" i="1"/>
  <c r="L397" i="1"/>
  <c r="I397" i="1"/>
  <c r="K397" i="1"/>
  <c r="M397" i="1"/>
  <c r="R397" i="1"/>
  <c r="J396" i="1"/>
  <c r="L396" i="1"/>
  <c r="I396" i="1"/>
  <c r="K396" i="1"/>
  <c r="M396" i="1"/>
  <c r="R396" i="1"/>
  <c r="J395" i="1"/>
  <c r="L395" i="1"/>
  <c r="I395" i="1"/>
  <c r="K395" i="1"/>
  <c r="M395" i="1"/>
  <c r="R395" i="1"/>
  <c r="J394" i="1"/>
  <c r="L394" i="1"/>
  <c r="I394" i="1"/>
  <c r="K394" i="1"/>
  <c r="M394" i="1"/>
  <c r="R394" i="1"/>
  <c r="J393" i="1"/>
  <c r="L393" i="1"/>
  <c r="I393" i="1"/>
  <c r="K393" i="1"/>
  <c r="M393" i="1"/>
  <c r="R393" i="1"/>
  <c r="J392" i="1"/>
  <c r="L392" i="1"/>
  <c r="I392" i="1"/>
  <c r="K392" i="1"/>
  <c r="M392" i="1"/>
  <c r="R392" i="1"/>
  <c r="J391" i="1"/>
  <c r="L391" i="1"/>
  <c r="I391" i="1"/>
  <c r="K391" i="1"/>
  <c r="M391" i="1"/>
  <c r="R391" i="1"/>
  <c r="J390" i="1"/>
  <c r="L390" i="1"/>
  <c r="I390" i="1"/>
  <c r="K390" i="1"/>
  <c r="M390" i="1"/>
  <c r="R390" i="1"/>
  <c r="J389" i="1"/>
  <c r="L389" i="1"/>
  <c r="I389" i="1"/>
  <c r="K389" i="1"/>
  <c r="M389" i="1"/>
  <c r="R389" i="1"/>
  <c r="J384" i="1"/>
  <c r="L384" i="1"/>
  <c r="I384" i="1"/>
  <c r="K384" i="1"/>
  <c r="M384" i="1"/>
  <c r="R384" i="1"/>
  <c r="J383" i="1"/>
  <c r="L383" i="1"/>
  <c r="I383" i="1"/>
  <c r="K383" i="1"/>
  <c r="M383" i="1"/>
  <c r="R383" i="1"/>
  <c r="J382" i="1"/>
  <c r="L382" i="1"/>
  <c r="I382" i="1"/>
  <c r="K382" i="1"/>
  <c r="M382" i="1"/>
  <c r="R382" i="1"/>
  <c r="J381" i="1"/>
  <c r="L381" i="1"/>
  <c r="I381" i="1"/>
  <c r="K381" i="1"/>
  <c r="M381" i="1"/>
  <c r="R381" i="1"/>
  <c r="J380" i="1"/>
  <c r="L380" i="1"/>
  <c r="I380" i="1"/>
  <c r="K380" i="1"/>
  <c r="M380" i="1"/>
  <c r="R380" i="1"/>
  <c r="J379" i="1"/>
  <c r="L379" i="1"/>
  <c r="I379" i="1"/>
  <c r="K379" i="1"/>
  <c r="M379" i="1"/>
  <c r="R379" i="1"/>
  <c r="J378" i="1"/>
  <c r="L378" i="1"/>
  <c r="I378" i="1"/>
  <c r="K378" i="1"/>
  <c r="M378" i="1"/>
  <c r="R378" i="1"/>
  <c r="J377" i="1"/>
  <c r="L377" i="1"/>
  <c r="I377" i="1"/>
  <c r="K377" i="1"/>
  <c r="M377" i="1"/>
  <c r="R377" i="1"/>
  <c r="J376" i="1"/>
  <c r="L376" i="1"/>
  <c r="I376" i="1"/>
  <c r="K376" i="1"/>
  <c r="M376" i="1"/>
  <c r="R376" i="1"/>
  <c r="J375" i="1"/>
  <c r="L375" i="1"/>
  <c r="I375" i="1"/>
  <c r="K375" i="1"/>
  <c r="M375" i="1"/>
  <c r="R375" i="1"/>
  <c r="J370" i="1"/>
  <c r="L370" i="1"/>
  <c r="I370" i="1"/>
  <c r="K370" i="1"/>
  <c r="M370" i="1"/>
  <c r="R370" i="1"/>
  <c r="J369" i="1"/>
  <c r="L369" i="1"/>
  <c r="I369" i="1"/>
  <c r="K369" i="1"/>
  <c r="M369" i="1"/>
  <c r="R369" i="1"/>
  <c r="J368" i="1"/>
  <c r="L368" i="1"/>
  <c r="I368" i="1"/>
  <c r="K368" i="1"/>
  <c r="M368" i="1"/>
  <c r="R368" i="1"/>
  <c r="J367" i="1"/>
  <c r="L367" i="1"/>
  <c r="I367" i="1"/>
  <c r="K367" i="1"/>
  <c r="M367" i="1"/>
  <c r="R367" i="1"/>
  <c r="J366" i="1"/>
  <c r="L366" i="1"/>
  <c r="I366" i="1"/>
  <c r="K366" i="1"/>
  <c r="M366" i="1"/>
  <c r="R366" i="1"/>
  <c r="J365" i="1"/>
  <c r="L365" i="1"/>
  <c r="I365" i="1"/>
  <c r="K365" i="1"/>
  <c r="M365" i="1"/>
  <c r="R365" i="1"/>
  <c r="J364" i="1"/>
  <c r="L364" i="1"/>
  <c r="I364" i="1"/>
  <c r="K364" i="1"/>
  <c r="M364" i="1"/>
  <c r="R364" i="1"/>
  <c r="J363" i="1"/>
  <c r="L363" i="1"/>
  <c r="I363" i="1"/>
  <c r="K363" i="1"/>
  <c r="M363" i="1"/>
  <c r="R363" i="1"/>
  <c r="J362" i="1"/>
  <c r="L362" i="1"/>
  <c r="I362" i="1"/>
  <c r="K362" i="1"/>
  <c r="M362" i="1"/>
  <c r="R362" i="1"/>
  <c r="J361" i="1"/>
  <c r="L361" i="1"/>
  <c r="I361" i="1"/>
  <c r="K361" i="1"/>
  <c r="M361" i="1"/>
  <c r="R361" i="1"/>
  <c r="J356" i="1"/>
  <c r="L356" i="1"/>
  <c r="I356" i="1"/>
  <c r="K356" i="1"/>
  <c r="M356" i="1"/>
  <c r="R356" i="1"/>
  <c r="J355" i="1"/>
  <c r="L355" i="1"/>
  <c r="I355" i="1"/>
  <c r="K355" i="1"/>
  <c r="M355" i="1"/>
  <c r="R355" i="1"/>
  <c r="J354" i="1"/>
  <c r="L354" i="1"/>
  <c r="I354" i="1"/>
  <c r="K354" i="1"/>
  <c r="M354" i="1"/>
  <c r="R354" i="1"/>
  <c r="J353" i="1"/>
  <c r="L353" i="1"/>
  <c r="I353" i="1"/>
  <c r="K353" i="1"/>
  <c r="M353" i="1"/>
  <c r="R353" i="1"/>
  <c r="J352" i="1"/>
  <c r="L352" i="1"/>
  <c r="I352" i="1"/>
  <c r="K352" i="1"/>
  <c r="M352" i="1"/>
  <c r="R352" i="1"/>
  <c r="J351" i="1"/>
  <c r="L351" i="1"/>
  <c r="I351" i="1"/>
  <c r="K351" i="1"/>
  <c r="M351" i="1"/>
  <c r="R351" i="1"/>
  <c r="J350" i="1"/>
  <c r="L350" i="1"/>
  <c r="I350" i="1"/>
  <c r="K350" i="1"/>
  <c r="M350" i="1"/>
  <c r="R350" i="1"/>
  <c r="J349" i="1"/>
  <c r="L349" i="1"/>
  <c r="I349" i="1"/>
  <c r="K349" i="1"/>
  <c r="M349" i="1"/>
  <c r="R349" i="1"/>
  <c r="J348" i="1"/>
  <c r="L348" i="1"/>
  <c r="I348" i="1"/>
  <c r="K348" i="1"/>
  <c r="M348" i="1"/>
  <c r="R348" i="1"/>
  <c r="J347" i="1"/>
  <c r="L347" i="1"/>
  <c r="I347" i="1"/>
  <c r="K347" i="1"/>
  <c r="M347" i="1"/>
  <c r="R347" i="1"/>
  <c r="F342" i="1"/>
  <c r="J342" i="1"/>
  <c r="I342" i="1"/>
  <c r="K342" i="1"/>
  <c r="L342" i="1"/>
  <c r="M342" i="1"/>
  <c r="R342" i="1"/>
  <c r="F341" i="1"/>
  <c r="J341" i="1"/>
  <c r="I341" i="1"/>
  <c r="K341" i="1"/>
  <c r="L341" i="1"/>
  <c r="M341" i="1"/>
  <c r="R341" i="1"/>
  <c r="F340" i="1"/>
  <c r="J340" i="1"/>
  <c r="I340" i="1"/>
  <c r="K340" i="1"/>
  <c r="L340" i="1"/>
  <c r="M340" i="1"/>
  <c r="R340" i="1"/>
  <c r="F339" i="1"/>
  <c r="J339" i="1"/>
  <c r="I339" i="1"/>
  <c r="K339" i="1"/>
  <c r="L339" i="1"/>
  <c r="M339" i="1"/>
  <c r="R339" i="1"/>
  <c r="F338" i="1"/>
  <c r="J338" i="1"/>
  <c r="I338" i="1"/>
  <c r="K338" i="1"/>
  <c r="L338" i="1"/>
  <c r="M338" i="1"/>
  <c r="R338" i="1"/>
  <c r="F337" i="1"/>
  <c r="J337" i="1"/>
  <c r="I337" i="1"/>
  <c r="K337" i="1"/>
  <c r="L337" i="1"/>
  <c r="M337" i="1"/>
  <c r="R337" i="1"/>
  <c r="F336" i="1"/>
  <c r="J336" i="1"/>
  <c r="I336" i="1"/>
  <c r="K336" i="1"/>
  <c r="L336" i="1"/>
  <c r="M336" i="1"/>
  <c r="R336" i="1"/>
  <c r="F335" i="1"/>
  <c r="J335" i="1"/>
  <c r="I335" i="1"/>
  <c r="K335" i="1"/>
  <c r="L335" i="1"/>
  <c r="M335" i="1"/>
  <c r="R335" i="1"/>
  <c r="F334" i="1"/>
  <c r="J334" i="1"/>
  <c r="I334" i="1"/>
  <c r="K334" i="1"/>
  <c r="L334" i="1"/>
  <c r="M334" i="1"/>
  <c r="R334" i="1"/>
  <c r="F333" i="1"/>
  <c r="J333" i="1"/>
  <c r="I333" i="1"/>
  <c r="K333" i="1"/>
  <c r="L333" i="1"/>
  <c r="M333" i="1"/>
  <c r="R333" i="1"/>
  <c r="F328" i="1"/>
  <c r="J328" i="1"/>
  <c r="I328" i="1"/>
  <c r="K328" i="1"/>
  <c r="L328" i="1"/>
  <c r="M328" i="1"/>
  <c r="R328" i="1"/>
  <c r="F327" i="1"/>
  <c r="J327" i="1"/>
  <c r="I327" i="1"/>
  <c r="K327" i="1"/>
  <c r="L327" i="1"/>
  <c r="M327" i="1"/>
  <c r="R327" i="1"/>
  <c r="F326" i="1"/>
  <c r="J326" i="1"/>
  <c r="I326" i="1"/>
  <c r="K326" i="1"/>
  <c r="L326" i="1"/>
  <c r="M326" i="1"/>
  <c r="R326" i="1"/>
  <c r="F325" i="1"/>
  <c r="J325" i="1"/>
  <c r="I325" i="1"/>
  <c r="K325" i="1"/>
  <c r="L325" i="1"/>
  <c r="M325" i="1"/>
  <c r="R325" i="1"/>
  <c r="F324" i="1"/>
  <c r="J324" i="1"/>
  <c r="I324" i="1"/>
  <c r="K324" i="1"/>
  <c r="L324" i="1"/>
  <c r="M324" i="1"/>
  <c r="R324" i="1"/>
  <c r="F323" i="1"/>
  <c r="J323" i="1"/>
  <c r="I323" i="1"/>
  <c r="K323" i="1"/>
  <c r="L323" i="1"/>
  <c r="M323" i="1"/>
  <c r="R323" i="1"/>
  <c r="F322" i="1"/>
  <c r="J322" i="1"/>
  <c r="I322" i="1"/>
  <c r="K322" i="1"/>
  <c r="L322" i="1"/>
  <c r="M322" i="1"/>
  <c r="R322" i="1"/>
  <c r="F321" i="1"/>
  <c r="J321" i="1"/>
  <c r="I321" i="1"/>
  <c r="K321" i="1"/>
  <c r="L321" i="1"/>
  <c r="M321" i="1"/>
  <c r="R321" i="1"/>
  <c r="F320" i="1"/>
  <c r="J320" i="1"/>
  <c r="I320" i="1"/>
  <c r="K320" i="1"/>
  <c r="L320" i="1"/>
  <c r="M320" i="1"/>
  <c r="R320" i="1"/>
  <c r="F319" i="1"/>
  <c r="J319" i="1"/>
  <c r="I319" i="1"/>
  <c r="K319" i="1"/>
  <c r="L319" i="1"/>
  <c r="M319" i="1"/>
  <c r="R319" i="1"/>
  <c r="F314" i="1"/>
  <c r="J314" i="1"/>
  <c r="I314" i="1"/>
  <c r="K314" i="1"/>
  <c r="L314" i="1"/>
  <c r="M314" i="1"/>
  <c r="R314" i="1"/>
  <c r="F313" i="1"/>
  <c r="J313" i="1"/>
  <c r="I313" i="1"/>
  <c r="K313" i="1"/>
  <c r="L313" i="1"/>
  <c r="M313" i="1"/>
  <c r="R313" i="1"/>
  <c r="F312" i="1"/>
  <c r="J312" i="1"/>
  <c r="I312" i="1"/>
  <c r="K312" i="1"/>
  <c r="L312" i="1"/>
  <c r="M312" i="1"/>
  <c r="R312" i="1"/>
  <c r="F311" i="1"/>
  <c r="J311" i="1"/>
  <c r="I311" i="1"/>
  <c r="K311" i="1"/>
  <c r="L311" i="1"/>
  <c r="M311" i="1"/>
  <c r="R311" i="1"/>
  <c r="F310" i="1"/>
  <c r="J310" i="1"/>
  <c r="I310" i="1"/>
  <c r="K310" i="1"/>
  <c r="L310" i="1"/>
  <c r="M310" i="1"/>
  <c r="R310" i="1"/>
  <c r="F309" i="1"/>
  <c r="J309" i="1"/>
  <c r="I309" i="1"/>
  <c r="K309" i="1"/>
  <c r="L309" i="1"/>
  <c r="M309" i="1"/>
  <c r="R309" i="1"/>
  <c r="F308" i="1"/>
  <c r="J308" i="1"/>
  <c r="I308" i="1"/>
  <c r="K308" i="1"/>
  <c r="L308" i="1"/>
  <c r="M308" i="1"/>
  <c r="R308" i="1"/>
  <c r="F307" i="1"/>
  <c r="J307" i="1"/>
  <c r="I307" i="1"/>
  <c r="K307" i="1"/>
  <c r="L307" i="1"/>
  <c r="M307" i="1"/>
  <c r="R307" i="1"/>
  <c r="F306" i="1"/>
  <c r="J306" i="1"/>
  <c r="I306" i="1"/>
  <c r="K306" i="1"/>
  <c r="L306" i="1"/>
  <c r="M306" i="1"/>
  <c r="R306" i="1"/>
  <c r="F305" i="1"/>
  <c r="J305" i="1"/>
  <c r="I305" i="1"/>
  <c r="K305" i="1"/>
  <c r="L305" i="1"/>
  <c r="M305" i="1"/>
  <c r="R305" i="1"/>
  <c r="J284" i="1"/>
  <c r="L284" i="1"/>
  <c r="R284" i="1"/>
  <c r="J283" i="1"/>
  <c r="L283" i="1"/>
  <c r="R283" i="1"/>
  <c r="J282" i="1"/>
  <c r="L282" i="1"/>
  <c r="R282" i="1"/>
  <c r="J281" i="1"/>
  <c r="L281" i="1"/>
  <c r="R281" i="1"/>
  <c r="J280" i="1"/>
  <c r="L280" i="1"/>
  <c r="R280" i="1"/>
  <c r="J279" i="1"/>
  <c r="L279" i="1"/>
  <c r="R279" i="1"/>
  <c r="J278" i="1"/>
  <c r="L278" i="1"/>
  <c r="R278" i="1"/>
  <c r="J277" i="1"/>
  <c r="L277" i="1"/>
  <c r="R277" i="1"/>
  <c r="J276" i="1"/>
  <c r="L276" i="1"/>
  <c r="R276" i="1"/>
  <c r="J275" i="1"/>
  <c r="L275" i="1"/>
  <c r="R275" i="1"/>
  <c r="J270" i="1"/>
  <c r="L270" i="1"/>
  <c r="R270" i="1"/>
  <c r="J269" i="1"/>
  <c r="L269" i="1"/>
  <c r="R269" i="1"/>
  <c r="J268" i="1"/>
  <c r="L268" i="1"/>
  <c r="R268" i="1"/>
  <c r="J267" i="1"/>
  <c r="L267" i="1"/>
  <c r="R267" i="1"/>
  <c r="J266" i="1"/>
  <c r="L266" i="1"/>
  <c r="R266" i="1"/>
  <c r="J265" i="1"/>
  <c r="L265" i="1"/>
  <c r="R265" i="1"/>
  <c r="J264" i="1"/>
  <c r="L264" i="1"/>
  <c r="R264" i="1"/>
  <c r="J263" i="1"/>
  <c r="L263" i="1"/>
  <c r="R263" i="1"/>
  <c r="J262" i="1"/>
  <c r="L262" i="1"/>
  <c r="R262" i="1"/>
  <c r="J261" i="1"/>
  <c r="L261" i="1"/>
  <c r="R261" i="1"/>
  <c r="J256" i="1"/>
  <c r="L256" i="1"/>
  <c r="I256" i="1"/>
  <c r="K256" i="1"/>
  <c r="M256" i="1"/>
  <c r="R256" i="1"/>
  <c r="J255" i="1"/>
  <c r="L255" i="1"/>
  <c r="I255" i="1"/>
  <c r="K255" i="1"/>
  <c r="M255" i="1"/>
  <c r="R255" i="1"/>
  <c r="J254" i="1"/>
  <c r="L254" i="1"/>
  <c r="I254" i="1"/>
  <c r="K254" i="1"/>
  <c r="M254" i="1"/>
  <c r="R254" i="1"/>
  <c r="J253" i="1"/>
  <c r="L253" i="1"/>
  <c r="I253" i="1"/>
  <c r="K253" i="1"/>
  <c r="M253" i="1"/>
  <c r="R253" i="1"/>
  <c r="J252" i="1"/>
  <c r="L252" i="1"/>
  <c r="I252" i="1"/>
  <c r="K252" i="1"/>
  <c r="M252" i="1"/>
  <c r="R252" i="1"/>
  <c r="J251" i="1"/>
  <c r="L251" i="1"/>
  <c r="I251" i="1"/>
  <c r="K251" i="1"/>
  <c r="M251" i="1"/>
  <c r="R251" i="1"/>
  <c r="J250" i="1"/>
  <c r="L250" i="1"/>
  <c r="I250" i="1"/>
  <c r="K250" i="1"/>
  <c r="M250" i="1"/>
  <c r="R250" i="1"/>
  <c r="J249" i="1"/>
  <c r="L249" i="1"/>
  <c r="I249" i="1"/>
  <c r="K249" i="1"/>
  <c r="M249" i="1"/>
  <c r="R249" i="1"/>
  <c r="J248" i="1"/>
  <c r="L248" i="1"/>
  <c r="I248" i="1"/>
  <c r="K248" i="1"/>
  <c r="M248" i="1"/>
  <c r="R248" i="1"/>
  <c r="J247" i="1"/>
  <c r="L247" i="1"/>
  <c r="I247" i="1"/>
  <c r="K247" i="1"/>
  <c r="M247" i="1"/>
  <c r="R247" i="1"/>
  <c r="J242" i="1"/>
  <c r="L242" i="1"/>
  <c r="R242" i="1"/>
  <c r="J241" i="1"/>
  <c r="L241" i="1"/>
  <c r="R241" i="1"/>
  <c r="J240" i="1"/>
  <c r="L240" i="1"/>
  <c r="I240" i="1"/>
  <c r="K240" i="1"/>
  <c r="M240" i="1"/>
  <c r="R240" i="1"/>
  <c r="J239" i="1"/>
  <c r="L239" i="1"/>
  <c r="I239" i="1"/>
  <c r="K239" i="1"/>
  <c r="M239" i="1"/>
  <c r="R239" i="1"/>
  <c r="J238" i="1"/>
  <c r="L238" i="1"/>
  <c r="I238" i="1"/>
  <c r="K238" i="1"/>
  <c r="M238" i="1"/>
  <c r="R238" i="1"/>
  <c r="J237" i="1"/>
  <c r="L237" i="1"/>
  <c r="I237" i="1"/>
  <c r="K237" i="1"/>
  <c r="M237" i="1"/>
  <c r="R237" i="1"/>
  <c r="J236" i="1"/>
  <c r="L236" i="1"/>
  <c r="I236" i="1"/>
  <c r="K236" i="1"/>
  <c r="M236" i="1"/>
  <c r="R236" i="1"/>
  <c r="J235" i="1"/>
  <c r="L235" i="1"/>
  <c r="I235" i="1"/>
  <c r="K235" i="1"/>
  <c r="M235" i="1"/>
  <c r="R235" i="1"/>
  <c r="J234" i="1"/>
  <c r="L234" i="1"/>
  <c r="I234" i="1"/>
  <c r="K234" i="1"/>
  <c r="M234" i="1"/>
  <c r="R234" i="1"/>
  <c r="J233" i="1"/>
  <c r="L233" i="1"/>
  <c r="I233" i="1"/>
  <c r="K233" i="1"/>
  <c r="M233" i="1"/>
  <c r="R233" i="1"/>
  <c r="J228" i="1"/>
  <c r="L228" i="1"/>
  <c r="R228" i="1"/>
  <c r="J227" i="1"/>
  <c r="L227" i="1"/>
  <c r="R227" i="1"/>
  <c r="J226" i="1"/>
  <c r="L226" i="1"/>
  <c r="R226" i="1"/>
  <c r="J225" i="1"/>
  <c r="L225" i="1"/>
  <c r="R225" i="1"/>
  <c r="J224" i="1"/>
  <c r="L224" i="1"/>
  <c r="I224" i="1"/>
  <c r="K224" i="1"/>
  <c r="M224" i="1"/>
  <c r="R224" i="1"/>
  <c r="J223" i="1"/>
  <c r="L223" i="1"/>
  <c r="I223" i="1"/>
  <c r="K223" i="1"/>
  <c r="M223" i="1"/>
  <c r="R223" i="1"/>
  <c r="J222" i="1"/>
  <c r="L222" i="1"/>
  <c r="I222" i="1"/>
  <c r="K222" i="1"/>
  <c r="M222" i="1"/>
  <c r="R222" i="1"/>
  <c r="J221" i="1"/>
  <c r="L221" i="1"/>
  <c r="I221" i="1"/>
  <c r="K221" i="1"/>
  <c r="M221" i="1"/>
  <c r="R221" i="1"/>
  <c r="J220" i="1"/>
  <c r="L220" i="1"/>
  <c r="I220" i="1"/>
  <c r="K220" i="1"/>
  <c r="M220" i="1"/>
  <c r="R220" i="1"/>
  <c r="J219" i="1"/>
  <c r="L219" i="1"/>
  <c r="I219" i="1"/>
  <c r="K219" i="1"/>
  <c r="M219" i="1"/>
  <c r="R219" i="1"/>
  <c r="J214" i="1"/>
  <c r="L214" i="1"/>
  <c r="I214" i="1"/>
  <c r="K214" i="1"/>
  <c r="M214" i="1"/>
  <c r="R214" i="1"/>
  <c r="J213" i="1"/>
  <c r="L213" i="1"/>
  <c r="I213" i="1"/>
  <c r="K213" i="1"/>
  <c r="M213" i="1"/>
  <c r="R213" i="1"/>
  <c r="J212" i="1"/>
  <c r="L212" i="1"/>
  <c r="I212" i="1"/>
  <c r="K212" i="1"/>
  <c r="M212" i="1"/>
  <c r="R212" i="1"/>
  <c r="J211" i="1"/>
  <c r="L211" i="1"/>
  <c r="I211" i="1"/>
  <c r="K211" i="1"/>
  <c r="M211" i="1"/>
  <c r="R211" i="1"/>
  <c r="J210" i="1"/>
  <c r="L210" i="1"/>
  <c r="I210" i="1"/>
  <c r="K210" i="1"/>
  <c r="M210" i="1"/>
  <c r="R210" i="1"/>
  <c r="J209" i="1"/>
  <c r="L209" i="1"/>
  <c r="I209" i="1"/>
  <c r="K209" i="1"/>
  <c r="M209" i="1"/>
  <c r="R209" i="1"/>
  <c r="J208" i="1"/>
  <c r="L208" i="1"/>
  <c r="I208" i="1"/>
  <c r="K208" i="1"/>
  <c r="M208" i="1"/>
  <c r="R208" i="1"/>
  <c r="J207" i="1"/>
  <c r="L207" i="1"/>
  <c r="I207" i="1"/>
  <c r="K207" i="1"/>
  <c r="M207" i="1"/>
  <c r="R207" i="1"/>
  <c r="J206" i="1"/>
  <c r="L206" i="1"/>
  <c r="I206" i="1"/>
  <c r="K206" i="1"/>
  <c r="M206" i="1"/>
  <c r="R206" i="1"/>
  <c r="J205" i="1"/>
  <c r="L205" i="1"/>
  <c r="I205" i="1"/>
  <c r="K205" i="1"/>
  <c r="M205" i="1"/>
  <c r="R205" i="1"/>
  <c r="J200" i="1"/>
  <c r="L200" i="1"/>
  <c r="I200" i="1"/>
  <c r="K200" i="1"/>
  <c r="M200" i="1"/>
  <c r="R200" i="1"/>
  <c r="J199" i="1"/>
  <c r="L199" i="1"/>
  <c r="I199" i="1"/>
  <c r="K199" i="1"/>
  <c r="M199" i="1"/>
  <c r="R199" i="1"/>
  <c r="J198" i="1"/>
  <c r="L198" i="1"/>
  <c r="I198" i="1"/>
  <c r="K198" i="1"/>
  <c r="M198" i="1"/>
  <c r="R198" i="1"/>
  <c r="J197" i="1"/>
  <c r="L197" i="1"/>
  <c r="I197" i="1"/>
  <c r="K197" i="1"/>
  <c r="M197" i="1"/>
  <c r="R197" i="1"/>
  <c r="J196" i="1"/>
  <c r="L196" i="1"/>
  <c r="I196" i="1"/>
  <c r="K196" i="1"/>
  <c r="M196" i="1"/>
  <c r="R196" i="1"/>
  <c r="J195" i="1"/>
  <c r="L195" i="1"/>
  <c r="I195" i="1"/>
  <c r="K195" i="1"/>
  <c r="M195" i="1"/>
  <c r="R195" i="1"/>
  <c r="J194" i="1"/>
  <c r="L194" i="1"/>
  <c r="I194" i="1"/>
  <c r="K194" i="1"/>
  <c r="M194" i="1"/>
  <c r="R194" i="1"/>
  <c r="J193" i="1"/>
  <c r="L193" i="1"/>
  <c r="I193" i="1"/>
  <c r="K193" i="1"/>
  <c r="M193" i="1"/>
  <c r="R193" i="1"/>
  <c r="J192" i="1"/>
  <c r="L192" i="1"/>
  <c r="I192" i="1"/>
  <c r="K192" i="1"/>
  <c r="M192" i="1"/>
  <c r="R192" i="1"/>
  <c r="J191" i="1"/>
  <c r="L191" i="1"/>
  <c r="I191" i="1"/>
  <c r="K191" i="1"/>
  <c r="M191" i="1"/>
  <c r="R191" i="1"/>
  <c r="F186" i="1"/>
  <c r="J186" i="1"/>
  <c r="I186" i="1"/>
  <c r="K186" i="1"/>
  <c r="L186" i="1"/>
  <c r="M186" i="1"/>
  <c r="R186" i="1"/>
  <c r="F185" i="1"/>
  <c r="J185" i="1"/>
  <c r="I185" i="1"/>
  <c r="K185" i="1"/>
  <c r="L185" i="1"/>
  <c r="M185" i="1"/>
  <c r="R185" i="1"/>
  <c r="F184" i="1"/>
  <c r="J184" i="1"/>
  <c r="I184" i="1"/>
  <c r="K184" i="1"/>
  <c r="L184" i="1"/>
  <c r="M184" i="1"/>
  <c r="R184" i="1"/>
  <c r="F183" i="1"/>
  <c r="J183" i="1"/>
  <c r="I183" i="1"/>
  <c r="K183" i="1"/>
  <c r="L183" i="1"/>
  <c r="M183" i="1"/>
  <c r="R183" i="1"/>
  <c r="F182" i="1"/>
  <c r="J182" i="1"/>
  <c r="I182" i="1"/>
  <c r="K182" i="1"/>
  <c r="L182" i="1"/>
  <c r="M182" i="1"/>
  <c r="R182" i="1"/>
  <c r="F181" i="1"/>
  <c r="J181" i="1"/>
  <c r="I181" i="1"/>
  <c r="K181" i="1"/>
  <c r="L181" i="1"/>
  <c r="M181" i="1"/>
  <c r="R181" i="1"/>
  <c r="F180" i="1"/>
  <c r="J180" i="1"/>
  <c r="I180" i="1"/>
  <c r="K180" i="1"/>
  <c r="L180" i="1"/>
  <c r="M180" i="1"/>
  <c r="R180" i="1"/>
  <c r="F179" i="1"/>
  <c r="J179" i="1"/>
  <c r="I179" i="1"/>
  <c r="K179" i="1"/>
  <c r="L179" i="1"/>
  <c r="M179" i="1"/>
  <c r="R179" i="1"/>
  <c r="F178" i="1"/>
  <c r="J178" i="1"/>
  <c r="I178" i="1"/>
  <c r="K178" i="1"/>
  <c r="L178" i="1"/>
  <c r="M178" i="1"/>
  <c r="R178" i="1"/>
  <c r="F177" i="1"/>
  <c r="J177" i="1"/>
  <c r="I177" i="1"/>
  <c r="K177" i="1"/>
  <c r="L177" i="1"/>
  <c r="M177" i="1"/>
  <c r="R177" i="1"/>
  <c r="I163" i="1"/>
  <c r="F163" i="1"/>
  <c r="J163" i="1"/>
  <c r="K163" i="1"/>
  <c r="L163" i="1"/>
  <c r="M163" i="1"/>
  <c r="R163" i="1"/>
  <c r="I149" i="1"/>
  <c r="F149" i="1"/>
  <c r="J149" i="1"/>
  <c r="K149" i="1"/>
  <c r="L149" i="1"/>
  <c r="M149" i="1"/>
  <c r="R149" i="1"/>
  <c r="I150" i="1"/>
  <c r="F150" i="1"/>
  <c r="J150" i="1"/>
  <c r="K150" i="1"/>
  <c r="L150" i="1"/>
  <c r="M150" i="1"/>
  <c r="R150" i="1"/>
  <c r="I151" i="1"/>
  <c r="F151" i="1"/>
  <c r="J151" i="1"/>
  <c r="K151" i="1"/>
  <c r="L151" i="1"/>
  <c r="M151" i="1"/>
  <c r="R151" i="1"/>
  <c r="I152" i="1"/>
  <c r="F152" i="1"/>
  <c r="J152" i="1"/>
  <c r="K152" i="1"/>
  <c r="L152" i="1"/>
  <c r="M152" i="1"/>
  <c r="R152" i="1"/>
  <c r="I153" i="1"/>
  <c r="F153" i="1"/>
  <c r="J153" i="1"/>
  <c r="K153" i="1"/>
  <c r="L153" i="1"/>
  <c r="M153" i="1"/>
  <c r="R153" i="1"/>
  <c r="I154" i="1"/>
  <c r="F154" i="1"/>
  <c r="J154" i="1"/>
  <c r="K154" i="1"/>
  <c r="L154" i="1"/>
  <c r="M154" i="1"/>
  <c r="R154" i="1"/>
  <c r="I155" i="1"/>
  <c r="F155" i="1"/>
  <c r="J155" i="1"/>
  <c r="K155" i="1"/>
  <c r="L155" i="1"/>
  <c r="M155" i="1"/>
  <c r="R155" i="1"/>
  <c r="I156" i="1"/>
  <c r="F156" i="1"/>
  <c r="J156" i="1"/>
  <c r="K156" i="1"/>
  <c r="L156" i="1"/>
  <c r="M156" i="1"/>
  <c r="R156" i="1"/>
  <c r="I157" i="1"/>
  <c r="K157" i="1"/>
  <c r="L157" i="1"/>
  <c r="R157" i="1"/>
  <c r="I158" i="1"/>
  <c r="K158" i="1"/>
  <c r="L158" i="1"/>
  <c r="R158" i="1"/>
  <c r="I172" i="1"/>
  <c r="F172" i="1"/>
  <c r="J172" i="1"/>
  <c r="K172" i="1"/>
  <c r="L172" i="1"/>
  <c r="M172" i="1"/>
  <c r="R172" i="1"/>
  <c r="I171" i="1"/>
  <c r="F171" i="1"/>
  <c r="J171" i="1"/>
  <c r="K171" i="1"/>
  <c r="L171" i="1"/>
  <c r="M171" i="1"/>
  <c r="R171" i="1"/>
  <c r="I170" i="1"/>
  <c r="F170" i="1"/>
  <c r="J170" i="1"/>
  <c r="K170" i="1"/>
  <c r="L170" i="1"/>
  <c r="M170" i="1"/>
  <c r="R170" i="1"/>
  <c r="I169" i="1"/>
  <c r="F169" i="1"/>
  <c r="J169" i="1"/>
  <c r="K169" i="1"/>
  <c r="L169" i="1"/>
  <c r="M169" i="1"/>
  <c r="R169" i="1"/>
  <c r="I168" i="1"/>
  <c r="F168" i="1"/>
  <c r="J168" i="1"/>
  <c r="K168" i="1"/>
  <c r="L168" i="1"/>
  <c r="M168" i="1"/>
  <c r="R168" i="1"/>
  <c r="I167" i="1"/>
  <c r="F167" i="1"/>
  <c r="J167" i="1"/>
  <c r="K167" i="1"/>
  <c r="L167" i="1"/>
  <c r="M167" i="1"/>
  <c r="R167" i="1"/>
  <c r="I166" i="1"/>
  <c r="F166" i="1"/>
  <c r="J166" i="1"/>
  <c r="K166" i="1"/>
  <c r="L166" i="1"/>
  <c r="M166" i="1"/>
  <c r="R166" i="1"/>
  <c r="I165" i="1"/>
  <c r="F165" i="1"/>
  <c r="J165" i="1"/>
  <c r="K165" i="1"/>
  <c r="L165" i="1"/>
  <c r="M165" i="1"/>
  <c r="R165" i="1"/>
  <c r="I164" i="1"/>
  <c r="F164" i="1"/>
  <c r="J164" i="1"/>
  <c r="K164" i="1"/>
  <c r="L164" i="1"/>
  <c r="M164" i="1"/>
  <c r="R164" i="1"/>
  <c r="I284" i="1"/>
  <c r="I283" i="1"/>
  <c r="I282" i="1"/>
  <c r="I281" i="1"/>
  <c r="I280" i="1"/>
  <c r="I279" i="1"/>
  <c r="I278" i="1"/>
  <c r="I277" i="1"/>
  <c r="I276" i="1"/>
  <c r="I275" i="1"/>
  <c r="I270" i="1"/>
  <c r="I269" i="1"/>
  <c r="I268" i="1"/>
  <c r="I267" i="1"/>
  <c r="I266" i="1"/>
  <c r="I265" i="1"/>
  <c r="I264" i="1"/>
  <c r="I263" i="1"/>
  <c r="I262" i="1"/>
  <c r="I261" i="1"/>
  <c r="I242" i="1"/>
  <c r="I241" i="1"/>
  <c r="I228" i="1"/>
  <c r="I227" i="1"/>
  <c r="I226" i="1"/>
  <c r="I225" i="1"/>
  <c r="V149" i="1"/>
  <c r="E8" i="1"/>
  <c r="E5" i="1"/>
  <c r="E2" i="1"/>
  <c r="M596" i="1"/>
  <c r="M595" i="1"/>
  <c r="M594" i="1"/>
  <c r="M593" i="1"/>
  <c r="M592" i="1"/>
  <c r="M591" i="1"/>
  <c r="M590" i="1"/>
  <c r="M589" i="1"/>
  <c r="M588" i="1"/>
  <c r="N587" i="1"/>
  <c r="M587" i="1"/>
  <c r="N573" i="1"/>
  <c r="N559" i="1"/>
  <c r="N545" i="1"/>
  <c r="N531" i="1"/>
  <c r="N517" i="1"/>
  <c r="N503" i="1"/>
  <c r="M498" i="1"/>
  <c r="M497" i="1"/>
  <c r="M496" i="1"/>
  <c r="M495" i="1"/>
  <c r="M494" i="1"/>
  <c r="M493" i="1"/>
  <c r="M492" i="1"/>
  <c r="M491" i="1"/>
  <c r="M490" i="1"/>
  <c r="N489" i="1"/>
  <c r="M489" i="1"/>
  <c r="N475" i="1"/>
  <c r="N461" i="1"/>
  <c r="M440" i="1"/>
  <c r="M439" i="1"/>
  <c r="M438" i="1"/>
  <c r="M437" i="1"/>
  <c r="M436" i="1"/>
  <c r="M435" i="1"/>
  <c r="M434" i="1"/>
  <c r="M433" i="1"/>
  <c r="M432" i="1"/>
  <c r="N431" i="1"/>
  <c r="M431" i="1"/>
  <c r="F426" i="1"/>
  <c r="F425" i="1"/>
  <c r="F424" i="1"/>
  <c r="F423" i="1"/>
  <c r="F422" i="1"/>
  <c r="F421" i="1"/>
  <c r="F420" i="1"/>
  <c r="F419" i="1"/>
  <c r="F418" i="1"/>
  <c r="F417" i="1"/>
  <c r="N417" i="1"/>
  <c r="F412" i="1"/>
  <c r="F411" i="1"/>
  <c r="F410" i="1"/>
  <c r="F409" i="1"/>
  <c r="F408" i="1"/>
  <c r="F407" i="1"/>
  <c r="F406" i="1"/>
  <c r="F405" i="1"/>
  <c r="F404" i="1"/>
  <c r="F403" i="1"/>
  <c r="N403" i="1"/>
  <c r="F398" i="1"/>
  <c r="F397" i="1"/>
  <c r="F396" i="1"/>
  <c r="F395" i="1"/>
  <c r="F394" i="1"/>
  <c r="F393" i="1"/>
  <c r="F392" i="1"/>
  <c r="F391" i="1"/>
  <c r="F390" i="1"/>
  <c r="F389" i="1"/>
  <c r="N389" i="1"/>
  <c r="F384" i="1"/>
  <c r="F383" i="1"/>
  <c r="F382" i="1"/>
  <c r="F381" i="1"/>
  <c r="F380" i="1"/>
  <c r="F379" i="1"/>
  <c r="F378" i="1"/>
  <c r="F377" i="1"/>
  <c r="F376" i="1"/>
  <c r="F375" i="1"/>
  <c r="N375" i="1"/>
  <c r="F370" i="1"/>
  <c r="F369" i="1"/>
  <c r="F368" i="1"/>
  <c r="F367" i="1"/>
  <c r="F366" i="1"/>
  <c r="F365" i="1"/>
  <c r="F364" i="1"/>
  <c r="F363" i="1"/>
  <c r="F362" i="1"/>
  <c r="F361" i="1"/>
  <c r="N361" i="1"/>
  <c r="F356" i="1"/>
  <c r="F355" i="1"/>
  <c r="F354" i="1"/>
  <c r="F353" i="1"/>
  <c r="F352" i="1"/>
  <c r="F351" i="1"/>
  <c r="F350" i="1"/>
  <c r="F349" i="1"/>
  <c r="F348" i="1"/>
  <c r="F347" i="1"/>
  <c r="N347" i="1"/>
  <c r="N333" i="1"/>
  <c r="N319" i="1"/>
  <c r="N305" i="1"/>
  <c r="M284" i="1"/>
  <c r="M283" i="1"/>
  <c r="M282" i="1"/>
  <c r="M281" i="1"/>
  <c r="M280" i="1"/>
  <c r="M279" i="1"/>
  <c r="M278" i="1"/>
  <c r="M277" i="1"/>
  <c r="M276" i="1"/>
  <c r="N275" i="1"/>
  <c r="M275" i="1"/>
  <c r="M270" i="1"/>
  <c r="M269" i="1"/>
  <c r="M268" i="1"/>
  <c r="M267" i="1"/>
  <c r="M266" i="1"/>
  <c r="M265" i="1"/>
  <c r="M264" i="1"/>
  <c r="M263" i="1"/>
  <c r="M262" i="1"/>
  <c r="N261" i="1"/>
  <c r="M261" i="1"/>
  <c r="F256" i="1"/>
  <c r="F255" i="1"/>
  <c r="F254" i="1"/>
  <c r="F253" i="1"/>
  <c r="F252" i="1"/>
  <c r="F251" i="1"/>
  <c r="F250" i="1"/>
  <c r="F249" i="1"/>
  <c r="F248" i="1"/>
  <c r="F247" i="1"/>
  <c r="N247" i="1"/>
  <c r="M242" i="1"/>
  <c r="M241" i="1"/>
  <c r="F240" i="1"/>
  <c r="F239" i="1"/>
  <c r="F238" i="1"/>
  <c r="F237" i="1"/>
  <c r="F236" i="1"/>
  <c r="F235" i="1"/>
  <c r="F234" i="1"/>
  <c r="F233" i="1"/>
  <c r="N233" i="1"/>
  <c r="M228" i="1"/>
  <c r="M227" i="1"/>
  <c r="M226" i="1"/>
  <c r="M225" i="1"/>
  <c r="F224" i="1"/>
  <c r="F223" i="1"/>
  <c r="F222" i="1"/>
  <c r="F221" i="1"/>
  <c r="F220" i="1"/>
  <c r="F219" i="1"/>
  <c r="N219" i="1"/>
  <c r="F214" i="1"/>
  <c r="F213" i="1"/>
  <c r="F212" i="1"/>
  <c r="F211" i="1"/>
  <c r="F210" i="1"/>
  <c r="F209" i="1"/>
  <c r="F208" i="1"/>
  <c r="F207" i="1"/>
  <c r="F206" i="1"/>
  <c r="F205" i="1"/>
  <c r="N205" i="1"/>
  <c r="F200" i="1"/>
  <c r="F199" i="1"/>
  <c r="F198" i="1"/>
  <c r="F197" i="1"/>
  <c r="F196" i="1"/>
  <c r="F195" i="1"/>
  <c r="F194" i="1"/>
  <c r="F193" i="1"/>
  <c r="F192" i="1"/>
  <c r="F191" i="1"/>
  <c r="N191" i="1"/>
  <c r="T314" i="1"/>
  <c r="T313" i="1"/>
  <c r="V312" i="1"/>
  <c r="T312" i="1"/>
  <c r="T311" i="1"/>
  <c r="T310" i="1"/>
  <c r="T309" i="1"/>
  <c r="T308" i="1"/>
  <c r="T307" i="1"/>
  <c r="T306" i="1"/>
  <c r="V305" i="1"/>
  <c r="T305" i="1"/>
  <c r="N149" i="1"/>
  <c r="V156" i="1"/>
  <c r="M158" i="1"/>
  <c r="M157" i="1"/>
  <c r="T158" i="1"/>
  <c r="J158" i="1"/>
  <c r="F158" i="1"/>
  <c r="T157" i="1"/>
  <c r="J157" i="1"/>
  <c r="F157" i="1"/>
  <c r="T156" i="1"/>
  <c r="T155" i="1"/>
  <c r="T154" i="1"/>
  <c r="T153" i="1"/>
  <c r="T152" i="1"/>
  <c r="T151" i="1"/>
  <c r="T150" i="1"/>
  <c r="T149" i="1"/>
  <c r="V163" i="1"/>
  <c r="V177" i="1"/>
  <c r="V191" i="1"/>
  <c r="V205" i="1"/>
  <c r="V219" i="1"/>
  <c r="V233" i="1"/>
  <c r="V247" i="1"/>
  <c r="V261" i="1"/>
  <c r="V275" i="1"/>
  <c r="N79" i="1"/>
  <c r="V319" i="1"/>
  <c r="V333" i="1"/>
  <c r="V347" i="1"/>
  <c r="V361" i="1"/>
  <c r="V375" i="1"/>
  <c r="V389" i="1"/>
  <c r="V403" i="1"/>
  <c r="V417" i="1"/>
  <c r="V431" i="1"/>
  <c r="N94" i="1"/>
  <c r="V461" i="1"/>
  <c r="V475" i="1"/>
  <c r="V489" i="1"/>
  <c r="V503" i="1"/>
  <c r="V517" i="1"/>
  <c r="V531" i="1"/>
  <c r="V545" i="1"/>
  <c r="V559" i="1"/>
  <c r="V573" i="1"/>
  <c r="V587" i="1"/>
  <c r="N109" i="1"/>
  <c r="I431" i="1"/>
  <c r="F431" i="1"/>
  <c r="K431" i="1"/>
  <c r="I432" i="1"/>
  <c r="F432" i="1"/>
  <c r="K432" i="1"/>
  <c r="I433" i="1"/>
  <c r="K433" i="1"/>
  <c r="I434" i="1"/>
  <c r="K434" i="1"/>
  <c r="I435" i="1"/>
  <c r="K435" i="1"/>
  <c r="I436" i="1"/>
  <c r="K436" i="1"/>
  <c r="I437" i="1"/>
  <c r="K437" i="1"/>
  <c r="I438" i="1"/>
  <c r="K438" i="1"/>
  <c r="I439" i="1"/>
  <c r="K439" i="1"/>
  <c r="I440" i="1"/>
  <c r="K440" i="1"/>
  <c r="I489" i="1"/>
  <c r="F489" i="1"/>
  <c r="K489" i="1"/>
  <c r="I490" i="1"/>
  <c r="F490" i="1"/>
  <c r="K490" i="1"/>
  <c r="I491" i="1"/>
  <c r="F491" i="1"/>
  <c r="K491" i="1"/>
  <c r="I492" i="1"/>
  <c r="F492" i="1"/>
  <c r="K492" i="1"/>
  <c r="I493" i="1"/>
  <c r="F493" i="1"/>
  <c r="K493" i="1"/>
  <c r="I494" i="1"/>
  <c r="F494" i="1"/>
  <c r="K494" i="1"/>
  <c r="I495" i="1"/>
  <c r="F495" i="1"/>
  <c r="K495" i="1"/>
  <c r="I496" i="1"/>
  <c r="F496" i="1"/>
  <c r="K496" i="1"/>
  <c r="I497" i="1"/>
  <c r="F497" i="1"/>
  <c r="K497" i="1"/>
  <c r="I498" i="1"/>
  <c r="F498" i="1"/>
  <c r="K498" i="1"/>
  <c r="F503" i="1"/>
  <c r="F504" i="1"/>
  <c r="F505" i="1"/>
  <c r="F506" i="1"/>
  <c r="F507" i="1"/>
  <c r="F508" i="1"/>
  <c r="F509" i="1"/>
  <c r="F510" i="1"/>
  <c r="F511" i="1"/>
  <c r="F512" i="1"/>
  <c r="F517" i="1"/>
  <c r="F518" i="1"/>
  <c r="F519" i="1"/>
  <c r="F520" i="1"/>
  <c r="F521" i="1"/>
  <c r="F522" i="1"/>
  <c r="F523" i="1"/>
  <c r="F524" i="1"/>
  <c r="F525" i="1"/>
  <c r="F526" i="1"/>
  <c r="F531" i="1"/>
  <c r="F532" i="1"/>
  <c r="F533" i="1"/>
  <c r="F534" i="1"/>
  <c r="F535" i="1"/>
  <c r="F536" i="1"/>
  <c r="F537" i="1"/>
  <c r="F538" i="1"/>
  <c r="F539" i="1"/>
  <c r="F540" i="1"/>
  <c r="F545" i="1"/>
  <c r="F546" i="1"/>
  <c r="F547" i="1"/>
  <c r="F548" i="1"/>
  <c r="F549" i="1"/>
  <c r="F550" i="1"/>
  <c r="F551" i="1"/>
  <c r="F552" i="1"/>
  <c r="F553" i="1"/>
  <c r="F554" i="1"/>
  <c r="F559" i="1"/>
  <c r="F560" i="1"/>
  <c r="F561" i="1"/>
  <c r="F562" i="1"/>
  <c r="F563" i="1"/>
  <c r="F564" i="1"/>
  <c r="F565" i="1"/>
  <c r="F566" i="1"/>
  <c r="F567" i="1"/>
  <c r="F568" i="1"/>
  <c r="F573" i="1"/>
  <c r="F574" i="1"/>
  <c r="F575" i="1"/>
  <c r="F576" i="1"/>
  <c r="F577" i="1"/>
  <c r="F578" i="1"/>
  <c r="F579" i="1"/>
  <c r="F580" i="1"/>
  <c r="F581" i="1"/>
  <c r="F582" i="1"/>
  <c r="I587" i="1"/>
  <c r="K587" i="1"/>
  <c r="I588" i="1"/>
  <c r="K588" i="1"/>
  <c r="I589" i="1"/>
  <c r="K589" i="1"/>
  <c r="I590" i="1"/>
  <c r="K590" i="1"/>
  <c r="I591" i="1"/>
  <c r="K591" i="1"/>
  <c r="I592" i="1"/>
  <c r="K592" i="1"/>
  <c r="I593" i="1"/>
  <c r="K593" i="1"/>
  <c r="I594" i="1"/>
  <c r="K594" i="1"/>
  <c r="I595" i="1"/>
  <c r="K595" i="1"/>
  <c r="I596" i="1"/>
  <c r="K596" i="1"/>
  <c r="F225" i="1"/>
  <c r="K225" i="1"/>
  <c r="F226" i="1"/>
  <c r="K226" i="1"/>
  <c r="F227" i="1"/>
  <c r="K227" i="1"/>
  <c r="F228" i="1"/>
  <c r="K228" i="1"/>
  <c r="F241" i="1"/>
  <c r="K241" i="1"/>
  <c r="F242" i="1"/>
  <c r="K242" i="1"/>
  <c r="F261" i="1"/>
  <c r="K261" i="1"/>
  <c r="F262" i="1"/>
  <c r="K262" i="1"/>
  <c r="F263" i="1"/>
  <c r="K263" i="1"/>
  <c r="F264" i="1"/>
  <c r="K264" i="1"/>
  <c r="F265" i="1"/>
  <c r="K265" i="1"/>
  <c r="F266" i="1"/>
  <c r="K266" i="1"/>
  <c r="F267" i="1"/>
  <c r="K267" i="1"/>
  <c r="F268" i="1"/>
  <c r="K268" i="1"/>
  <c r="F269" i="1"/>
  <c r="K269" i="1"/>
  <c r="F270" i="1"/>
  <c r="K270" i="1"/>
  <c r="K275" i="1"/>
  <c r="K276" i="1"/>
  <c r="K277" i="1"/>
  <c r="K278" i="1"/>
  <c r="K279" i="1"/>
  <c r="K280" i="1"/>
  <c r="K281" i="1"/>
  <c r="K282" i="1"/>
  <c r="K283" i="1"/>
  <c r="K284" i="1"/>
  <c r="V617" i="1"/>
  <c r="I631" i="1"/>
  <c r="F631" i="1"/>
  <c r="J631" i="1"/>
  <c r="K631" i="1"/>
  <c r="L631" i="1"/>
  <c r="R631" i="1"/>
  <c r="I632" i="1"/>
  <c r="F632" i="1"/>
  <c r="J632" i="1"/>
  <c r="K632" i="1"/>
  <c r="L632" i="1"/>
  <c r="R632" i="1"/>
  <c r="I633" i="1"/>
  <c r="F633" i="1"/>
  <c r="J633" i="1"/>
  <c r="K633" i="1"/>
  <c r="L633" i="1"/>
  <c r="R633" i="1"/>
  <c r="I634" i="1"/>
  <c r="F634" i="1"/>
  <c r="J634" i="1"/>
  <c r="K634" i="1"/>
  <c r="L634" i="1"/>
  <c r="R634" i="1"/>
  <c r="I635" i="1"/>
  <c r="F635" i="1"/>
  <c r="J635" i="1"/>
  <c r="K635" i="1"/>
  <c r="L635" i="1"/>
  <c r="R635" i="1"/>
  <c r="I636" i="1"/>
  <c r="F636" i="1"/>
  <c r="J636" i="1"/>
  <c r="K636" i="1"/>
  <c r="L636" i="1"/>
  <c r="R636" i="1"/>
  <c r="I637" i="1"/>
  <c r="F637" i="1"/>
  <c r="J637" i="1"/>
  <c r="K637" i="1"/>
  <c r="L637" i="1"/>
  <c r="R637" i="1"/>
  <c r="I638" i="1"/>
  <c r="F638" i="1"/>
  <c r="J638" i="1"/>
  <c r="K638" i="1"/>
  <c r="L638" i="1"/>
  <c r="R638" i="1"/>
  <c r="I639" i="1"/>
  <c r="K639" i="1"/>
  <c r="L639" i="1"/>
  <c r="R639" i="1"/>
  <c r="I640" i="1"/>
  <c r="K640" i="1"/>
  <c r="L640" i="1"/>
  <c r="R640" i="1"/>
  <c r="V631" i="1"/>
  <c r="I645" i="1"/>
  <c r="F645" i="1"/>
  <c r="J645" i="1"/>
  <c r="K645" i="1"/>
  <c r="L645" i="1"/>
  <c r="R645" i="1"/>
  <c r="I646" i="1"/>
  <c r="F646" i="1"/>
  <c r="J646" i="1"/>
  <c r="K646" i="1"/>
  <c r="L646" i="1"/>
  <c r="R646" i="1"/>
  <c r="I647" i="1"/>
  <c r="F647" i="1"/>
  <c r="J647" i="1"/>
  <c r="K647" i="1"/>
  <c r="L647" i="1"/>
  <c r="R647" i="1"/>
  <c r="I648" i="1"/>
  <c r="F648" i="1"/>
  <c r="J648" i="1"/>
  <c r="K648" i="1"/>
  <c r="L648" i="1"/>
  <c r="R648" i="1"/>
  <c r="I649" i="1"/>
  <c r="F649" i="1"/>
  <c r="J649" i="1"/>
  <c r="K649" i="1"/>
  <c r="L649" i="1"/>
  <c r="R649" i="1"/>
  <c r="I650" i="1"/>
  <c r="F650" i="1"/>
  <c r="J650" i="1"/>
  <c r="K650" i="1"/>
  <c r="L650" i="1"/>
  <c r="R650" i="1"/>
  <c r="I651" i="1"/>
  <c r="K651" i="1"/>
  <c r="L651" i="1"/>
  <c r="R651" i="1"/>
  <c r="I652" i="1"/>
  <c r="K652" i="1"/>
  <c r="L652" i="1"/>
  <c r="R652" i="1"/>
  <c r="I653" i="1"/>
  <c r="K653" i="1"/>
  <c r="L653" i="1"/>
  <c r="R653" i="1"/>
  <c r="I654" i="1"/>
  <c r="K654" i="1"/>
  <c r="L654" i="1"/>
  <c r="R654" i="1"/>
  <c r="V645" i="1"/>
  <c r="I659" i="1"/>
  <c r="F659" i="1"/>
  <c r="J659" i="1"/>
  <c r="K659" i="1"/>
  <c r="L659" i="1"/>
  <c r="R659" i="1"/>
  <c r="I660" i="1"/>
  <c r="F660" i="1"/>
  <c r="J660" i="1"/>
  <c r="K660" i="1"/>
  <c r="L660" i="1"/>
  <c r="R660" i="1"/>
  <c r="I661" i="1"/>
  <c r="F661" i="1"/>
  <c r="J661" i="1"/>
  <c r="K661" i="1"/>
  <c r="L661" i="1"/>
  <c r="R661" i="1"/>
  <c r="I662" i="1"/>
  <c r="F662" i="1"/>
  <c r="J662" i="1"/>
  <c r="K662" i="1"/>
  <c r="L662" i="1"/>
  <c r="R662" i="1"/>
  <c r="I663" i="1"/>
  <c r="F663" i="1"/>
  <c r="J663" i="1"/>
  <c r="K663" i="1"/>
  <c r="L663" i="1"/>
  <c r="R663" i="1"/>
  <c r="I664" i="1"/>
  <c r="K664" i="1"/>
  <c r="L664" i="1"/>
  <c r="R664" i="1"/>
  <c r="I665" i="1"/>
  <c r="K665" i="1"/>
  <c r="L665" i="1"/>
  <c r="R665" i="1"/>
  <c r="I666" i="1"/>
  <c r="K666" i="1"/>
  <c r="L666" i="1"/>
  <c r="R666" i="1"/>
  <c r="I667" i="1"/>
  <c r="K667" i="1"/>
  <c r="L667" i="1"/>
  <c r="R667" i="1"/>
  <c r="I668" i="1"/>
  <c r="K668" i="1"/>
  <c r="L668" i="1"/>
  <c r="R668" i="1"/>
  <c r="V659" i="1"/>
  <c r="I687" i="1"/>
  <c r="F687" i="1"/>
  <c r="J687" i="1"/>
  <c r="K687" i="1"/>
  <c r="L687" i="1"/>
  <c r="R673" i="1"/>
  <c r="I688" i="1"/>
  <c r="F688" i="1"/>
  <c r="J688" i="1"/>
  <c r="K688" i="1"/>
  <c r="L688" i="1"/>
  <c r="R674" i="1"/>
  <c r="I689" i="1"/>
  <c r="F689" i="1"/>
  <c r="J689" i="1"/>
  <c r="K689" i="1"/>
  <c r="L689" i="1"/>
  <c r="R675" i="1"/>
  <c r="I690" i="1"/>
  <c r="F690" i="1"/>
  <c r="J690" i="1"/>
  <c r="K690" i="1"/>
  <c r="L690" i="1"/>
  <c r="R676" i="1"/>
  <c r="I691" i="1"/>
  <c r="F691" i="1"/>
  <c r="J691" i="1"/>
  <c r="K691" i="1"/>
  <c r="L691" i="1"/>
  <c r="R677" i="1"/>
  <c r="I692" i="1"/>
  <c r="F692" i="1"/>
  <c r="J692" i="1"/>
  <c r="K692" i="1"/>
  <c r="L692" i="1"/>
  <c r="R678" i="1"/>
  <c r="I693" i="1"/>
  <c r="K693" i="1"/>
  <c r="L693" i="1"/>
  <c r="R679" i="1"/>
  <c r="I694" i="1"/>
  <c r="K694" i="1"/>
  <c r="L694" i="1"/>
  <c r="R680" i="1"/>
  <c r="I695" i="1"/>
  <c r="K695" i="1"/>
  <c r="L695" i="1"/>
  <c r="R681" i="1"/>
  <c r="I696" i="1"/>
  <c r="K696" i="1"/>
  <c r="L696" i="1"/>
  <c r="R682" i="1"/>
  <c r="V673" i="1"/>
  <c r="R687" i="1"/>
  <c r="R688" i="1"/>
  <c r="R689" i="1"/>
  <c r="R690" i="1"/>
  <c r="R691" i="1"/>
  <c r="R692" i="1"/>
  <c r="R693" i="1"/>
  <c r="R694" i="1"/>
  <c r="R695" i="1"/>
  <c r="R696" i="1"/>
  <c r="V687" i="1"/>
  <c r="I701" i="1"/>
  <c r="F701" i="1"/>
  <c r="J701" i="1"/>
  <c r="K701" i="1"/>
  <c r="L701" i="1"/>
  <c r="R701" i="1"/>
  <c r="I702" i="1"/>
  <c r="F702" i="1"/>
  <c r="J702" i="1"/>
  <c r="K702" i="1"/>
  <c r="L702" i="1"/>
  <c r="R702" i="1"/>
  <c r="I703" i="1"/>
  <c r="F703" i="1"/>
  <c r="J703" i="1"/>
  <c r="K703" i="1"/>
  <c r="L703" i="1"/>
  <c r="R703" i="1"/>
  <c r="I704" i="1"/>
  <c r="F704" i="1"/>
  <c r="J704" i="1"/>
  <c r="K704" i="1"/>
  <c r="L704" i="1"/>
  <c r="R704" i="1"/>
  <c r="I705" i="1"/>
  <c r="F705" i="1"/>
  <c r="J705" i="1"/>
  <c r="K705" i="1"/>
  <c r="L705" i="1"/>
  <c r="R705" i="1"/>
  <c r="I706" i="1"/>
  <c r="F706" i="1"/>
  <c r="J706" i="1"/>
  <c r="K706" i="1"/>
  <c r="L706" i="1"/>
  <c r="R706" i="1"/>
  <c r="I707" i="1"/>
  <c r="F707" i="1"/>
  <c r="J707" i="1"/>
  <c r="K707" i="1"/>
  <c r="L707" i="1"/>
  <c r="R707" i="1"/>
  <c r="I708" i="1"/>
  <c r="F708" i="1"/>
  <c r="J708" i="1"/>
  <c r="K708" i="1"/>
  <c r="L708" i="1"/>
  <c r="R708" i="1"/>
  <c r="I709" i="1"/>
  <c r="K709" i="1"/>
  <c r="L709" i="1"/>
  <c r="R709" i="1"/>
  <c r="I710" i="1"/>
  <c r="K710" i="1"/>
  <c r="L710" i="1"/>
  <c r="R710" i="1"/>
  <c r="V701" i="1"/>
  <c r="I715" i="1"/>
  <c r="F715" i="1"/>
  <c r="J715" i="1"/>
  <c r="K715" i="1"/>
  <c r="L715" i="1"/>
  <c r="R715" i="1"/>
  <c r="I716" i="1"/>
  <c r="F716" i="1"/>
  <c r="J716" i="1"/>
  <c r="K716" i="1"/>
  <c r="L716" i="1"/>
  <c r="R716" i="1"/>
  <c r="I717" i="1"/>
  <c r="F717" i="1"/>
  <c r="J717" i="1"/>
  <c r="K717" i="1"/>
  <c r="L717" i="1"/>
  <c r="R717" i="1"/>
  <c r="I718" i="1"/>
  <c r="F718" i="1"/>
  <c r="J718" i="1"/>
  <c r="K718" i="1"/>
  <c r="L718" i="1"/>
  <c r="R718" i="1"/>
  <c r="I719" i="1"/>
  <c r="F719" i="1"/>
  <c r="J719" i="1"/>
  <c r="K719" i="1"/>
  <c r="L719" i="1"/>
  <c r="R719" i="1"/>
  <c r="I721" i="1"/>
  <c r="F721" i="1"/>
  <c r="J721" i="1"/>
  <c r="K721" i="1"/>
  <c r="L721" i="1"/>
  <c r="R721" i="1"/>
  <c r="I722" i="1"/>
  <c r="F722" i="1"/>
  <c r="J722" i="1"/>
  <c r="K722" i="1"/>
  <c r="L722" i="1"/>
  <c r="R722" i="1"/>
  <c r="I723" i="1"/>
  <c r="K723" i="1"/>
  <c r="L723" i="1"/>
  <c r="R723" i="1"/>
  <c r="I724" i="1"/>
  <c r="K724" i="1"/>
  <c r="L724" i="1"/>
  <c r="R724" i="1"/>
  <c r="R720" i="1"/>
  <c r="V715" i="1"/>
  <c r="I729" i="1"/>
  <c r="F729" i="1"/>
  <c r="J729" i="1"/>
  <c r="K729" i="1"/>
  <c r="L729" i="1"/>
  <c r="R729" i="1"/>
  <c r="I730" i="1"/>
  <c r="F730" i="1"/>
  <c r="J730" i="1"/>
  <c r="K730" i="1"/>
  <c r="L730" i="1"/>
  <c r="R730" i="1"/>
  <c r="I731" i="1"/>
  <c r="F731" i="1"/>
  <c r="J731" i="1"/>
  <c r="K731" i="1"/>
  <c r="L731" i="1"/>
  <c r="R731" i="1"/>
  <c r="I732" i="1"/>
  <c r="F732" i="1"/>
  <c r="J732" i="1"/>
  <c r="K732" i="1"/>
  <c r="L732" i="1"/>
  <c r="R732" i="1"/>
  <c r="I733" i="1"/>
  <c r="F733" i="1"/>
  <c r="J733" i="1"/>
  <c r="K733" i="1"/>
  <c r="L733" i="1"/>
  <c r="R733" i="1"/>
  <c r="I734" i="1"/>
  <c r="F734" i="1"/>
  <c r="J734" i="1"/>
  <c r="K734" i="1"/>
  <c r="L734" i="1"/>
  <c r="R734" i="1"/>
  <c r="I735" i="1"/>
  <c r="F735" i="1"/>
  <c r="J735" i="1"/>
  <c r="K735" i="1"/>
  <c r="L735" i="1"/>
  <c r="R735" i="1"/>
  <c r="I736" i="1"/>
  <c r="F736" i="1"/>
  <c r="J736" i="1"/>
  <c r="K736" i="1"/>
  <c r="L736" i="1"/>
  <c r="R736" i="1"/>
  <c r="I737" i="1"/>
  <c r="F737" i="1"/>
  <c r="J737" i="1"/>
  <c r="K737" i="1"/>
  <c r="L737" i="1"/>
  <c r="R737" i="1"/>
  <c r="I738" i="1"/>
  <c r="K738" i="1"/>
  <c r="L738" i="1"/>
  <c r="R738" i="1"/>
  <c r="V729" i="1"/>
  <c r="I743" i="1"/>
  <c r="K743" i="1"/>
  <c r="L743" i="1"/>
  <c r="R743" i="1"/>
  <c r="I744" i="1"/>
  <c r="K744" i="1"/>
  <c r="L744" i="1"/>
  <c r="R744" i="1"/>
  <c r="I745" i="1"/>
  <c r="K745" i="1"/>
  <c r="L745" i="1"/>
  <c r="R745" i="1"/>
  <c r="I746" i="1"/>
  <c r="K746" i="1"/>
  <c r="L746" i="1"/>
  <c r="R746" i="1"/>
  <c r="I747" i="1"/>
  <c r="K747" i="1"/>
  <c r="L747" i="1"/>
  <c r="R747" i="1"/>
  <c r="I748" i="1"/>
  <c r="K748" i="1"/>
  <c r="L748" i="1"/>
  <c r="R748" i="1"/>
  <c r="I749" i="1"/>
  <c r="K749" i="1"/>
  <c r="L749" i="1"/>
  <c r="R749" i="1"/>
  <c r="I750" i="1"/>
  <c r="K750" i="1"/>
  <c r="L750" i="1"/>
  <c r="R750" i="1"/>
  <c r="I751" i="1"/>
  <c r="K751" i="1"/>
  <c r="L751" i="1"/>
  <c r="R751" i="1"/>
  <c r="I752" i="1"/>
  <c r="K752" i="1"/>
  <c r="L752" i="1"/>
  <c r="R752" i="1"/>
  <c r="V743" i="1"/>
  <c r="N124" i="1"/>
  <c r="N163" i="1"/>
  <c r="N177" i="1"/>
  <c r="N77" i="1"/>
  <c r="N92" i="1"/>
  <c r="N107" i="1"/>
  <c r="N631" i="1"/>
  <c r="N645" i="1"/>
  <c r="N659" i="1"/>
  <c r="N673" i="1"/>
  <c r="N687" i="1"/>
  <c r="N701" i="1"/>
  <c r="N715" i="1"/>
  <c r="N729" i="1"/>
  <c r="N743" i="1"/>
  <c r="N122" i="1"/>
  <c r="J654" i="1"/>
  <c r="J653" i="1"/>
  <c r="J652" i="1"/>
  <c r="J651" i="1"/>
  <c r="K8" i="1"/>
  <c r="T696" i="1"/>
  <c r="T695" i="1"/>
  <c r="T694" i="1"/>
  <c r="T693" i="1"/>
  <c r="T692" i="1"/>
  <c r="T691" i="1"/>
  <c r="T690" i="1"/>
  <c r="T689" i="1"/>
  <c r="T688" i="1"/>
  <c r="T687" i="1"/>
  <c r="T370" i="1"/>
  <c r="T369" i="1"/>
  <c r="T368" i="1"/>
  <c r="T367" i="1"/>
  <c r="T366" i="1"/>
  <c r="T365" i="1"/>
  <c r="T364" i="1"/>
  <c r="T363" i="1"/>
  <c r="T362" i="1"/>
  <c r="T361" i="1"/>
  <c r="F651" i="1"/>
  <c r="F652" i="1"/>
  <c r="F653" i="1"/>
  <c r="F654" i="1"/>
  <c r="T752" i="1"/>
  <c r="J752" i="1"/>
  <c r="F752" i="1"/>
  <c r="T751" i="1"/>
  <c r="J751" i="1"/>
  <c r="F751" i="1"/>
  <c r="T750" i="1"/>
  <c r="J750" i="1"/>
  <c r="F750" i="1"/>
  <c r="T749" i="1"/>
  <c r="J749" i="1"/>
  <c r="F749" i="1"/>
  <c r="T748" i="1"/>
  <c r="J748" i="1"/>
  <c r="F748" i="1"/>
  <c r="T747" i="1"/>
  <c r="J747" i="1"/>
  <c r="F747" i="1"/>
  <c r="T746" i="1"/>
  <c r="J746" i="1"/>
  <c r="F746" i="1"/>
  <c r="T745" i="1"/>
  <c r="J745" i="1"/>
  <c r="F745" i="1"/>
  <c r="T744" i="1"/>
  <c r="J744" i="1"/>
  <c r="F744" i="1"/>
  <c r="T743" i="1"/>
  <c r="J743" i="1"/>
  <c r="F743" i="1"/>
  <c r="T738" i="1"/>
  <c r="J738" i="1"/>
  <c r="F738" i="1"/>
  <c r="T737" i="1"/>
  <c r="T736" i="1"/>
  <c r="T735" i="1"/>
  <c r="T734" i="1"/>
  <c r="T733" i="1"/>
  <c r="T732" i="1"/>
  <c r="T731" i="1"/>
  <c r="T730" i="1"/>
  <c r="T729" i="1"/>
  <c r="T724" i="1"/>
  <c r="J724" i="1"/>
  <c r="F724" i="1"/>
  <c r="T723" i="1"/>
  <c r="J723" i="1"/>
  <c r="F723" i="1"/>
  <c r="T722" i="1"/>
  <c r="T721" i="1"/>
  <c r="T720" i="1"/>
  <c r="T719" i="1"/>
  <c r="T718" i="1"/>
  <c r="T717" i="1"/>
  <c r="T716" i="1"/>
  <c r="T715" i="1"/>
  <c r="T710" i="1"/>
  <c r="J710" i="1"/>
  <c r="F710" i="1"/>
  <c r="T709" i="1"/>
  <c r="J709" i="1"/>
  <c r="F709" i="1"/>
  <c r="T708" i="1"/>
  <c r="T707" i="1"/>
  <c r="T706" i="1"/>
  <c r="T705" i="1"/>
  <c r="T704" i="1"/>
  <c r="T703" i="1"/>
  <c r="T702" i="1"/>
  <c r="T701" i="1"/>
  <c r="T682" i="1"/>
  <c r="J696" i="1"/>
  <c r="F696" i="1"/>
  <c r="T681" i="1"/>
  <c r="J695" i="1"/>
  <c r="F695" i="1"/>
  <c r="T680" i="1"/>
  <c r="J694" i="1"/>
  <c r="F694" i="1"/>
  <c r="T679" i="1"/>
  <c r="J693" i="1"/>
  <c r="F693" i="1"/>
  <c r="T678" i="1"/>
  <c r="T677" i="1"/>
  <c r="T676" i="1"/>
  <c r="T675" i="1"/>
  <c r="T674" i="1"/>
  <c r="T673" i="1"/>
  <c r="T668" i="1"/>
  <c r="J668" i="1"/>
  <c r="F668" i="1"/>
  <c r="T667" i="1"/>
  <c r="J667" i="1"/>
  <c r="F667" i="1"/>
  <c r="T666" i="1"/>
  <c r="J666" i="1"/>
  <c r="F666" i="1"/>
  <c r="T665" i="1"/>
  <c r="J665" i="1"/>
  <c r="F665" i="1"/>
  <c r="T664" i="1"/>
  <c r="J664" i="1"/>
  <c r="F664" i="1"/>
  <c r="T663" i="1"/>
  <c r="T662" i="1"/>
  <c r="T661" i="1"/>
  <c r="T660" i="1"/>
  <c r="T659" i="1"/>
  <c r="T654" i="1"/>
  <c r="T653" i="1"/>
  <c r="T652" i="1"/>
  <c r="T651" i="1"/>
  <c r="T650" i="1"/>
  <c r="T649" i="1"/>
  <c r="T648" i="1"/>
  <c r="T647" i="1"/>
  <c r="T646" i="1"/>
  <c r="T645" i="1"/>
  <c r="T640" i="1"/>
  <c r="J640" i="1"/>
  <c r="F640" i="1"/>
  <c r="T639" i="1"/>
  <c r="J639" i="1"/>
  <c r="F639" i="1"/>
  <c r="T638" i="1"/>
  <c r="T637" i="1"/>
  <c r="T636" i="1"/>
  <c r="T635" i="1"/>
  <c r="T633" i="1"/>
  <c r="T632" i="1"/>
  <c r="T631" i="1"/>
  <c r="F626" i="1"/>
  <c r="T626" i="1"/>
  <c r="F625" i="1"/>
  <c r="J625" i="1"/>
  <c r="T624" i="1"/>
  <c r="F624" i="1"/>
  <c r="J624" i="1"/>
  <c r="T623" i="1"/>
  <c r="J623" i="1"/>
  <c r="F623" i="1"/>
  <c r="F622" i="1"/>
  <c r="J622" i="1"/>
  <c r="J621" i="1"/>
  <c r="F621" i="1"/>
  <c r="T621" i="1"/>
  <c r="J620" i="1"/>
  <c r="F620" i="1"/>
  <c r="T620" i="1"/>
  <c r="J619" i="1"/>
  <c r="F619" i="1"/>
  <c r="T619" i="1"/>
  <c r="F618" i="1"/>
  <c r="T618" i="1"/>
  <c r="J617" i="1"/>
  <c r="F617" i="1"/>
  <c r="T617" i="1"/>
  <c r="T461" i="1"/>
  <c r="T462" i="1"/>
  <c r="T463" i="1"/>
  <c r="T464" i="1"/>
  <c r="T465" i="1"/>
  <c r="T466" i="1"/>
  <c r="T625" i="1"/>
  <c r="J618" i="1"/>
  <c r="T622" i="1"/>
  <c r="J626" i="1"/>
  <c r="T596" i="1"/>
  <c r="T595" i="1"/>
  <c r="T594" i="1"/>
  <c r="T593" i="1"/>
  <c r="T592" i="1"/>
  <c r="T591" i="1"/>
  <c r="T590" i="1"/>
  <c r="T589" i="1"/>
  <c r="T588" i="1"/>
  <c r="T587" i="1"/>
  <c r="T582" i="1"/>
  <c r="T581" i="1"/>
  <c r="T580" i="1"/>
  <c r="T579" i="1"/>
  <c r="T578" i="1"/>
  <c r="T577" i="1"/>
  <c r="T576" i="1"/>
  <c r="T575" i="1"/>
  <c r="T574" i="1"/>
  <c r="T573" i="1"/>
  <c r="T568" i="1"/>
  <c r="T567" i="1"/>
  <c r="T566" i="1"/>
  <c r="T565" i="1"/>
  <c r="T564" i="1"/>
  <c r="T563" i="1"/>
  <c r="T562" i="1"/>
  <c r="T561" i="1"/>
  <c r="T560" i="1"/>
  <c r="T559" i="1"/>
  <c r="T554" i="1"/>
  <c r="T553" i="1"/>
  <c r="T552" i="1"/>
  <c r="T551" i="1"/>
  <c r="T550" i="1"/>
  <c r="T549" i="1"/>
  <c r="T548" i="1"/>
  <c r="T547" i="1"/>
  <c r="T546" i="1"/>
  <c r="T545" i="1"/>
  <c r="T540" i="1"/>
  <c r="T539" i="1"/>
  <c r="T538" i="1"/>
  <c r="T537" i="1"/>
  <c r="T536" i="1"/>
  <c r="T535" i="1"/>
  <c r="T534" i="1"/>
  <c r="T533" i="1"/>
  <c r="T532" i="1"/>
  <c r="T531" i="1"/>
  <c r="T526" i="1"/>
  <c r="T525" i="1"/>
  <c r="T524" i="1"/>
  <c r="T523" i="1"/>
  <c r="T522" i="1"/>
  <c r="T521" i="1"/>
  <c r="T520" i="1"/>
  <c r="T519" i="1"/>
  <c r="T518" i="1"/>
  <c r="T517" i="1"/>
  <c r="T512" i="1"/>
  <c r="T511" i="1"/>
  <c r="T510" i="1"/>
  <c r="T509" i="1"/>
  <c r="T508" i="1"/>
  <c r="T507" i="1"/>
  <c r="T506" i="1"/>
  <c r="T505" i="1"/>
  <c r="T504" i="1"/>
  <c r="T503" i="1"/>
  <c r="T498" i="1"/>
  <c r="T497" i="1"/>
  <c r="T496" i="1"/>
  <c r="T495" i="1"/>
  <c r="T494" i="1"/>
  <c r="T493" i="1"/>
  <c r="T492" i="1"/>
  <c r="T491" i="1"/>
  <c r="T490" i="1"/>
  <c r="T489" i="1"/>
  <c r="T484" i="1"/>
  <c r="T483" i="1"/>
  <c r="T482" i="1"/>
  <c r="T481" i="1"/>
  <c r="T480" i="1"/>
  <c r="T478" i="1"/>
  <c r="T477" i="1"/>
  <c r="T476" i="1"/>
  <c r="T475" i="1"/>
  <c r="T470" i="1"/>
  <c r="T469" i="1"/>
  <c r="T468" i="1"/>
  <c r="T467" i="1"/>
  <c r="T440" i="1"/>
  <c r="T439" i="1"/>
  <c r="T438" i="1"/>
  <c r="T437" i="1"/>
  <c r="T436" i="1"/>
  <c r="T435" i="1"/>
  <c r="T434" i="1"/>
  <c r="T433" i="1"/>
  <c r="T432" i="1"/>
  <c r="T431" i="1"/>
  <c r="T426" i="1"/>
  <c r="T425" i="1"/>
  <c r="T424" i="1"/>
  <c r="T423" i="1"/>
  <c r="T422" i="1"/>
  <c r="T421" i="1"/>
  <c r="T420" i="1"/>
  <c r="T419" i="1"/>
  <c r="T418" i="1"/>
  <c r="T417" i="1"/>
  <c r="T412" i="1"/>
  <c r="T411" i="1"/>
  <c r="T410" i="1"/>
  <c r="T409" i="1"/>
  <c r="T408" i="1"/>
  <c r="T407" i="1"/>
  <c r="T406" i="1"/>
  <c r="T405" i="1"/>
  <c r="T404" i="1"/>
  <c r="T403" i="1"/>
  <c r="T398" i="1"/>
  <c r="T397" i="1"/>
  <c r="T396" i="1"/>
  <c r="T395" i="1"/>
  <c r="T394" i="1"/>
  <c r="T393" i="1"/>
  <c r="T392" i="1"/>
  <c r="T391" i="1"/>
  <c r="T390" i="1"/>
  <c r="T389" i="1"/>
  <c r="T384" i="1"/>
  <c r="T383" i="1"/>
  <c r="T382" i="1"/>
  <c r="T381" i="1"/>
  <c r="T380" i="1"/>
  <c r="T379" i="1"/>
  <c r="T378" i="1"/>
  <c r="T377" i="1"/>
  <c r="T376" i="1"/>
  <c r="T375" i="1"/>
  <c r="T356" i="1"/>
  <c r="T355" i="1"/>
  <c r="T354" i="1"/>
  <c r="T353" i="1"/>
  <c r="T352" i="1"/>
  <c r="T351" i="1"/>
  <c r="T350" i="1"/>
  <c r="T349" i="1"/>
  <c r="T348" i="1"/>
  <c r="T347" i="1"/>
  <c r="T342" i="1"/>
  <c r="T341" i="1"/>
  <c r="T340" i="1"/>
  <c r="T339" i="1"/>
  <c r="T338" i="1"/>
  <c r="T337" i="1"/>
  <c r="T336" i="1"/>
  <c r="T335" i="1"/>
  <c r="T334" i="1"/>
  <c r="T333" i="1"/>
  <c r="T328" i="1"/>
  <c r="T327" i="1"/>
  <c r="T326" i="1"/>
  <c r="T325" i="1"/>
  <c r="T324" i="1"/>
  <c r="T323" i="1"/>
  <c r="T322" i="1"/>
  <c r="T321" i="1"/>
  <c r="T320" i="1"/>
  <c r="T319" i="1"/>
  <c r="T284" i="1"/>
  <c r="T283" i="1"/>
  <c r="T282" i="1"/>
  <c r="T281" i="1"/>
  <c r="T280" i="1"/>
  <c r="T279" i="1"/>
  <c r="T278" i="1"/>
  <c r="T277" i="1"/>
  <c r="T276" i="1"/>
  <c r="T275" i="1"/>
  <c r="T270" i="1"/>
  <c r="T269" i="1"/>
  <c r="T268" i="1"/>
  <c r="T267" i="1"/>
  <c r="T266" i="1"/>
  <c r="T265" i="1"/>
  <c r="T264" i="1"/>
  <c r="T263" i="1"/>
  <c r="T262" i="1"/>
  <c r="T261" i="1"/>
  <c r="T256" i="1"/>
  <c r="T255" i="1"/>
  <c r="T254" i="1"/>
  <c r="T253" i="1"/>
  <c r="T252" i="1"/>
  <c r="T251" i="1"/>
  <c r="T250" i="1"/>
  <c r="T249" i="1"/>
  <c r="T248" i="1"/>
  <c r="T247" i="1"/>
  <c r="T242" i="1"/>
  <c r="T241" i="1"/>
  <c r="T240" i="1"/>
  <c r="T239" i="1"/>
  <c r="T238" i="1"/>
  <c r="T237" i="1"/>
  <c r="T236" i="1"/>
  <c r="T235" i="1"/>
  <c r="T234" i="1"/>
  <c r="T233" i="1"/>
  <c r="T228" i="1"/>
  <c r="T227" i="1"/>
  <c r="T226" i="1"/>
  <c r="T225" i="1"/>
  <c r="T224" i="1"/>
  <c r="T223" i="1"/>
  <c r="T222" i="1"/>
  <c r="T221" i="1"/>
  <c r="T220" i="1"/>
  <c r="T219" i="1"/>
  <c r="T214" i="1"/>
  <c r="T213" i="1"/>
  <c r="T212" i="1"/>
  <c r="T211" i="1"/>
  <c r="T210" i="1"/>
  <c r="T209" i="1"/>
  <c r="T208" i="1"/>
  <c r="T207" i="1"/>
  <c r="T206" i="1"/>
  <c r="T205" i="1"/>
  <c r="T200" i="1"/>
  <c r="T199" i="1"/>
  <c r="T198" i="1"/>
  <c r="T197" i="1"/>
  <c r="T196" i="1"/>
  <c r="T195" i="1"/>
  <c r="T194" i="1"/>
  <c r="T192" i="1"/>
  <c r="T186" i="1"/>
  <c r="T185" i="1"/>
  <c r="T184" i="1"/>
  <c r="T183" i="1"/>
  <c r="T182" i="1"/>
  <c r="T181" i="1"/>
  <c r="T180" i="1"/>
  <c r="T179" i="1"/>
  <c r="T178" i="1"/>
  <c r="T171" i="1"/>
  <c r="T172" i="1"/>
  <c r="T170" i="1"/>
  <c r="T169" i="1"/>
  <c r="T168" i="1"/>
  <c r="T167" i="1"/>
  <c r="T166" i="1"/>
  <c r="T165" i="1"/>
  <c r="T164" i="1"/>
  <c r="T163" i="1"/>
  <c r="F596" i="1"/>
  <c r="F595" i="1"/>
  <c r="F594" i="1"/>
  <c r="F593" i="1"/>
  <c r="F592" i="1"/>
  <c r="F591" i="1"/>
  <c r="F590" i="1"/>
  <c r="F589" i="1"/>
  <c r="F588" i="1"/>
  <c r="F587" i="1"/>
  <c r="F440" i="1"/>
  <c r="F439" i="1"/>
  <c r="F438" i="1"/>
  <c r="F437" i="1"/>
  <c r="F436" i="1"/>
  <c r="F435" i="1"/>
  <c r="F434" i="1"/>
  <c r="F433" i="1"/>
  <c r="F284" i="1"/>
  <c r="F283" i="1"/>
  <c r="F282" i="1"/>
  <c r="F281" i="1"/>
  <c r="F280" i="1"/>
  <c r="F279" i="1"/>
  <c r="F278" i="1"/>
  <c r="F277" i="1"/>
  <c r="F276" i="1"/>
  <c r="F275" i="1"/>
  <c r="V438" i="1"/>
  <c r="V594" i="1"/>
  <c r="V566" i="1"/>
  <c r="V552" i="1"/>
  <c r="T479" i="1"/>
  <c r="V680" i="1"/>
  <c r="T634" i="1"/>
  <c r="V750" i="1"/>
  <c r="T177" i="1"/>
  <c r="V538" i="1"/>
  <c r="V382" i="1"/>
  <c r="V652" i="1"/>
  <c r="V240" i="1"/>
  <c r="V722" i="1"/>
  <c r="T193" i="1"/>
  <c r="V282" i="1"/>
  <c r="V268" i="1"/>
  <c r="V580" i="1"/>
  <c r="V424" i="1"/>
  <c r="V410" i="1"/>
  <c r="V396" i="1"/>
  <c r="V736" i="1"/>
  <c r="V694" i="1"/>
  <c r="T191" i="1"/>
  <c r="V254" i="1"/>
  <c r="V170" i="1"/>
  <c r="V708" i="1"/>
  <c r="N617" i="1"/>
  <c r="V624" i="1"/>
  <c r="V468" i="1"/>
  <c r="V496" i="1"/>
  <c r="V226" i="1"/>
  <c r="V482" i="1"/>
  <c r="V524" i="1"/>
  <c r="V368" i="1"/>
  <c r="V212" i="1"/>
  <c r="V666" i="1"/>
  <c r="V184" i="1"/>
  <c r="V326" i="1"/>
  <c r="V638" i="1"/>
  <c r="V340" i="1"/>
  <c r="V354" i="1"/>
  <c r="V198" i="1"/>
  <c r="I5" i="1"/>
  <c r="N81" i="1"/>
  <c r="V510" i="1"/>
  <c r="I2" i="1"/>
</calcChain>
</file>

<file path=xl/sharedStrings.xml><?xml version="1.0" encoding="utf-8"?>
<sst xmlns="http://schemas.openxmlformats.org/spreadsheetml/2006/main" count="1536" uniqueCount="97">
  <si>
    <t>Übersicht</t>
  </si>
  <si>
    <t>Equity Value</t>
  </si>
  <si>
    <t>Real Value won</t>
  </si>
  <si>
    <t>LOL</t>
  </si>
  <si>
    <t>Overall Balance</t>
  </si>
  <si>
    <t>LCK</t>
  </si>
  <si>
    <t>EU LCS</t>
  </si>
  <si>
    <t>NA LCS</t>
  </si>
  <si>
    <t>Week 1</t>
  </si>
  <si>
    <t>Team1</t>
  </si>
  <si>
    <t>Team2</t>
  </si>
  <si>
    <t>W%-T2</t>
  </si>
  <si>
    <t>Quote T1</t>
  </si>
  <si>
    <t>Quote T2</t>
  </si>
  <si>
    <t>Betscore T1</t>
  </si>
  <si>
    <t>Betscore T2</t>
  </si>
  <si>
    <t>EV / Game</t>
  </si>
  <si>
    <t>EV / Week</t>
  </si>
  <si>
    <t>Resultat</t>
  </si>
  <si>
    <t>Verhältnis EV/Real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</si>
  <si>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</si>
  <si>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</si>
  <si>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</si>
  <si>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</si>
  <si>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</si>
  <si>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</si>
  <si>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</si>
  <si>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</si>
  <si>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</si>
  <si>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Gewinn/Woche</t>
  </si>
  <si>
    <t>Ausstehende Wetten</t>
  </si>
  <si>
    <t>Verhältnis Real/EV</t>
  </si>
  <si>
    <t>Wetten gewonnen</t>
  </si>
  <si>
    <t>Tendenzen richtig</t>
  </si>
  <si>
    <t>ROI-T</t>
  </si>
  <si>
    <t>€</t>
  </si>
  <si>
    <t>Tendenz</t>
  </si>
  <si>
    <t>EV/real</t>
  </si>
  <si>
    <t>LMS</t>
  </si>
  <si>
    <t>real</t>
  </si>
  <si>
    <t>sollte sein</t>
  </si>
  <si>
    <t>Grundeinsatz (€)</t>
  </si>
  <si>
    <t>€ By EV</t>
  </si>
  <si>
    <t>€ By Tendency</t>
  </si>
  <si>
    <t>Rundungsfehler</t>
  </si>
  <si>
    <t>Gewinn (Vielfache Grundeinsatz)</t>
  </si>
  <si>
    <t>0/0</t>
  </si>
  <si>
    <t>Smartboosttab</t>
  </si>
  <si>
    <t>Betting Size</t>
  </si>
  <si>
    <t>W%-T1</t>
  </si>
  <si>
    <t>1,72</t>
  </si>
  <si>
    <t>2</t>
  </si>
  <si>
    <t>T2</t>
  </si>
  <si>
    <t>T1</t>
  </si>
  <si>
    <t>bbq</t>
  </si>
  <si>
    <t xml:space="preserve"> </t>
  </si>
  <si>
    <t>kgm</t>
  </si>
  <si>
    <t>jt</t>
  </si>
  <si>
    <t>mad</t>
  </si>
  <si>
    <t>hka</t>
  </si>
  <si>
    <t>ahq</t>
  </si>
  <si>
    <t>m17</t>
  </si>
  <si>
    <t>fw</t>
  </si>
  <si>
    <t>ta</t>
  </si>
  <si>
    <t>rex</t>
  </si>
  <si>
    <t>AFs</t>
  </si>
  <si>
    <t>C9</t>
  </si>
  <si>
    <t>CG</t>
  </si>
  <si>
    <t>´CG</t>
  </si>
  <si>
    <t>CLG</t>
  </si>
  <si>
    <t>FLY</t>
  </si>
  <si>
    <t>FNC</t>
  </si>
  <si>
    <t>FOX</t>
  </si>
  <si>
    <t>G2</t>
  </si>
  <si>
    <t>GGS</t>
  </si>
  <si>
    <t>GIA</t>
  </si>
  <si>
    <t>H2K</t>
  </si>
  <si>
    <t>JAG</t>
  </si>
  <si>
    <t>KDM</t>
  </si>
  <si>
    <t>KSV</t>
  </si>
  <si>
    <t>KT</t>
  </si>
  <si>
    <t>KZ</t>
  </si>
  <si>
    <t>MFS</t>
  </si>
  <si>
    <t>MVP</t>
  </si>
  <si>
    <t>OPT</t>
  </si>
  <si>
    <t>ROC</t>
  </si>
  <si>
    <t>ROX</t>
  </si>
  <si>
    <t>S04</t>
  </si>
  <si>
    <t>SKT</t>
  </si>
  <si>
    <t>SKT1</t>
  </si>
  <si>
    <t>SPY</t>
  </si>
  <si>
    <t>TL</t>
  </si>
  <si>
    <t>TSM</t>
  </si>
  <si>
    <t>UOL</t>
  </si>
  <si>
    <t>VIT</t>
  </si>
  <si>
    <t>t1</t>
  </si>
  <si>
    <t>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</si>
</sst>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0.000"/>
  </numFmts>
  <fonts count="29" x14ac:knownFonts="1">
    <font>
      <sz val="11"/>
      <color theme="1"/>
      <name val="Calibri"/>
      <family val="2"/>
      <scheme val="minor"/>
    </font>
    <font>
      <sz val="16"/>
      <color rgb="FF339966"/>
      <name val="Calibri"/>
      <family val="2"/>
    </font>
    <font>
      <sz val="16"/>
      <color rgb="FFFF0000"/>
      <name val="Calibri"/>
      <family val="2"/>
    </font>
    <font>
      <sz val="26"/>
      <color theme="0"/>
      <name val="Georgia"/>
      <family val="1"/>
    </font>
    <font>
      <sz val="12"/>
      <name val="Georgia"/>
      <family val="1"/>
    </font>
    <font>
      <b/>
      <sz val="14"/>
      <name val="Georgia"/>
      <family val="1"/>
    </font>
    <font>
      <b/>
      <sz val="12"/>
      <name val="Georgia"/>
      <family val="1"/>
    </font>
    <font>
      <sz val="12"/>
      <name val="Century Schoolbook"/>
      <family val="1"/>
    </font>
    <font>
      <u/>
      <sz val="12"/>
      <name val="Century Schoolbook"/>
      <family val="1"/>
    </font>
    <font>
      <b/>
      <sz val="18"/>
      <color rgb="FF7030A0"/>
      <name val="Georgia"/>
      <family val="1"/>
    </font>
    <font>
      <b/>
      <sz val="18"/>
      <name val="Georgia"/>
      <family val="1"/>
    </font>
    <font>
      <sz val="12"/>
      <color rgb="FFFF0000"/>
      <name val="Century Schoolbook"/>
      <family val="1"/>
    </font>
    <font>
      <sz val="11"/>
      <color theme="1"/>
      <name val="Calibri"/>
      <family val="2"/>
      <scheme val="minor"/>
    </font>
    <font>
      <b/>
      <sz val="10"/>
      <name val="Georgia"/>
      <family val="1"/>
    </font>
    <font>
      <b/>
      <i/>
      <u/>
      <sz val="12"/>
      <name val="Century Schoolbook"/>
      <family val="1"/>
    </font>
    <font>
      <sz val="20"/>
      <color theme="0"/>
      <name val="Century Schoolbook"/>
      <family val="1"/>
    </font>
    <font>
      <b/>
      <sz val="12"/>
      <name val="Century Schoolbook"/>
      <family val="1"/>
    </font>
    <font>
      <sz val="14"/>
      <color theme="0"/>
      <name val="Century Schoolbook"/>
      <family val="1"/>
    </font>
    <font>
      <sz val="18"/>
      <color theme="0"/>
      <name val="Century Schoolbook"/>
      <family val="1"/>
    </font>
    <font>
      <b/>
      <sz val="14"/>
      <color theme="0"/>
      <name val="Calibri"/>
      <family val="2"/>
      <scheme val="minor"/>
    </font>
    <font>
      <b/>
      <sz val="12"/>
      <color theme="0"/>
      <name val="Century Schoolbook"/>
      <family val="1"/>
    </font>
    <font>
      <sz val="11"/>
      <color rgb="FF000000"/>
      <name val="Calibri"/>
      <family val="3"/>
      <charset val="1"/>
      <scheme val="minor"/>
    </font>
    <font>
      <b/>
      <sz val="14"/>
      <name val="Marlett"/>
      <charset val="2"/>
    </font>
    <font>
      <sz val="36"/>
      <name val="Century Schoolbook"/>
      <family val="1"/>
    </font>
    <font>
      <sz val="11"/>
      <name val="Calibri"/>
      <family val="2"/>
      <scheme val="minor"/>
    </font>
    <font>
      <sz val="22"/>
      <name val="Century Schoolbook"/>
      <family val="1"/>
    </font>
    <font>
      <sz val="11"/>
      <color rgb="FFFF0000"/>
      <name val="Calibri"/>
      <family val="2"/>
      <scheme val="minor"/>
    </font>
    <font>
      <sz val="16"/>
      <color theme="0"/>
      <name val="Century Schoolbook"/>
      <family val="1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64">
    <xf numFmtId="0" fontId="0" fillId="0" borderId="0" xfId="0"/>
    <xf numFmtId="0" fontId="4" fillId="8" borderId="2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7" fillId="4" borderId="0" xfId="0" applyFont="1" applyFill="1"/>
    <xf numFmtId="0" fontId="8" fillId="4" borderId="0" xfId="0" applyFont="1" applyFill="1"/>
    <xf numFmtId="0" fontId="7" fillId="4" borderId="0" xfId="0" applyFont="1" applyFill="1" applyAlignment="1">
      <alignment horizontal="left" vertical="center"/>
    </xf>
    <xf numFmtId="0" fontId="7" fillId="4" borderId="0" xfId="0" applyNumberFormat="1" applyFont="1" applyFill="1"/>
    <xf numFmtId="2" fontId="7" fillId="4" borderId="0" xfId="0" applyNumberFormat="1" applyFont="1" applyFill="1"/>
    <xf numFmtId="0" fontId="7" fillId="0" borderId="0" xfId="0" applyFont="1" applyFill="1"/>
    <xf numFmtId="0" fontId="7" fillId="0" borderId="0" xfId="0" applyFont="1"/>
    <xf numFmtId="0" fontId="4" fillId="8" borderId="0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11" fillId="4" borderId="0" xfId="0" applyFont="1" applyFill="1"/>
    <xf numFmtId="0" fontId="12" fillId="4" borderId="0" xfId="0" applyFont="1" applyFill="1" applyBorder="1" applyAlignment="1">
      <alignment horizontal="center" vertical="center"/>
    </xf>
    <xf numFmtId="2" fontId="6" fillId="4" borderId="11" xfId="0" applyNumberFormat="1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4" fillId="8" borderId="0" xfId="0" applyFont="1" applyFill="1" applyBorder="1"/>
    <xf numFmtId="0" fontId="4" fillId="8" borderId="5" xfId="0" applyFont="1" applyFill="1" applyBorder="1"/>
    <xf numFmtId="49" fontId="13" fillId="4" borderId="15" xfId="0" applyNumberFormat="1" applyFont="1" applyFill="1" applyBorder="1" applyAlignment="1">
      <alignment horizontal="center" vertical="center"/>
    </xf>
    <xf numFmtId="49" fontId="13" fillId="4" borderId="14" xfId="0" applyNumberFormat="1" applyFont="1" applyFill="1" applyBorder="1" applyAlignment="1">
      <alignment horizontal="center" vertical="center"/>
    </xf>
    <xf numFmtId="0" fontId="6" fillId="4" borderId="11" xfId="0" applyNumberFormat="1" applyFont="1" applyFill="1" applyBorder="1" applyAlignment="1">
      <alignment horizontal="center" vertical="center"/>
    </xf>
    <xf numFmtId="0" fontId="4" fillId="8" borderId="7" xfId="0" applyFont="1" applyFill="1" applyBorder="1"/>
    <xf numFmtId="0" fontId="4" fillId="8" borderId="8" xfId="0" applyFont="1" applyFill="1" applyBorder="1"/>
    <xf numFmtId="164" fontId="6" fillId="4" borderId="6" xfId="0" applyNumberFormat="1" applyFont="1" applyFill="1" applyBorder="1" applyAlignment="1">
      <alignment horizontal="center" vertical="center"/>
    </xf>
    <xf numFmtId="164" fontId="6" fillId="4" borderId="15" xfId="0" applyNumberFormat="1" applyFont="1" applyFill="1" applyBorder="1" applyAlignment="1">
      <alignment horizontal="center" vertical="center"/>
    </xf>
    <xf numFmtId="0" fontId="6" fillId="4" borderId="10" xfId="0" applyNumberFormat="1" applyFont="1" applyFill="1" applyBorder="1" applyAlignment="1">
      <alignment horizontal="center" vertical="center"/>
    </xf>
    <xf numFmtId="0" fontId="7" fillId="9" borderId="0" xfId="0" applyFont="1" applyFill="1"/>
    <xf numFmtId="0" fontId="14" fillId="9" borderId="0" xfId="0" applyFont="1" applyFill="1"/>
    <xf numFmtId="0" fontId="7" fillId="9" borderId="0" xfId="0" applyNumberFormat="1" applyFont="1" applyFill="1"/>
    <xf numFmtId="2" fontId="7" fillId="9" borderId="0" xfId="0" applyNumberFormat="1" applyFont="1" applyFill="1"/>
    <xf numFmtId="0" fontId="7" fillId="0" borderId="0" xfId="0" applyNumberFormat="1" applyFont="1"/>
    <xf numFmtId="2" fontId="7" fillId="0" borderId="0" xfId="0" applyNumberFormat="1" applyFont="1"/>
    <xf numFmtId="0" fontId="7" fillId="7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7" fillId="0" borderId="0" xfId="0" applyNumberFormat="1" applyFont="1" applyFill="1"/>
    <xf numFmtId="2" fontId="7" fillId="0" borderId="0" xfId="0" applyNumberFormat="1" applyFont="1" applyFill="1"/>
    <xf numFmtId="0" fontId="7" fillId="7" borderId="4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7" borderId="4" xfId="0" applyFont="1" applyFill="1" applyBorder="1"/>
    <xf numFmtId="0" fontId="7" fillId="7" borderId="0" xfId="0" applyFont="1" applyFill="1" applyBorder="1"/>
    <xf numFmtId="0" fontId="7" fillId="7" borderId="5" xfId="0" applyFont="1" applyFill="1" applyBorder="1"/>
    <xf numFmtId="0" fontId="7" fillId="7" borderId="6" xfId="0" applyFont="1" applyFill="1" applyBorder="1"/>
    <xf numFmtId="0" fontId="7" fillId="7" borderId="7" xfId="0" applyFont="1" applyFill="1" applyBorder="1"/>
    <xf numFmtId="0" fontId="7" fillId="7" borderId="8" xfId="0" applyFont="1" applyFill="1" applyBorder="1"/>
    <xf numFmtId="0" fontId="7" fillId="4" borderId="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 applyAlignment="1">
      <alignment horizontal="left" vertical="center"/>
    </xf>
    <xf numFmtId="0" fontId="16" fillId="4" borderId="1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0" fontId="16" fillId="4" borderId="10" xfId="0" applyFont="1" applyFill="1" applyBorder="1" applyAlignment="1">
      <alignment horizontal="center" vertical="center"/>
    </xf>
    <xf numFmtId="0" fontId="7" fillId="9" borderId="0" xfId="0" applyFont="1" applyFill="1" applyBorder="1"/>
    <xf numFmtId="0" fontId="19" fillId="6" borderId="2" xfId="0" applyFont="1" applyFill="1" applyBorder="1" applyAlignment="1">
      <alignment horizontal="center" vertical="center"/>
    </xf>
    <xf numFmtId="0" fontId="19" fillId="6" borderId="3" xfId="0" applyFont="1" applyFill="1" applyBorder="1" applyAlignment="1">
      <alignment horizontal="center" vertical="center"/>
    </xf>
    <xf numFmtId="0" fontId="16" fillId="9" borderId="0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0" fillId="3" borderId="9" xfId="0" applyNumberFormat="1" applyFont="1" applyFill="1" applyBorder="1" applyAlignment="1">
      <alignment horizontal="center"/>
    </xf>
    <xf numFmtId="2" fontId="20" fillId="3" borderId="9" xfId="0" applyNumberFormat="1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22" fillId="0" borderId="9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7" fillId="0" borderId="11" xfId="0" applyNumberFormat="1" applyFont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21" fillId="4" borderId="0" xfId="0" applyFont="1" applyFill="1" applyBorder="1" applyAlignment="1">
      <alignment horizontal="center" vertical="center" wrapText="1"/>
    </xf>
    <xf numFmtId="0" fontId="12" fillId="4" borderId="5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2" fontId="20" fillId="3" borderId="11" xfId="0" applyNumberFormat="1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0" fontId="7" fillId="0" borderId="10" xfId="0" applyNumberFormat="1" applyFont="1" applyBorder="1" applyAlignment="1">
      <alignment horizontal="center" vertical="center"/>
    </xf>
    <xf numFmtId="0" fontId="22" fillId="0" borderId="10" xfId="0" applyFont="1" applyFill="1" applyBorder="1" applyAlignment="1">
      <alignment horizontal="center" vertical="center"/>
    </xf>
    <xf numFmtId="0" fontId="16" fillId="9" borderId="0" xfId="0" applyFont="1" applyFill="1"/>
    <xf numFmtId="0" fontId="21" fillId="4" borderId="1" xfId="0" applyFont="1" applyFill="1" applyBorder="1" applyAlignment="1">
      <alignment horizontal="center" vertical="center" wrapText="1"/>
    </xf>
    <xf numFmtId="0" fontId="21" fillId="2" borderId="4" xfId="0" applyFont="1" applyFill="1" applyBorder="1" applyAlignment="1">
      <alignment horizontal="center" vertical="center" wrapText="1"/>
    </xf>
    <xf numFmtId="0" fontId="21" fillId="4" borderId="4" xfId="0" applyFont="1" applyFill="1" applyBorder="1" applyAlignment="1">
      <alignment horizontal="center" vertical="center" wrapText="1"/>
    </xf>
    <xf numFmtId="0" fontId="12" fillId="4" borderId="0" xfId="0" applyNumberFormat="1" applyFont="1" applyFill="1" applyBorder="1" applyAlignment="1">
      <alignment horizontal="center" vertical="center"/>
    </xf>
    <xf numFmtId="0" fontId="24" fillId="4" borderId="5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1" fillId="2" borderId="6" xfId="0" applyFont="1" applyFill="1" applyBorder="1" applyAlignment="1">
      <alignment horizontal="center" vertical="center" wrapText="1"/>
    </xf>
    <xf numFmtId="0" fontId="12" fillId="4" borderId="2" xfId="0" applyNumberFormat="1" applyFont="1" applyFill="1" applyBorder="1" applyAlignment="1">
      <alignment horizontal="center" vertical="center"/>
    </xf>
    <xf numFmtId="0" fontId="12" fillId="2" borderId="0" xfId="0" applyNumberFormat="1" applyFont="1" applyFill="1" applyBorder="1" applyAlignment="1">
      <alignment horizontal="center" vertical="center"/>
    </xf>
    <xf numFmtId="0" fontId="12" fillId="2" borderId="7" xfId="0" applyNumberFormat="1" applyFont="1" applyFill="1" applyBorder="1" applyAlignment="1">
      <alignment horizontal="center" vertical="center"/>
    </xf>
    <xf numFmtId="0" fontId="7" fillId="5" borderId="0" xfId="0" applyFont="1" applyFill="1"/>
    <xf numFmtId="0" fontId="7" fillId="5" borderId="0" xfId="0" applyNumberFormat="1" applyFont="1" applyFill="1"/>
    <xf numFmtId="2" fontId="7" fillId="5" borderId="0" xfId="0" applyNumberFormat="1" applyFont="1" applyFill="1"/>
    <xf numFmtId="0" fontId="27" fillId="3" borderId="1" xfId="0" applyFont="1" applyFill="1" applyBorder="1" applyAlignment="1">
      <alignment horizontal="center" vertical="center" textRotation="255" wrapText="1"/>
    </xf>
    <xf numFmtId="0" fontId="27" fillId="3" borderId="4" xfId="0" applyFont="1" applyFill="1" applyBorder="1" applyAlignment="1">
      <alignment horizontal="center" vertical="center" textRotation="255" wrapText="1"/>
    </xf>
    <xf numFmtId="0" fontId="24" fillId="4" borderId="0" xfId="0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7" fillId="9" borderId="0" xfId="0" applyNumberFormat="1" applyFont="1" applyFill="1" applyBorder="1"/>
    <xf numFmtId="2" fontId="7" fillId="9" borderId="0" xfId="0" applyNumberFormat="1" applyFont="1" applyFill="1" applyBorder="1"/>
    <xf numFmtId="0" fontId="19" fillId="6" borderId="1" xfId="0" applyFont="1" applyFill="1" applyBorder="1" applyAlignment="1">
      <alignment horizontal="center" vertical="center"/>
    </xf>
    <xf numFmtId="0" fontId="7" fillId="9" borderId="0" xfId="0" applyNumberFormat="1" applyFont="1" applyFill="1" applyBorder="1" applyAlignment="1">
      <alignment horizontal="center" vertical="center"/>
    </xf>
    <xf numFmtId="2" fontId="25" fillId="9" borderId="0" xfId="0" applyNumberFormat="1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0" fillId="9" borderId="0" xfId="0" applyFont="1" applyFill="1" applyBorder="1" applyAlignment="1">
      <alignment horizontal="center" vertical="center"/>
    </xf>
    <xf numFmtId="0" fontId="20" fillId="9" borderId="0" xfId="0" applyNumberFormat="1" applyFont="1" applyFill="1" applyBorder="1" applyAlignment="1">
      <alignment horizontal="center"/>
    </xf>
    <xf numFmtId="2" fontId="20" fillId="9" borderId="0" xfId="0" applyNumberFormat="1" applyFont="1" applyFill="1" applyBorder="1" applyAlignment="1">
      <alignment horizontal="center" vertical="center"/>
    </xf>
    <xf numFmtId="2" fontId="23" fillId="9" borderId="0" xfId="0" applyNumberFormat="1" applyFont="1" applyFill="1" applyBorder="1" applyAlignment="1">
      <alignment horizontal="center" vertical="center"/>
    </xf>
    <xf numFmtId="2" fontId="7" fillId="9" borderId="0" xfId="0" applyNumberFormat="1" applyFont="1" applyFill="1" applyBorder="1" applyAlignment="1">
      <alignment horizontal="center" vertical="center"/>
    </xf>
    <xf numFmtId="0" fontId="21" fillId="5" borderId="4" xfId="0" applyFont="1" applyFill="1" applyBorder="1" applyAlignment="1">
      <alignment horizontal="center" vertical="center" wrapText="1"/>
    </xf>
    <xf numFmtId="0" fontId="12" fillId="5" borderId="0" xfId="0" applyFont="1" applyFill="1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/>
    </xf>
    <xf numFmtId="7" fontId="21" fillId="4" borderId="1" xfId="0" applyNumberFormat="1" applyFont="1" applyFill="1" applyBorder="1" applyAlignment="1">
      <alignment horizontal="center" vertical="center" wrapText="1"/>
    </xf>
    <xf numFmtId="0" fontId="0" fillId="4" borderId="2" xfId="0" applyFont="1" applyFill="1" applyBorder="1" applyAlignment="1">
      <alignment horizontal="center" vertical="center"/>
    </xf>
    <xf numFmtId="7" fontId="21" fillId="2" borderId="4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7" fontId="21" fillId="4" borderId="4" xfId="0" applyNumberFormat="1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/>
    </xf>
    <xf numFmtId="0" fontId="0" fillId="4" borderId="0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Border="1" applyAlignment="1">
      <alignment horizontal="center" vertical="center"/>
    </xf>
    <xf numFmtId="0" fontId="21" fillId="4" borderId="4" xfId="0" applyNumberFormat="1" applyFont="1" applyFill="1" applyBorder="1" applyAlignment="1">
      <alignment horizontal="center" vertical="center" wrapText="1"/>
    </xf>
    <xf numFmtId="0" fontId="21" fillId="2" borderId="6" xfId="0" applyNumberFormat="1" applyFont="1" applyFill="1" applyBorder="1" applyAlignment="1">
      <alignment horizontal="center" vertical="center" wrapText="1"/>
    </xf>
    <xf numFmtId="2" fontId="20" fillId="0" borderId="0" xfId="0" applyNumberFormat="1" applyFont="1" applyFill="1" applyBorder="1" applyAlignment="1">
      <alignment horizontal="center" vertical="center"/>
    </xf>
    <xf numFmtId="7" fontId="21" fillId="4" borderId="2" xfId="0" applyNumberFormat="1" applyFont="1" applyFill="1" applyBorder="1" applyAlignment="1">
      <alignment horizontal="center" vertical="center" wrapText="1"/>
    </xf>
    <xf numFmtId="7" fontId="21" fillId="2" borderId="0" xfId="0" applyNumberFormat="1" applyFont="1" applyFill="1" applyBorder="1" applyAlignment="1">
      <alignment horizontal="center" vertical="center" wrapText="1"/>
    </xf>
    <xf numFmtId="7" fontId="21" fillId="4" borderId="0" xfId="0" applyNumberFormat="1" applyFont="1" applyFill="1" applyBorder="1" applyAlignment="1">
      <alignment horizontal="center" vertical="center" wrapText="1"/>
    </xf>
    <xf numFmtId="7" fontId="21" fillId="2" borderId="7" xfId="0" applyNumberFormat="1" applyFont="1" applyFill="1" applyBorder="1" applyAlignment="1">
      <alignment horizontal="center" vertical="center" wrapText="1"/>
    </xf>
    <xf numFmtId="0" fontId="0" fillId="2" borderId="7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0" fillId="4" borderId="2" xfId="0" applyNumberFormat="1" applyFont="1" applyFill="1" applyBorder="1" applyAlignment="1">
      <alignment horizontal="center" vertical="center"/>
    </xf>
    <xf numFmtId="0" fontId="0" fillId="2" borderId="7" xfId="0" applyNumberFormat="1" applyFont="1" applyFill="1" applyBorder="1" applyAlignment="1">
      <alignment horizontal="center" vertical="center"/>
    </xf>
    <xf numFmtId="7" fontId="21" fillId="2" borderId="6" xfId="0" applyNumberFormat="1" applyFont="1" applyFill="1" applyBorder="1" applyAlignment="1">
      <alignment horizontal="center" vertical="center" wrapText="1"/>
    </xf>
    <xf numFmtId="2" fontId="12" fillId="4" borderId="2" xfId="0" applyNumberFormat="1" applyFont="1" applyFill="1" applyBorder="1" applyAlignment="1">
      <alignment horizontal="center" vertical="center"/>
    </xf>
    <xf numFmtId="2" fontId="12" fillId="4" borderId="3" xfId="0" applyNumberFormat="1" applyFont="1" applyFill="1" applyBorder="1" applyAlignment="1">
      <alignment horizontal="center" vertical="center"/>
    </xf>
    <xf numFmtId="2" fontId="12" fillId="2" borderId="0" xfId="0" applyNumberFormat="1" applyFont="1" applyFill="1" applyBorder="1" applyAlignment="1">
      <alignment horizontal="center" vertical="center"/>
    </xf>
    <xf numFmtId="2" fontId="12" fillId="2" borderId="5" xfId="0" applyNumberFormat="1" applyFont="1" applyFill="1" applyBorder="1" applyAlignment="1">
      <alignment horizontal="center" vertical="center"/>
    </xf>
    <xf numFmtId="2" fontId="12" fillId="4" borderId="0" xfId="0" applyNumberFormat="1" applyFont="1" applyFill="1" applyBorder="1" applyAlignment="1">
      <alignment horizontal="center" vertical="center"/>
    </xf>
    <xf numFmtId="2" fontId="12" fillId="4" borderId="5" xfId="0" applyNumberFormat="1" applyFont="1" applyFill="1" applyBorder="1" applyAlignment="1">
      <alignment horizontal="center" vertical="center"/>
    </xf>
    <xf numFmtId="2" fontId="24" fillId="4" borderId="5" xfId="0" applyNumberFormat="1" applyFont="1" applyFill="1" applyBorder="1" applyAlignment="1">
      <alignment horizontal="center" vertical="center"/>
    </xf>
    <xf numFmtId="2" fontId="24" fillId="2" borderId="5" xfId="0" applyNumberFormat="1" applyFont="1" applyFill="1" applyBorder="1" applyAlignment="1">
      <alignment horizontal="center" vertical="center"/>
    </xf>
    <xf numFmtId="2" fontId="12" fillId="2" borderId="7" xfId="0" applyNumberFormat="1" applyFont="1" applyFill="1" applyBorder="1" applyAlignment="1">
      <alignment horizontal="center" vertical="center"/>
    </xf>
    <xf numFmtId="2" fontId="12" fillId="2" borderId="8" xfId="0" applyNumberFormat="1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 textRotation="255" wrapText="1"/>
    </xf>
    <xf numFmtId="0" fontId="15" fillId="3" borderId="4" xfId="0" applyFont="1" applyFill="1" applyBorder="1" applyAlignment="1">
      <alignment horizontal="center" vertical="center" textRotation="255" wrapText="1"/>
    </xf>
    <xf numFmtId="0" fontId="15" fillId="3" borderId="6" xfId="0" applyFont="1" applyFill="1" applyBorder="1" applyAlignment="1">
      <alignment horizontal="center" vertical="center" textRotation="255" wrapText="1"/>
    </xf>
    <xf numFmtId="0" fontId="18" fillId="3" borderId="3" xfId="0" applyFont="1" applyFill="1" applyBorder="1" applyAlignment="1">
      <alignment horizontal="center" vertical="center" textRotation="90"/>
    </xf>
    <xf numFmtId="0" fontId="18" fillId="3" borderId="5" xfId="0" applyFont="1" applyFill="1" applyBorder="1" applyAlignment="1">
      <alignment horizontal="center" vertical="center" textRotation="90"/>
    </xf>
    <xf numFmtId="0" fontId="18" fillId="3" borderId="8" xfId="0" applyFont="1" applyFill="1" applyBorder="1" applyAlignment="1">
      <alignment horizontal="center" vertical="center" textRotation="90"/>
    </xf>
    <xf numFmtId="2" fontId="23" fillId="0" borderId="0" xfId="0" applyNumberFormat="1" applyFont="1" applyFill="1" applyBorder="1" applyAlignment="1">
      <alignment horizontal="center" vertical="center"/>
    </xf>
    <xf numFmtId="2" fontId="25" fillId="0" borderId="0" xfId="0" applyNumberFormat="1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7" borderId="11" xfId="0" applyFont="1" applyFill="1" applyBorder="1" applyAlignment="1">
      <alignment horizontal="center" vertical="center"/>
    </xf>
    <xf numFmtId="0" fontId="12" fillId="7" borderId="10" xfId="0" applyFont="1" applyFill="1" applyBorder="1" applyAlignment="1">
      <alignment horizontal="center" vertical="center"/>
    </xf>
    <xf numFmtId="2" fontId="23" fillId="0" borderId="11" xfId="0" applyNumberFormat="1" applyFont="1" applyBorder="1" applyAlignment="1">
      <alignment horizontal="center" vertical="center"/>
    </xf>
    <xf numFmtId="2" fontId="25" fillId="0" borderId="9" xfId="0" applyNumberFormat="1" applyFont="1" applyBorder="1" applyAlignment="1">
      <alignment horizontal="center" vertical="center"/>
    </xf>
    <xf numFmtId="2" fontId="25" fillId="0" borderId="11" xfId="0" applyNumberFormat="1" applyFont="1" applyBorder="1" applyAlignment="1">
      <alignment horizontal="center" vertical="center"/>
    </xf>
    <xf numFmtId="2" fontId="25" fillId="0" borderId="10" xfId="0" applyNumberFormat="1" applyFont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 textRotation="255" wrapText="1"/>
    </xf>
    <xf numFmtId="0" fontId="17" fillId="3" borderId="6" xfId="0" applyFont="1" applyFill="1" applyBorder="1" applyAlignment="1">
      <alignment horizontal="center" vertical="center" textRotation="255" wrapText="1"/>
    </xf>
    <xf numFmtId="0" fontId="13" fillId="4" borderId="12" xfId="0" applyFont="1" applyFill="1" applyBorder="1" applyAlignment="1">
      <alignment horizontal="center" vertical="center"/>
    </xf>
    <xf numFmtId="0" fontId="13" fillId="4" borderId="14" xfId="0" applyFont="1" applyFill="1" applyBorder="1" applyAlignment="1">
      <alignment horizontal="center" vertical="center"/>
    </xf>
    <xf numFmtId="0" fontId="6" fillId="4" borderId="1" xfId="0" applyNumberFormat="1" applyFont="1" applyFill="1" applyBorder="1" applyAlignment="1">
      <alignment horizontal="center" vertical="center"/>
    </xf>
    <xf numFmtId="0" fontId="6" fillId="4" borderId="3" xfId="0" applyNumberFormat="1" applyFont="1" applyFill="1" applyBorder="1" applyAlignment="1">
      <alignment horizontal="center" vertical="center"/>
    </xf>
    <xf numFmtId="0" fontId="6" fillId="4" borderId="6" xfId="0" applyNumberFormat="1" applyFont="1" applyFill="1" applyBorder="1" applyAlignment="1">
      <alignment horizontal="center" vertical="center"/>
    </xf>
    <xf numFmtId="0" fontId="6" fillId="4" borderId="8" xfId="0" applyNumberFormat="1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2" fontId="6" fillId="4" borderId="3" xfId="0" applyNumberFormat="1" applyFont="1" applyFill="1" applyBorder="1" applyAlignment="1">
      <alignment horizontal="center" vertical="center"/>
    </xf>
    <xf numFmtId="2" fontId="6" fillId="4" borderId="6" xfId="0" applyNumberFormat="1" applyFont="1" applyFill="1" applyBorder="1" applyAlignment="1">
      <alignment horizontal="center" vertical="center"/>
    </xf>
    <xf numFmtId="2" fontId="6" fillId="4" borderId="8" xfId="0" applyNumberFormat="1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horizontal="center" vertical="center"/>
    </xf>
    <xf numFmtId="49" fontId="10" fillId="4" borderId="6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 textRotation="90" wrapText="1"/>
    </xf>
    <xf numFmtId="0" fontId="6" fillId="4" borderId="13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49" fontId="10" fillId="4" borderId="2" xfId="0" applyNumberFormat="1" applyFont="1" applyFill="1" applyBorder="1" applyAlignment="1">
      <alignment horizontal="center" vertical="center"/>
    </xf>
    <xf numFmtId="49" fontId="10" fillId="4" borderId="3" xfId="0" applyNumberFormat="1" applyFont="1" applyFill="1" applyBorder="1" applyAlignment="1">
      <alignment horizontal="center" vertical="center"/>
    </xf>
    <xf numFmtId="49" fontId="10" fillId="4" borderId="7" xfId="0" applyNumberFormat="1" applyFont="1" applyFill="1" applyBorder="1" applyAlignment="1">
      <alignment horizontal="center" vertical="center"/>
    </xf>
    <xf numFmtId="49" fontId="10" fillId="4" borderId="8" xfId="0" applyNumberFormat="1" applyFont="1" applyFill="1" applyBorder="1" applyAlignment="1">
      <alignment horizontal="center" vertical="center"/>
    </xf>
    <xf numFmtId="2" fontId="9" fillId="4" borderId="11" xfId="0" applyNumberFormat="1" applyFont="1" applyFill="1" applyBorder="1" applyAlignment="1">
      <alignment horizontal="center" vertical="center"/>
    </xf>
    <xf numFmtId="2" fontId="10" fillId="4" borderId="11" xfId="0" applyNumberFormat="1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2" fontId="5" fillId="4" borderId="1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 textRotation="255" wrapText="1"/>
    </xf>
    <xf numFmtId="0" fontId="15" fillId="3" borderId="0" xfId="0" applyFont="1" applyFill="1" applyBorder="1" applyAlignment="1">
      <alignment horizontal="center" vertical="center" textRotation="255" wrapText="1"/>
    </xf>
    <xf numFmtId="0" fontId="17" fillId="3" borderId="0" xfId="0" applyFont="1" applyFill="1" applyAlignment="1">
      <alignment horizontal="center" vertical="center" textRotation="255" wrapText="1"/>
    </xf>
    <xf numFmtId="0" fontId="16" fillId="4" borderId="0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 textRotation="255" wrapText="1"/>
    </xf>
    <xf numFmtId="0" fontId="16" fillId="4" borderId="2" xfId="0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6" fillId="4" borderId="10" xfId="0" applyFont="1" applyFill="1" applyBorder="1" applyAlignment="1">
      <alignment horizontal="center" vertical="center"/>
    </xf>
    <xf numFmtId="2" fontId="16" fillId="2" borderId="1" xfId="0" applyNumberFormat="1" applyFont="1" applyFill="1" applyBorder="1" applyAlignment="1">
      <alignment horizontal="center" vertical="center"/>
    </xf>
    <xf numFmtId="2" fontId="16" fillId="2" borderId="2" xfId="0" applyNumberFormat="1" applyFont="1" applyFill="1" applyBorder="1" applyAlignment="1">
      <alignment horizontal="center" vertical="center"/>
    </xf>
    <xf numFmtId="2" fontId="16" fillId="2" borderId="3" xfId="0" applyNumberFormat="1" applyFont="1" applyFill="1" applyBorder="1" applyAlignment="1">
      <alignment horizontal="center" vertical="center"/>
    </xf>
    <xf numFmtId="2" fontId="16" fillId="2" borderId="6" xfId="0" applyNumberFormat="1" applyFont="1" applyFill="1" applyBorder="1" applyAlignment="1">
      <alignment horizontal="center" vertical="center"/>
    </xf>
    <xf numFmtId="2" fontId="16" fillId="2" borderId="7" xfId="0" applyNumberFormat="1" applyFont="1" applyFill="1" applyBorder="1" applyAlignment="1">
      <alignment horizontal="center" vertical="center"/>
    </xf>
    <xf numFmtId="2" fontId="16" fillId="2" borderId="8" xfId="0" applyNumberFormat="1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6" xfId="0" applyNumberFormat="1" applyFont="1" applyFill="1" applyBorder="1" applyAlignment="1">
      <alignment horizontal="center" vertical="center"/>
    </xf>
    <xf numFmtId="0" fontId="7" fillId="2" borderId="7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 textRotation="90"/>
    </xf>
    <xf numFmtId="0" fontId="18" fillId="3" borderId="11" xfId="0" applyFont="1" applyFill="1" applyBorder="1" applyAlignment="1">
      <alignment horizontal="center" vertical="center" textRotation="90"/>
    </xf>
    <xf numFmtId="0" fontId="18" fillId="3" borderId="10" xfId="0" applyFont="1" applyFill="1" applyBorder="1" applyAlignment="1">
      <alignment horizontal="center" vertical="center" textRotation="90"/>
    </xf>
    <xf numFmtId="0" fontId="6" fillId="4" borderId="1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2" fontId="5" fillId="4" borderId="3" xfId="0" applyNumberFormat="1" applyFont="1" applyFill="1" applyBorder="1" applyAlignment="1">
      <alignment horizontal="center" vertical="center"/>
    </xf>
    <xf numFmtId="2" fontId="5" fillId="4" borderId="6" xfId="0" applyNumberFormat="1" applyFont="1" applyFill="1" applyBorder="1" applyAlignment="1">
      <alignment horizontal="center" vertical="center"/>
    </xf>
    <xf numFmtId="2" fontId="5" fillId="4" borderId="8" xfId="0" applyNumberFormat="1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vertical="center" textRotation="90"/>
    </xf>
    <xf numFmtId="0" fontId="18" fillId="3" borderId="5" xfId="0" applyFont="1" applyFill="1" applyBorder="1" applyAlignment="1">
      <alignment vertical="center" textRotation="90"/>
    </xf>
    <xf numFmtId="0" fontId="18" fillId="3" borderId="8" xfId="0" applyFont="1" applyFill="1" applyBorder="1" applyAlignment="1">
      <alignment vertical="center" textRotation="90"/>
    </xf>
    <xf numFmtId="0" fontId="17" fillId="3" borderId="4" xfId="0" applyFont="1" applyFill="1" applyBorder="1" applyAlignment="1">
      <alignment horizontal="center" vertical="center" textRotation="90" wrapText="1"/>
    </xf>
    <xf numFmtId="0" fontId="17" fillId="3" borderId="6" xfId="0" applyFont="1" applyFill="1" applyBorder="1" applyAlignment="1">
      <alignment horizontal="center" vertical="center" textRotation="90" wrapText="1"/>
    </xf>
  </cellXfs>
  <cellStyles count="1">
    <cellStyle name="Standard" xfId="0" builtinId="0"/>
  </cellStyles>
  <dxfs count="1403"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color theme="0"/>
      </font>
    </dxf>
    <dxf>
      <font>
        <color theme="0"/>
      </font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EC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161925</xdr:rowOff>
        </xdr:from>
        <xdr:to>
          <xdr:col>3</xdr:col>
          <xdr:colOff>1323975</xdr:colOff>
          <xdr:row>2</xdr:row>
          <xdr:rowOff>142875</xdr:rowOff>
        </xdr:to>
        <xdr:sp macro="" textlink="">
          <xdr:nvSpPr>
            <xdr:cNvPr id="1025" name="Schaltfläche 1" descr="League of Legen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League of Legends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49</xdr:row>
          <xdr:rowOff>123825</xdr:rowOff>
        </xdr:from>
        <xdr:to>
          <xdr:col>2</xdr:col>
          <xdr:colOff>647700</xdr:colOff>
          <xdr:row>51</xdr:row>
          <xdr:rowOff>9525</xdr:rowOff>
        </xdr:to>
        <xdr:sp macro="" textlink="">
          <xdr:nvSpPr>
            <xdr:cNvPr id="1028" name="Button 4" descr="League of Legend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LCK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51</xdr:row>
          <xdr:rowOff>114300</xdr:rowOff>
        </xdr:from>
        <xdr:to>
          <xdr:col>2</xdr:col>
          <xdr:colOff>647700</xdr:colOff>
          <xdr:row>53</xdr:row>
          <xdr:rowOff>9525</xdr:rowOff>
        </xdr:to>
        <xdr:sp macro="" textlink="">
          <xdr:nvSpPr>
            <xdr:cNvPr id="1029" name="Button 5" descr="League of Legend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EU LCS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53</xdr:row>
          <xdr:rowOff>114300</xdr:rowOff>
        </xdr:from>
        <xdr:to>
          <xdr:col>2</xdr:col>
          <xdr:colOff>647700</xdr:colOff>
          <xdr:row>55</xdr:row>
          <xdr:rowOff>28575</xdr:rowOff>
        </xdr:to>
        <xdr:sp macro="" textlink="">
          <xdr:nvSpPr>
            <xdr:cNvPr id="1030" name="Button 6" descr="League of Legend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NA 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74</xdr:row>
          <xdr:rowOff>104775</xdr:rowOff>
        </xdr:from>
        <xdr:to>
          <xdr:col>3</xdr:col>
          <xdr:colOff>266700</xdr:colOff>
          <xdr:row>75</xdr:row>
          <xdr:rowOff>190500</xdr:rowOff>
        </xdr:to>
        <xdr:sp macro="" textlink="">
          <xdr:nvSpPr>
            <xdr:cNvPr id="1031" name="Button 7" descr="League of Legend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76</xdr:row>
          <xdr:rowOff>104775</xdr:rowOff>
        </xdr:from>
        <xdr:to>
          <xdr:col>3</xdr:col>
          <xdr:colOff>266700</xdr:colOff>
          <xdr:row>77</xdr:row>
          <xdr:rowOff>190500</xdr:rowOff>
        </xdr:to>
        <xdr:sp macro="" textlink="">
          <xdr:nvSpPr>
            <xdr:cNvPr id="1032" name="Button 8" descr="League of Legend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78</xdr:row>
          <xdr:rowOff>104775</xdr:rowOff>
        </xdr:from>
        <xdr:to>
          <xdr:col>3</xdr:col>
          <xdr:colOff>266700</xdr:colOff>
          <xdr:row>80</xdr:row>
          <xdr:rowOff>0</xdr:rowOff>
        </xdr:to>
        <xdr:sp macro="" textlink="">
          <xdr:nvSpPr>
            <xdr:cNvPr id="1033" name="Button 9" descr="League of Legend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034" name="Schaltfläche 10" descr="League of Legend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035" name="Schaltfläche 11" descr="League of Legend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036" name="Schaltfläche 12" descr="League of Legend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74</xdr:row>
          <xdr:rowOff>104775</xdr:rowOff>
        </xdr:from>
        <xdr:to>
          <xdr:col>8</xdr:col>
          <xdr:colOff>266700</xdr:colOff>
          <xdr:row>75</xdr:row>
          <xdr:rowOff>190500</xdr:rowOff>
        </xdr:to>
        <xdr:sp macro="" textlink="">
          <xdr:nvSpPr>
            <xdr:cNvPr id="1037" name="Schaltfläche 13" descr="League of Legend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76</xdr:row>
          <xdr:rowOff>104775</xdr:rowOff>
        </xdr:from>
        <xdr:to>
          <xdr:col>8</xdr:col>
          <xdr:colOff>266700</xdr:colOff>
          <xdr:row>77</xdr:row>
          <xdr:rowOff>190500</xdr:rowOff>
        </xdr:to>
        <xdr:sp macro="" textlink="">
          <xdr:nvSpPr>
            <xdr:cNvPr id="1038" name="Schaltfläche 14" descr="League of Legend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78</xdr:row>
          <xdr:rowOff>104775</xdr:rowOff>
        </xdr:from>
        <xdr:to>
          <xdr:col>8</xdr:col>
          <xdr:colOff>266700</xdr:colOff>
          <xdr:row>80</xdr:row>
          <xdr:rowOff>0</xdr:rowOff>
        </xdr:to>
        <xdr:sp macro="" textlink="">
          <xdr:nvSpPr>
            <xdr:cNvPr id="1039" name="Schaltfläche 15" descr="League of Legend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74</xdr:row>
          <xdr:rowOff>104775</xdr:rowOff>
        </xdr:from>
        <xdr:to>
          <xdr:col>10</xdr:col>
          <xdr:colOff>276225</xdr:colOff>
          <xdr:row>76</xdr:row>
          <xdr:rowOff>0</xdr:rowOff>
        </xdr:to>
        <xdr:sp macro="" textlink="">
          <xdr:nvSpPr>
            <xdr:cNvPr id="1040" name="Schaltfläche 16" descr="League of Legends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78</xdr:row>
          <xdr:rowOff>104775</xdr:rowOff>
        </xdr:from>
        <xdr:to>
          <xdr:col>10</xdr:col>
          <xdr:colOff>276225</xdr:colOff>
          <xdr:row>80</xdr:row>
          <xdr:rowOff>0</xdr:rowOff>
        </xdr:to>
        <xdr:sp macro="" textlink="">
          <xdr:nvSpPr>
            <xdr:cNvPr id="1041" name="Schaltfläche 17" descr="League of Legend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89</xdr:row>
          <xdr:rowOff>104775</xdr:rowOff>
        </xdr:from>
        <xdr:to>
          <xdr:col>3</xdr:col>
          <xdr:colOff>266700</xdr:colOff>
          <xdr:row>90</xdr:row>
          <xdr:rowOff>190500</xdr:rowOff>
        </xdr:to>
        <xdr:sp macro="" textlink="">
          <xdr:nvSpPr>
            <xdr:cNvPr id="1042" name="Button 18" descr="League of Legend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91</xdr:row>
          <xdr:rowOff>104775</xdr:rowOff>
        </xdr:from>
        <xdr:to>
          <xdr:col>3</xdr:col>
          <xdr:colOff>266700</xdr:colOff>
          <xdr:row>92</xdr:row>
          <xdr:rowOff>190500</xdr:rowOff>
        </xdr:to>
        <xdr:sp macro="" textlink="">
          <xdr:nvSpPr>
            <xdr:cNvPr id="1043" name="Button 19" descr="League of Legend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93</xdr:row>
          <xdr:rowOff>104775</xdr:rowOff>
        </xdr:from>
        <xdr:to>
          <xdr:col>3</xdr:col>
          <xdr:colOff>266700</xdr:colOff>
          <xdr:row>95</xdr:row>
          <xdr:rowOff>0</xdr:rowOff>
        </xdr:to>
        <xdr:sp macro="" textlink="">
          <xdr:nvSpPr>
            <xdr:cNvPr id="1044" name="Button 20" descr="League of Legend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045" name="Button 21" descr="League of Legend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046" name="Button 22" descr="League of Legends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047" name="Button 23" descr="League of Legend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89</xdr:row>
          <xdr:rowOff>104775</xdr:rowOff>
        </xdr:from>
        <xdr:to>
          <xdr:col>8</xdr:col>
          <xdr:colOff>266700</xdr:colOff>
          <xdr:row>90</xdr:row>
          <xdr:rowOff>190500</xdr:rowOff>
        </xdr:to>
        <xdr:sp macro="" textlink="">
          <xdr:nvSpPr>
            <xdr:cNvPr id="1048" name="Button 24" descr="League of Legend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91</xdr:row>
          <xdr:rowOff>104775</xdr:rowOff>
        </xdr:from>
        <xdr:to>
          <xdr:col>8</xdr:col>
          <xdr:colOff>266700</xdr:colOff>
          <xdr:row>92</xdr:row>
          <xdr:rowOff>190500</xdr:rowOff>
        </xdr:to>
        <xdr:sp macro="" textlink="">
          <xdr:nvSpPr>
            <xdr:cNvPr id="1049" name="Button 25" descr="League of Legend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93</xdr:row>
          <xdr:rowOff>104775</xdr:rowOff>
        </xdr:from>
        <xdr:to>
          <xdr:col>8</xdr:col>
          <xdr:colOff>266700</xdr:colOff>
          <xdr:row>95</xdr:row>
          <xdr:rowOff>0</xdr:rowOff>
        </xdr:to>
        <xdr:sp macro="" textlink="">
          <xdr:nvSpPr>
            <xdr:cNvPr id="1050" name="Button 26" descr="League of Legend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89</xdr:row>
          <xdr:rowOff>104775</xdr:rowOff>
        </xdr:from>
        <xdr:to>
          <xdr:col>10</xdr:col>
          <xdr:colOff>276225</xdr:colOff>
          <xdr:row>91</xdr:row>
          <xdr:rowOff>0</xdr:rowOff>
        </xdr:to>
        <xdr:sp macro="" textlink="">
          <xdr:nvSpPr>
            <xdr:cNvPr id="1051" name="Button 27" descr="League of Legend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93</xdr:row>
          <xdr:rowOff>104775</xdr:rowOff>
        </xdr:from>
        <xdr:to>
          <xdr:col>10</xdr:col>
          <xdr:colOff>276225</xdr:colOff>
          <xdr:row>95</xdr:row>
          <xdr:rowOff>0</xdr:rowOff>
        </xdr:to>
        <xdr:sp macro="" textlink="">
          <xdr:nvSpPr>
            <xdr:cNvPr id="1052" name="Button 28" descr="League of Legend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104</xdr:row>
          <xdr:rowOff>104775</xdr:rowOff>
        </xdr:from>
        <xdr:to>
          <xdr:col>3</xdr:col>
          <xdr:colOff>266700</xdr:colOff>
          <xdr:row>105</xdr:row>
          <xdr:rowOff>190500</xdr:rowOff>
        </xdr:to>
        <xdr:sp macro="" textlink="">
          <xdr:nvSpPr>
            <xdr:cNvPr id="1053" name="Button 29" descr="League of Legend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106</xdr:row>
          <xdr:rowOff>104775</xdr:rowOff>
        </xdr:from>
        <xdr:to>
          <xdr:col>3</xdr:col>
          <xdr:colOff>266700</xdr:colOff>
          <xdr:row>107</xdr:row>
          <xdr:rowOff>190500</xdr:rowOff>
        </xdr:to>
        <xdr:sp macro="" textlink="">
          <xdr:nvSpPr>
            <xdr:cNvPr id="1054" name="Button 30" descr="League of Legend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108</xdr:row>
          <xdr:rowOff>104775</xdr:rowOff>
        </xdr:from>
        <xdr:to>
          <xdr:col>3</xdr:col>
          <xdr:colOff>266700</xdr:colOff>
          <xdr:row>110</xdr:row>
          <xdr:rowOff>0</xdr:rowOff>
        </xdr:to>
        <xdr:sp macro="" textlink="">
          <xdr:nvSpPr>
            <xdr:cNvPr id="1055" name="Button 31" descr="League of Legend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056" name="Button 32" descr="League of Legend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057" name="Button 33" descr="League of Legend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058" name="Button 34" descr="League of Legend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104</xdr:row>
          <xdr:rowOff>104775</xdr:rowOff>
        </xdr:from>
        <xdr:to>
          <xdr:col>8</xdr:col>
          <xdr:colOff>266700</xdr:colOff>
          <xdr:row>105</xdr:row>
          <xdr:rowOff>190500</xdr:rowOff>
        </xdr:to>
        <xdr:sp macro="" textlink="">
          <xdr:nvSpPr>
            <xdr:cNvPr id="1059" name="Button 35" descr="League of Legend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106</xdr:row>
          <xdr:rowOff>104775</xdr:rowOff>
        </xdr:from>
        <xdr:to>
          <xdr:col>8</xdr:col>
          <xdr:colOff>266700</xdr:colOff>
          <xdr:row>107</xdr:row>
          <xdr:rowOff>190500</xdr:rowOff>
        </xdr:to>
        <xdr:sp macro="" textlink="">
          <xdr:nvSpPr>
            <xdr:cNvPr id="1060" name="Button 36" descr="League of Legend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108</xdr:row>
          <xdr:rowOff>104775</xdr:rowOff>
        </xdr:from>
        <xdr:to>
          <xdr:col>8</xdr:col>
          <xdr:colOff>266700</xdr:colOff>
          <xdr:row>110</xdr:row>
          <xdr:rowOff>0</xdr:rowOff>
        </xdr:to>
        <xdr:sp macro="" textlink="">
          <xdr:nvSpPr>
            <xdr:cNvPr id="1061" name="Button 37" descr="League of Legend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104</xdr:row>
          <xdr:rowOff>104775</xdr:rowOff>
        </xdr:from>
        <xdr:to>
          <xdr:col>10</xdr:col>
          <xdr:colOff>276225</xdr:colOff>
          <xdr:row>106</xdr:row>
          <xdr:rowOff>0</xdr:rowOff>
        </xdr:to>
        <xdr:sp macro="" textlink="">
          <xdr:nvSpPr>
            <xdr:cNvPr id="1062" name="Button 38" descr="League of Legends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108</xdr:row>
          <xdr:rowOff>104775</xdr:rowOff>
        </xdr:from>
        <xdr:to>
          <xdr:col>10</xdr:col>
          <xdr:colOff>276225</xdr:colOff>
          <xdr:row>110</xdr:row>
          <xdr:rowOff>0</xdr:rowOff>
        </xdr:to>
        <xdr:sp macro="" textlink="">
          <xdr:nvSpPr>
            <xdr:cNvPr id="1063" name="Button 39" descr="League of Legend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161</xdr:row>
          <xdr:rowOff>28575</xdr:rowOff>
        </xdr:from>
        <xdr:to>
          <xdr:col>1</xdr:col>
          <xdr:colOff>733425</xdr:colOff>
          <xdr:row>162</xdr:row>
          <xdr:rowOff>85725</xdr:rowOff>
        </xdr:to>
        <xdr:sp macro="" textlink="">
          <xdr:nvSpPr>
            <xdr:cNvPr id="1076" name="Button 52" descr="League of Legends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175</xdr:row>
          <xdr:rowOff>28575</xdr:rowOff>
        </xdr:from>
        <xdr:to>
          <xdr:col>1</xdr:col>
          <xdr:colOff>733425</xdr:colOff>
          <xdr:row>176</xdr:row>
          <xdr:rowOff>85725</xdr:rowOff>
        </xdr:to>
        <xdr:sp macro="" textlink="">
          <xdr:nvSpPr>
            <xdr:cNvPr id="1077" name="Button 53" descr="League of Legend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189</xdr:row>
          <xdr:rowOff>28575</xdr:rowOff>
        </xdr:from>
        <xdr:to>
          <xdr:col>1</xdr:col>
          <xdr:colOff>733425</xdr:colOff>
          <xdr:row>190</xdr:row>
          <xdr:rowOff>85725</xdr:rowOff>
        </xdr:to>
        <xdr:sp macro="" textlink="">
          <xdr:nvSpPr>
            <xdr:cNvPr id="1078" name="Button 54" descr="League of Legends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203</xdr:row>
          <xdr:rowOff>28575</xdr:rowOff>
        </xdr:from>
        <xdr:to>
          <xdr:col>1</xdr:col>
          <xdr:colOff>733425</xdr:colOff>
          <xdr:row>204</xdr:row>
          <xdr:rowOff>85725</xdr:rowOff>
        </xdr:to>
        <xdr:sp macro="" textlink="">
          <xdr:nvSpPr>
            <xdr:cNvPr id="1079" name="Button 55" descr="League of Legend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217</xdr:row>
          <xdr:rowOff>28575</xdr:rowOff>
        </xdr:from>
        <xdr:to>
          <xdr:col>1</xdr:col>
          <xdr:colOff>733425</xdr:colOff>
          <xdr:row>218</xdr:row>
          <xdr:rowOff>85725</xdr:rowOff>
        </xdr:to>
        <xdr:sp macro="" textlink="">
          <xdr:nvSpPr>
            <xdr:cNvPr id="1080" name="Button 56" descr="League of Legends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231</xdr:row>
          <xdr:rowOff>28575</xdr:rowOff>
        </xdr:from>
        <xdr:to>
          <xdr:col>1</xdr:col>
          <xdr:colOff>733425</xdr:colOff>
          <xdr:row>232</xdr:row>
          <xdr:rowOff>85725</xdr:rowOff>
        </xdr:to>
        <xdr:sp macro="" textlink="">
          <xdr:nvSpPr>
            <xdr:cNvPr id="1081" name="Button 57" descr="League of Legend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245</xdr:row>
          <xdr:rowOff>28575</xdr:rowOff>
        </xdr:from>
        <xdr:to>
          <xdr:col>1</xdr:col>
          <xdr:colOff>733425</xdr:colOff>
          <xdr:row>246</xdr:row>
          <xdr:rowOff>85725</xdr:rowOff>
        </xdr:to>
        <xdr:sp macro="" textlink="">
          <xdr:nvSpPr>
            <xdr:cNvPr id="1082" name="Button 58" descr="League of Legends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259</xdr:row>
          <xdr:rowOff>28575</xdr:rowOff>
        </xdr:from>
        <xdr:to>
          <xdr:col>1</xdr:col>
          <xdr:colOff>733425</xdr:colOff>
          <xdr:row>260</xdr:row>
          <xdr:rowOff>85725</xdr:rowOff>
        </xdr:to>
        <xdr:sp macro="" textlink="">
          <xdr:nvSpPr>
            <xdr:cNvPr id="1083" name="Button 59" descr="League of Legend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273</xdr:row>
          <xdr:rowOff>28575</xdr:rowOff>
        </xdr:from>
        <xdr:to>
          <xdr:col>1</xdr:col>
          <xdr:colOff>733425</xdr:colOff>
          <xdr:row>274</xdr:row>
          <xdr:rowOff>85725</xdr:rowOff>
        </xdr:to>
        <xdr:sp macro="" textlink="">
          <xdr:nvSpPr>
            <xdr:cNvPr id="1084" name="Button 60" descr="League of Legends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087" name="Button 63" descr="League of Legend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88" name="Button 64" descr="League of Legend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89" name="Button 65" descr="League of Legend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0" name="Button 66" descr="League of Legends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091" name="Button 67" descr="League of Legend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092" name="Button 68" descr="League of Legends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093" name="Button 69" descr="League of Legend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094" name="Button 70" descr="League of Legends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095" name="Button 71" descr="League of Legend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096" name="Button 72" descr="League of Legends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97" name="Button 73" descr="League of Legend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98" name="Button 74" descr="League of Legends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9" name="Button 75" descr="League of Legend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100" name="Button 76" descr="League of Legends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101" name="Button 77" descr="League of Legend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102" name="Button 78" descr="League of Legends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103" name="Button 79" descr="League of Legend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104" name="Button 80" descr="League of Legend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105" name="Button 81" descr="League of Legend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7" name="Button 64" descr="League of Legend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8" name="Button 73" descr="League of Legends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09" name="Button 85" descr="League of Legend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10" name="Button 86" descr="League of Legends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1" name="Button 87" descr="League of Legend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2" name="Button 88" descr="League of Legends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3" name="Button 89" descr="League of Legend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4" name="Button 90" descr="League of Legends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5" name="Button 91" descr="League of Legend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6" name="Button 92" descr="League of Legends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7" name="Button 93" descr="League of Legend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8" name="Button 94" descr="League of Legends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19" name="Button 95" descr="League of Legend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20" name="Button 96" descr="League of Legends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1" name="Button 97" descr="League of Legend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2" name="Button 98" descr="League of Legends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3" name="Button 99" descr="League of Legend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4" name="Button 100" descr="League of Legends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5" name="Button 101" descr="League of Legend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6" name="Button 102" descr="League of Legends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55</xdr:row>
          <xdr:rowOff>142875</xdr:rowOff>
        </xdr:from>
        <xdr:to>
          <xdr:col>2</xdr:col>
          <xdr:colOff>647700</xdr:colOff>
          <xdr:row>57</xdr:row>
          <xdr:rowOff>47625</xdr:rowOff>
        </xdr:to>
        <xdr:sp macro="" textlink="">
          <xdr:nvSpPr>
            <xdr:cNvPr id="1127" name="Button 6" descr="League of Legend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LMS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119</xdr:row>
          <xdr:rowOff>104775</xdr:rowOff>
        </xdr:from>
        <xdr:to>
          <xdr:col>3</xdr:col>
          <xdr:colOff>266700</xdr:colOff>
          <xdr:row>120</xdr:row>
          <xdr:rowOff>190500</xdr:rowOff>
        </xdr:to>
        <xdr:sp macro="" textlink="">
          <xdr:nvSpPr>
            <xdr:cNvPr id="1128" name="Button 29" descr="League of Legends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121</xdr:row>
          <xdr:rowOff>104775</xdr:rowOff>
        </xdr:from>
        <xdr:to>
          <xdr:col>3</xdr:col>
          <xdr:colOff>266700</xdr:colOff>
          <xdr:row>122</xdr:row>
          <xdr:rowOff>190500</xdr:rowOff>
        </xdr:to>
        <xdr:sp macro="" textlink="">
          <xdr:nvSpPr>
            <xdr:cNvPr id="1129" name="Button 30" descr="League of Legend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123</xdr:row>
          <xdr:rowOff>104775</xdr:rowOff>
        </xdr:from>
        <xdr:to>
          <xdr:col>3</xdr:col>
          <xdr:colOff>266700</xdr:colOff>
          <xdr:row>125</xdr:row>
          <xdr:rowOff>0</xdr:rowOff>
        </xdr:to>
        <xdr:sp macro="" textlink="">
          <xdr:nvSpPr>
            <xdr:cNvPr id="1130" name="Button 31" descr="League of Legends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131" name="Button 32" descr="League of Legend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132" name="Button 33" descr="League of Legends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133" name="Button 34" descr="League of Legend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119</xdr:row>
          <xdr:rowOff>104775</xdr:rowOff>
        </xdr:from>
        <xdr:to>
          <xdr:col>8</xdr:col>
          <xdr:colOff>266700</xdr:colOff>
          <xdr:row>120</xdr:row>
          <xdr:rowOff>190500</xdr:rowOff>
        </xdr:to>
        <xdr:sp macro="" textlink="">
          <xdr:nvSpPr>
            <xdr:cNvPr id="1134" name="Button 35" descr="League of Legends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121</xdr:row>
          <xdr:rowOff>104775</xdr:rowOff>
        </xdr:from>
        <xdr:to>
          <xdr:col>8</xdr:col>
          <xdr:colOff>266700</xdr:colOff>
          <xdr:row>122</xdr:row>
          <xdr:rowOff>190500</xdr:rowOff>
        </xdr:to>
        <xdr:sp macro="" textlink="">
          <xdr:nvSpPr>
            <xdr:cNvPr id="1135" name="Button 36" descr="League of Legend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123</xdr:row>
          <xdr:rowOff>104775</xdr:rowOff>
        </xdr:from>
        <xdr:to>
          <xdr:col>8</xdr:col>
          <xdr:colOff>266700</xdr:colOff>
          <xdr:row>125</xdr:row>
          <xdr:rowOff>0</xdr:rowOff>
        </xdr:to>
        <xdr:sp macro="" textlink="">
          <xdr:nvSpPr>
            <xdr:cNvPr id="1136" name="Button 37" descr="League of Legends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119</xdr:row>
          <xdr:rowOff>104775</xdr:rowOff>
        </xdr:from>
        <xdr:to>
          <xdr:col>10</xdr:col>
          <xdr:colOff>276225</xdr:colOff>
          <xdr:row>121</xdr:row>
          <xdr:rowOff>0</xdr:rowOff>
        </xdr:to>
        <xdr:sp macro="" textlink="">
          <xdr:nvSpPr>
            <xdr:cNvPr id="1137" name="Button 38" descr="League of Legend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123</xdr:row>
          <xdr:rowOff>104775</xdr:rowOff>
        </xdr:from>
        <xdr:to>
          <xdr:col>10</xdr:col>
          <xdr:colOff>276225</xdr:colOff>
          <xdr:row>125</xdr:row>
          <xdr:rowOff>0</xdr:rowOff>
        </xdr:to>
        <xdr:sp macro="" textlink="">
          <xdr:nvSpPr>
            <xdr:cNvPr id="1138" name="Button 39" descr="League of Legends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39" name="Button 115" descr="League of Legend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40" name="Button 116" descr="League of Legends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1" name="Button 85" descr="League of Legend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2" name="Button 86" descr="League of Legends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3" name="Button 87" descr="League of Legend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4" name="Button 88" descr="League of Legends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5" name="Button 89" descr="League of Legend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6" name="Button 90" descr="League of Legends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7" name="Button 91" descr="League of Legend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8" name="Button 92" descr="League of Legends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49" name="Button 93" descr="League of Legend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50" name="Button 94" descr="League of Legends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1" name="Button 95" descr="League of Legend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2" name="Button 96" descr="League of Legends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3" name="Button 97" descr="League of Legend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4" name="Button 98" descr="League of Legends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5" name="Button 99" descr="League of Legend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6" name="Button 100" descr="League of Legends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7" name="Button 101" descr="League of Legend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8" name="Button 102" descr="League of Legends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59" name="Schaltfläche 51" descr="League of Legends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60" name="Button 101" descr="League of Legends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61" name="Button 102" descr="League of Legends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62" name="Button 4" descr="League of Legends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3" name="Schaltfläche 51" descr="League of Legends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4" name="Button 101" descr="League of Legends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5" name="Button 102" descr="League of Legends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238125</xdr:colOff>
          <xdr:row>0</xdr:row>
          <xdr:rowOff>123825</xdr:rowOff>
        </xdr:from>
        <xdr:to>
          <xdr:col>17</xdr:col>
          <xdr:colOff>28575</xdr:colOff>
          <xdr:row>2</xdr:row>
          <xdr:rowOff>114300</xdr:rowOff>
        </xdr:to>
        <xdr:sp macro="" textlink="">
          <xdr:nvSpPr>
            <xdr:cNvPr id="1166" name="cav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147</xdr:row>
          <xdr:rowOff>28575</xdr:rowOff>
        </xdr:from>
        <xdr:to>
          <xdr:col>1</xdr:col>
          <xdr:colOff>733425</xdr:colOff>
          <xdr:row>148</xdr:row>
          <xdr:rowOff>85725</xdr:rowOff>
        </xdr:to>
        <xdr:sp macro="" textlink="">
          <xdr:nvSpPr>
            <xdr:cNvPr id="1167" name="Button 52" descr="League of Legend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8" name="Button 63" descr="League of Legends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9" name="Button 145" descr="League of Legend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70" name="Button 146" descr="League of Legends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161925</xdr:rowOff>
        </xdr:from>
        <xdr:to>
          <xdr:col>3</xdr:col>
          <xdr:colOff>1323975</xdr:colOff>
          <xdr:row>2</xdr:row>
          <xdr:rowOff>142875</xdr:rowOff>
        </xdr:to>
        <xdr:sp macro="" textlink="">
          <xdr:nvSpPr>
            <xdr:cNvPr id="1171" name="Schaltfläche 1" descr="League of Legend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League of Legends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3</xdr:row>
          <xdr:rowOff>104775</xdr:rowOff>
        </xdr:from>
        <xdr:to>
          <xdr:col>3</xdr:col>
          <xdr:colOff>1323975</xdr:colOff>
          <xdr:row>5</xdr:row>
          <xdr:rowOff>76200</xdr:rowOff>
        </xdr:to>
        <xdr:sp macro="" textlink="">
          <xdr:nvSpPr>
            <xdr:cNvPr id="1172" name="Schaltfläche 2" descr="League of Legends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other Game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6</xdr:row>
          <xdr:rowOff>9525</xdr:rowOff>
        </xdr:from>
        <xdr:to>
          <xdr:col>3</xdr:col>
          <xdr:colOff>1323975</xdr:colOff>
          <xdr:row>7</xdr:row>
          <xdr:rowOff>180975</xdr:rowOff>
        </xdr:to>
        <xdr:sp macro="" textlink="">
          <xdr:nvSpPr>
            <xdr:cNvPr id="1173" name="Schaltfläche 3" descr="League of Legends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other Game 2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174" name="Schaltfläche 10" descr="League of Legends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175" name="Schaltfläche 11" descr="League of Legends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176" name="Schaltfläche 12" descr="League of Legends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177" name="Button 21" descr="League of Legends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178" name="Button 22" descr="League of Legends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179" name="Button 23" descr="League of Legends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180" name="Button 32" descr="League of Legends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181" name="Button 33" descr="League of Legends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182" name="Button 34" descr="League of Legends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183" name="Button 159" descr="League of Legends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184" name="Button 160" descr="League of Legends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185" name="Button 161" descr="League of Legends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86" name="Button 162" descr="League of Legends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238125</xdr:colOff>
          <xdr:row>3</xdr:row>
          <xdr:rowOff>57150</xdr:rowOff>
        </xdr:from>
        <xdr:to>
          <xdr:col>16</xdr:col>
          <xdr:colOff>104775</xdr:colOff>
          <xdr:row>4</xdr:row>
          <xdr:rowOff>152400</xdr:rowOff>
        </xdr:to>
        <xdr:sp macro="" textlink="">
          <xdr:nvSpPr>
            <xdr:cNvPr id="1187" name="Schaltfläche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Matches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238125</xdr:colOff>
          <xdr:row>5</xdr:row>
          <xdr:rowOff>28575</xdr:rowOff>
        </xdr:from>
        <xdr:to>
          <xdr:col>16</xdr:col>
          <xdr:colOff>95250</xdr:colOff>
          <xdr:row>6</xdr:row>
          <xdr:rowOff>123825</xdr:rowOff>
        </xdr:to>
        <xdr:sp macro="" textlink="">
          <xdr:nvSpPr>
            <xdr:cNvPr id="1188" name="Schaltfläche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238125</xdr:colOff>
          <xdr:row>7</xdr:row>
          <xdr:rowOff>47625</xdr:rowOff>
        </xdr:from>
        <xdr:to>
          <xdr:col>16</xdr:col>
          <xdr:colOff>104775</xdr:colOff>
          <xdr:row>8</xdr:row>
          <xdr:rowOff>114300</xdr:rowOff>
        </xdr:to>
        <xdr:sp macro="" textlink="">
          <xdr:nvSpPr>
            <xdr:cNvPr id="1189" name="Schaltfläche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5</xdr:row>
          <xdr:rowOff>19050</xdr:rowOff>
        </xdr:from>
        <xdr:to>
          <xdr:col>19</xdr:col>
          <xdr:colOff>838200</xdr:colOff>
          <xdr:row>6</xdr:row>
          <xdr:rowOff>123825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E8D4FB20-1E06-4AAF-A6B6-2C30A6D22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Weekly Win%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2.xml"/><Relationship Id="rId21" Type="http://schemas.openxmlformats.org/officeDocument/2006/relationships/ctrlProp" Target="../ctrlProps/ctrlProp16.xml"/><Relationship Id="rId42" Type="http://schemas.openxmlformats.org/officeDocument/2006/relationships/ctrlProp" Target="../ctrlProps/ctrlProp37.xml"/><Relationship Id="rId63" Type="http://schemas.openxmlformats.org/officeDocument/2006/relationships/ctrlProp" Target="../ctrlProps/ctrlProp58.xml"/><Relationship Id="rId84" Type="http://schemas.openxmlformats.org/officeDocument/2006/relationships/ctrlProp" Target="../ctrlProps/ctrlProp79.xml"/><Relationship Id="rId138" Type="http://schemas.openxmlformats.org/officeDocument/2006/relationships/ctrlProp" Target="../ctrlProps/ctrlProp133.xml"/><Relationship Id="rId107" Type="http://schemas.openxmlformats.org/officeDocument/2006/relationships/ctrlProp" Target="../ctrlProps/ctrlProp102.xml"/><Relationship Id="rId11" Type="http://schemas.openxmlformats.org/officeDocument/2006/relationships/ctrlProp" Target="../ctrlProps/ctrlProp6.xml"/><Relationship Id="rId32" Type="http://schemas.openxmlformats.org/officeDocument/2006/relationships/ctrlProp" Target="../ctrlProps/ctrlProp27.xml"/><Relationship Id="rId53" Type="http://schemas.openxmlformats.org/officeDocument/2006/relationships/ctrlProp" Target="../ctrlProps/ctrlProp48.xml"/><Relationship Id="rId74" Type="http://schemas.openxmlformats.org/officeDocument/2006/relationships/ctrlProp" Target="../ctrlProps/ctrlProp69.xml"/><Relationship Id="rId128" Type="http://schemas.openxmlformats.org/officeDocument/2006/relationships/ctrlProp" Target="../ctrlProps/ctrlProp123.xml"/><Relationship Id="rId149" Type="http://schemas.openxmlformats.org/officeDocument/2006/relationships/ctrlProp" Target="../ctrlProps/ctrlProp144.xml"/><Relationship Id="rId5" Type="http://schemas.openxmlformats.org/officeDocument/2006/relationships/image" Target="../media/image1.emf"/><Relationship Id="rId95" Type="http://schemas.openxmlformats.org/officeDocument/2006/relationships/ctrlProp" Target="../ctrlProps/ctrlProp90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64" Type="http://schemas.openxmlformats.org/officeDocument/2006/relationships/ctrlProp" Target="../ctrlProps/ctrlProp59.xml"/><Relationship Id="rId69" Type="http://schemas.openxmlformats.org/officeDocument/2006/relationships/ctrlProp" Target="../ctrlProps/ctrlProp64.xml"/><Relationship Id="rId113" Type="http://schemas.openxmlformats.org/officeDocument/2006/relationships/ctrlProp" Target="../ctrlProps/ctrlProp108.xml"/><Relationship Id="rId118" Type="http://schemas.openxmlformats.org/officeDocument/2006/relationships/ctrlProp" Target="../ctrlProps/ctrlProp113.xml"/><Relationship Id="rId134" Type="http://schemas.openxmlformats.org/officeDocument/2006/relationships/ctrlProp" Target="../ctrlProps/ctrlProp129.xml"/><Relationship Id="rId139" Type="http://schemas.openxmlformats.org/officeDocument/2006/relationships/ctrlProp" Target="../ctrlProps/ctrlProp134.xml"/><Relationship Id="rId80" Type="http://schemas.openxmlformats.org/officeDocument/2006/relationships/ctrlProp" Target="../ctrlProps/ctrlProp75.xml"/><Relationship Id="rId85" Type="http://schemas.openxmlformats.org/officeDocument/2006/relationships/ctrlProp" Target="../ctrlProps/ctrlProp80.xml"/><Relationship Id="rId150" Type="http://schemas.openxmlformats.org/officeDocument/2006/relationships/ctrlProp" Target="../ctrlProps/ctrlProp145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59" Type="http://schemas.openxmlformats.org/officeDocument/2006/relationships/ctrlProp" Target="../ctrlProps/ctrlProp54.xml"/><Relationship Id="rId103" Type="http://schemas.openxmlformats.org/officeDocument/2006/relationships/ctrlProp" Target="../ctrlProps/ctrlProp98.xml"/><Relationship Id="rId108" Type="http://schemas.openxmlformats.org/officeDocument/2006/relationships/ctrlProp" Target="../ctrlProps/ctrlProp103.xml"/><Relationship Id="rId124" Type="http://schemas.openxmlformats.org/officeDocument/2006/relationships/ctrlProp" Target="../ctrlProps/ctrlProp119.xml"/><Relationship Id="rId129" Type="http://schemas.openxmlformats.org/officeDocument/2006/relationships/ctrlProp" Target="../ctrlProps/ctrlProp124.xml"/><Relationship Id="rId54" Type="http://schemas.openxmlformats.org/officeDocument/2006/relationships/ctrlProp" Target="../ctrlProps/ctrlProp49.xml"/><Relationship Id="rId70" Type="http://schemas.openxmlformats.org/officeDocument/2006/relationships/ctrlProp" Target="../ctrlProps/ctrlProp65.xml"/><Relationship Id="rId75" Type="http://schemas.openxmlformats.org/officeDocument/2006/relationships/ctrlProp" Target="../ctrlProps/ctrlProp70.xml"/><Relationship Id="rId91" Type="http://schemas.openxmlformats.org/officeDocument/2006/relationships/ctrlProp" Target="../ctrlProps/ctrlProp86.xml"/><Relationship Id="rId96" Type="http://schemas.openxmlformats.org/officeDocument/2006/relationships/ctrlProp" Target="../ctrlProps/ctrlProp91.xml"/><Relationship Id="rId140" Type="http://schemas.openxmlformats.org/officeDocument/2006/relationships/ctrlProp" Target="../ctrlProps/ctrlProp135.xml"/><Relationship Id="rId145" Type="http://schemas.openxmlformats.org/officeDocument/2006/relationships/ctrlProp" Target="../ctrlProps/ctrlProp140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49" Type="http://schemas.openxmlformats.org/officeDocument/2006/relationships/ctrlProp" Target="../ctrlProps/ctrlProp44.xml"/><Relationship Id="rId114" Type="http://schemas.openxmlformats.org/officeDocument/2006/relationships/ctrlProp" Target="../ctrlProps/ctrlProp109.xml"/><Relationship Id="rId119" Type="http://schemas.openxmlformats.org/officeDocument/2006/relationships/ctrlProp" Target="../ctrlProps/ctrlProp114.xml"/><Relationship Id="rId44" Type="http://schemas.openxmlformats.org/officeDocument/2006/relationships/ctrlProp" Target="../ctrlProps/ctrlProp39.xml"/><Relationship Id="rId60" Type="http://schemas.openxmlformats.org/officeDocument/2006/relationships/ctrlProp" Target="../ctrlProps/ctrlProp55.xml"/><Relationship Id="rId65" Type="http://schemas.openxmlformats.org/officeDocument/2006/relationships/ctrlProp" Target="../ctrlProps/ctrlProp60.xml"/><Relationship Id="rId81" Type="http://schemas.openxmlformats.org/officeDocument/2006/relationships/ctrlProp" Target="../ctrlProps/ctrlProp76.xml"/><Relationship Id="rId86" Type="http://schemas.openxmlformats.org/officeDocument/2006/relationships/ctrlProp" Target="../ctrlProps/ctrlProp81.xml"/><Relationship Id="rId130" Type="http://schemas.openxmlformats.org/officeDocument/2006/relationships/ctrlProp" Target="../ctrlProps/ctrlProp125.xml"/><Relationship Id="rId135" Type="http://schemas.openxmlformats.org/officeDocument/2006/relationships/ctrlProp" Target="../ctrlProps/ctrlProp130.xml"/><Relationship Id="rId151" Type="http://schemas.openxmlformats.org/officeDocument/2006/relationships/ctrlProp" Target="../ctrlProps/ctrlProp146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9" Type="http://schemas.openxmlformats.org/officeDocument/2006/relationships/ctrlProp" Target="../ctrlProps/ctrlProp34.xml"/><Relationship Id="rId109" Type="http://schemas.openxmlformats.org/officeDocument/2006/relationships/ctrlProp" Target="../ctrlProps/ctrlProp104.xml"/><Relationship Id="rId34" Type="http://schemas.openxmlformats.org/officeDocument/2006/relationships/ctrlProp" Target="../ctrlProps/ctrlProp29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76" Type="http://schemas.openxmlformats.org/officeDocument/2006/relationships/ctrlProp" Target="../ctrlProps/ctrlProp71.xml"/><Relationship Id="rId97" Type="http://schemas.openxmlformats.org/officeDocument/2006/relationships/ctrlProp" Target="../ctrlProps/ctrlProp92.xml"/><Relationship Id="rId104" Type="http://schemas.openxmlformats.org/officeDocument/2006/relationships/ctrlProp" Target="../ctrlProps/ctrlProp99.xml"/><Relationship Id="rId120" Type="http://schemas.openxmlformats.org/officeDocument/2006/relationships/ctrlProp" Target="../ctrlProps/ctrlProp115.xml"/><Relationship Id="rId125" Type="http://schemas.openxmlformats.org/officeDocument/2006/relationships/ctrlProp" Target="../ctrlProps/ctrlProp120.xml"/><Relationship Id="rId141" Type="http://schemas.openxmlformats.org/officeDocument/2006/relationships/ctrlProp" Target="../ctrlProps/ctrlProp136.xml"/><Relationship Id="rId146" Type="http://schemas.openxmlformats.org/officeDocument/2006/relationships/ctrlProp" Target="../ctrlProps/ctrlProp141.xml"/><Relationship Id="rId7" Type="http://schemas.openxmlformats.org/officeDocument/2006/relationships/ctrlProp" Target="../ctrlProps/ctrlProp2.xml"/><Relationship Id="rId71" Type="http://schemas.openxmlformats.org/officeDocument/2006/relationships/ctrlProp" Target="../ctrlProps/ctrlProp66.xml"/><Relationship Id="rId92" Type="http://schemas.openxmlformats.org/officeDocument/2006/relationships/ctrlProp" Target="../ctrlProps/ctrlProp8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4.xml"/><Relationship Id="rId24" Type="http://schemas.openxmlformats.org/officeDocument/2006/relationships/ctrlProp" Target="../ctrlProps/ctrlProp19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66" Type="http://schemas.openxmlformats.org/officeDocument/2006/relationships/ctrlProp" Target="../ctrlProps/ctrlProp61.xml"/><Relationship Id="rId87" Type="http://schemas.openxmlformats.org/officeDocument/2006/relationships/ctrlProp" Target="../ctrlProps/ctrlProp82.xml"/><Relationship Id="rId110" Type="http://schemas.openxmlformats.org/officeDocument/2006/relationships/ctrlProp" Target="../ctrlProps/ctrlProp105.xml"/><Relationship Id="rId115" Type="http://schemas.openxmlformats.org/officeDocument/2006/relationships/ctrlProp" Target="../ctrlProps/ctrlProp110.xml"/><Relationship Id="rId131" Type="http://schemas.openxmlformats.org/officeDocument/2006/relationships/ctrlProp" Target="../ctrlProps/ctrlProp126.xml"/><Relationship Id="rId136" Type="http://schemas.openxmlformats.org/officeDocument/2006/relationships/ctrlProp" Target="../ctrlProps/ctrlProp131.xml"/><Relationship Id="rId61" Type="http://schemas.openxmlformats.org/officeDocument/2006/relationships/ctrlProp" Target="../ctrlProps/ctrlProp56.xml"/><Relationship Id="rId82" Type="http://schemas.openxmlformats.org/officeDocument/2006/relationships/ctrlProp" Target="../ctrlProps/ctrlProp77.xml"/><Relationship Id="rId152" Type="http://schemas.openxmlformats.org/officeDocument/2006/relationships/ctrlProp" Target="../ctrlProps/ctrlProp147.xml"/><Relationship Id="rId19" Type="http://schemas.openxmlformats.org/officeDocument/2006/relationships/ctrlProp" Target="../ctrlProps/ctrlProp14.xml"/><Relationship Id="rId14" Type="http://schemas.openxmlformats.org/officeDocument/2006/relationships/ctrlProp" Target="../ctrlProps/ctrlProp9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56" Type="http://schemas.openxmlformats.org/officeDocument/2006/relationships/ctrlProp" Target="../ctrlProps/ctrlProp51.xml"/><Relationship Id="rId77" Type="http://schemas.openxmlformats.org/officeDocument/2006/relationships/ctrlProp" Target="../ctrlProps/ctrlProp72.xml"/><Relationship Id="rId100" Type="http://schemas.openxmlformats.org/officeDocument/2006/relationships/ctrlProp" Target="../ctrlProps/ctrlProp95.xml"/><Relationship Id="rId105" Type="http://schemas.openxmlformats.org/officeDocument/2006/relationships/ctrlProp" Target="../ctrlProps/ctrlProp100.xml"/><Relationship Id="rId126" Type="http://schemas.openxmlformats.org/officeDocument/2006/relationships/ctrlProp" Target="../ctrlProps/ctrlProp121.xml"/><Relationship Id="rId147" Type="http://schemas.openxmlformats.org/officeDocument/2006/relationships/ctrlProp" Target="../ctrlProps/ctrlProp142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72" Type="http://schemas.openxmlformats.org/officeDocument/2006/relationships/ctrlProp" Target="../ctrlProps/ctrlProp67.xml"/><Relationship Id="rId93" Type="http://schemas.openxmlformats.org/officeDocument/2006/relationships/ctrlProp" Target="../ctrlProps/ctrlProp88.xml"/><Relationship Id="rId98" Type="http://schemas.openxmlformats.org/officeDocument/2006/relationships/ctrlProp" Target="../ctrlProps/ctrlProp93.xml"/><Relationship Id="rId121" Type="http://schemas.openxmlformats.org/officeDocument/2006/relationships/ctrlProp" Target="../ctrlProps/ctrlProp116.xml"/><Relationship Id="rId142" Type="http://schemas.openxmlformats.org/officeDocument/2006/relationships/ctrlProp" Target="../ctrlProps/ctrlProp137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0.xml"/><Relationship Id="rId46" Type="http://schemas.openxmlformats.org/officeDocument/2006/relationships/ctrlProp" Target="../ctrlProps/ctrlProp41.xml"/><Relationship Id="rId67" Type="http://schemas.openxmlformats.org/officeDocument/2006/relationships/ctrlProp" Target="../ctrlProps/ctrlProp62.xml"/><Relationship Id="rId116" Type="http://schemas.openxmlformats.org/officeDocument/2006/relationships/ctrlProp" Target="../ctrlProps/ctrlProp111.xml"/><Relationship Id="rId137" Type="http://schemas.openxmlformats.org/officeDocument/2006/relationships/ctrlProp" Target="../ctrlProps/ctrlProp132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62" Type="http://schemas.openxmlformats.org/officeDocument/2006/relationships/ctrlProp" Target="../ctrlProps/ctrlProp57.xml"/><Relationship Id="rId83" Type="http://schemas.openxmlformats.org/officeDocument/2006/relationships/ctrlProp" Target="../ctrlProps/ctrlProp78.xml"/><Relationship Id="rId88" Type="http://schemas.openxmlformats.org/officeDocument/2006/relationships/ctrlProp" Target="../ctrlProps/ctrlProp83.xml"/><Relationship Id="rId111" Type="http://schemas.openxmlformats.org/officeDocument/2006/relationships/ctrlProp" Target="../ctrlProps/ctrlProp106.xml"/><Relationship Id="rId132" Type="http://schemas.openxmlformats.org/officeDocument/2006/relationships/ctrlProp" Target="../ctrlProps/ctrlProp127.xml"/><Relationship Id="rId153" Type="http://schemas.openxmlformats.org/officeDocument/2006/relationships/ctrlProp" Target="../ctrlProps/ctrlProp148.xml"/><Relationship Id="rId15" Type="http://schemas.openxmlformats.org/officeDocument/2006/relationships/ctrlProp" Target="../ctrlProps/ctrlProp10.xml"/><Relationship Id="rId36" Type="http://schemas.openxmlformats.org/officeDocument/2006/relationships/ctrlProp" Target="../ctrlProps/ctrlProp31.xml"/><Relationship Id="rId57" Type="http://schemas.openxmlformats.org/officeDocument/2006/relationships/ctrlProp" Target="../ctrlProps/ctrlProp52.xml"/><Relationship Id="rId106" Type="http://schemas.openxmlformats.org/officeDocument/2006/relationships/ctrlProp" Target="../ctrlProps/ctrlProp101.xml"/><Relationship Id="rId127" Type="http://schemas.openxmlformats.org/officeDocument/2006/relationships/ctrlProp" Target="../ctrlProps/ctrlProp122.xml"/><Relationship Id="rId10" Type="http://schemas.openxmlformats.org/officeDocument/2006/relationships/ctrlProp" Target="../ctrlProps/ctrlProp5.xml"/><Relationship Id="rId31" Type="http://schemas.openxmlformats.org/officeDocument/2006/relationships/ctrlProp" Target="../ctrlProps/ctrlProp26.xml"/><Relationship Id="rId52" Type="http://schemas.openxmlformats.org/officeDocument/2006/relationships/ctrlProp" Target="../ctrlProps/ctrlProp47.xml"/><Relationship Id="rId73" Type="http://schemas.openxmlformats.org/officeDocument/2006/relationships/ctrlProp" Target="../ctrlProps/ctrlProp68.xml"/><Relationship Id="rId78" Type="http://schemas.openxmlformats.org/officeDocument/2006/relationships/ctrlProp" Target="../ctrlProps/ctrlProp73.xml"/><Relationship Id="rId94" Type="http://schemas.openxmlformats.org/officeDocument/2006/relationships/ctrlProp" Target="../ctrlProps/ctrlProp89.xml"/><Relationship Id="rId99" Type="http://schemas.openxmlformats.org/officeDocument/2006/relationships/ctrlProp" Target="../ctrlProps/ctrlProp94.xml"/><Relationship Id="rId101" Type="http://schemas.openxmlformats.org/officeDocument/2006/relationships/ctrlProp" Target="../ctrlProps/ctrlProp96.xml"/><Relationship Id="rId122" Type="http://schemas.openxmlformats.org/officeDocument/2006/relationships/ctrlProp" Target="../ctrlProps/ctrlProp117.xml"/><Relationship Id="rId143" Type="http://schemas.openxmlformats.org/officeDocument/2006/relationships/ctrlProp" Target="../ctrlProps/ctrlProp138.xml"/><Relationship Id="rId148" Type="http://schemas.openxmlformats.org/officeDocument/2006/relationships/ctrlProp" Target="../ctrlProps/ctrlProp14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26" Type="http://schemas.openxmlformats.org/officeDocument/2006/relationships/ctrlProp" Target="../ctrlProps/ctrlProp21.xml"/><Relationship Id="rId47" Type="http://schemas.openxmlformats.org/officeDocument/2006/relationships/ctrlProp" Target="../ctrlProps/ctrlProp42.xml"/><Relationship Id="rId68" Type="http://schemas.openxmlformats.org/officeDocument/2006/relationships/ctrlProp" Target="../ctrlProps/ctrlProp63.xml"/><Relationship Id="rId89" Type="http://schemas.openxmlformats.org/officeDocument/2006/relationships/ctrlProp" Target="../ctrlProps/ctrlProp84.xml"/><Relationship Id="rId112" Type="http://schemas.openxmlformats.org/officeDocument/2006/relationships/ctrlProp" Target="../ctrlProps/ctrlProp107.xml"/><Relationship Id="rId133" Type="http://schemas.openxmlformats.org/officeDocument/2006/relationships/ctrlProp" Target="../ctrlProps/ctrlProp128.xml"/><Relationship Id="rId16" Type="http://schemas.openxmlformats.org/officeDocument/2006/relationships/ctrlProp" Target="../ctrlProps/ctrlProp11.xml"/><Relationship Id="rId37" Type="http://schemas.openxmlformats.org/officeDocument/2006/relationships/ctrlProp" Target="../ctrlProps/ctrlProp32.xml"/><Relationship Id="rId58" Type="http://schemas.openxmlformats.org/officeDocument/2006/relationships/ctrlProp" Target="../ctrlProps/ctrlProp53.xml"/><Relationship Id="rId79" Type="http://schemas.openxmlformats.org/officeDocument/2006/relationships/ctrlProp" Target="../ctrlProps/ctrlProp74.xml"/><Relationship Id="rId102" Type="http://schemas.openxmlformats.org/officeDocument/2006/relationships/ctrlProp" Target="../ctrlProps/ctrlProp97.xml"/><Relationship Id="rId123" Type="http://schemas.openxmlformats.org/officeDocument/2006/relationships/ctrlProp" Target="../ctrlProps/ctrlProp118.xml"/><Relationship Id="rId144" Type="http://schemas.openxmlformats.org/officeDocument/2006/relationships/ctrlProp" Target="../ctrlProps/ctrlProp139.xml"/><Relationship Id="rId90" Type="http://schemas.openxmlformats.org/officeDocument/2006/relationships/ctrlProp" Target="../ctrlProps/ctrlProp8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E803"/>
  <sheetViews>
    <sheetView tabSelected="1" zoomScale="85" zoomScaleNormal="85" zoomScalePageLayoutView="170" workbookViewId="0">
      <pane ySplit="9" topLeftCell="A465" activePane="bottomLeft" state="frozen"/>
      <selection pane="bottomLeft" activeCell="K480" sqref="K480"/>
    </sheetView>
  </sheetViews>
  <sheetFormatPr baseColWidth="10" defaultColWidth="10.85546875" defaultRowHeight="15.75" x14ac:dyDescent="0.25"/>
  <cols>
    <col min="1" max="1" width="4.7109375" style="11" customWidth="1"/>
    <col min="2" max="2" width="5.7109375" style="11" customWidth="1"/>
    <col min="3" max="3" width="11.42578125" style="11" bestFit="1" customWidth="1"/>
    <col min="4" max="5" width="25.7109375" style="11" customWidth="1"/>
    <col min="6" max="10" width="15.7109375" style="11" customWidth="1"/>
    <col min="11" max="11" width="10.42578125" style="11" customWidth="1"/>
    <col min="12" max="12" width="24.28515625" style="11" bestFit="1" customWidth="1"/>
    <col min="13" max="13" width="24.28515625" style="11" customWidth="1"/>
    <col min="14" max="14" width="13" style="11" bestFit="1" customWidth="1"/>
    <col min="15" max="15" width="1.7109375" style="11" customWidth="1"/>
    <col min="16" max="16" width="12.7109375" style="11" customWidth="1"/>
    <col min="17" max="17" width="1.7109375" style="11" customWidth="1"/>
    <col min="18" max="18" width="8.28515625" style="33" customWidth="1"/>
    <col min="19" max="19" width="1.7109375" style="11" customWidth="1"/>
    <col min="20" max="20" width="12.7109375" style="11" customWidth="1"/>
    <col min="21" max="21" width="1.7109375" style="11" customWidth="1"/>
    <col min="22" max="22" width="27.85546875" style="34" bestFit="1" customWidth="1"/>
    <col min="23" max="27" width="10.85546875" style="11"/>
    <col min="28" max="28" width="7.85546875" style="11" customWidth="1"/>
    <col min="29" max="16384" width="10.85546875" style="11"/>
  </cols>
  <sheetData>
    <row r="1" spans="1:31" ht="15" customHeight="1" thickBot="1" x14ac:dyDescent="0.3">
      <c r="A1" s="195" t="s">
        <v>0</v>
      </c>
      <c r="B1" s="195"/>
      <c r="C1" s="1"/>
      <c r="D1" s="2"/>
      <c r="E1" s="3" t="s">
        <v>4</v>
      </c>
      <c r="F1" s="187" t="s">
        <v>30</v>
      </c>
      <c r="G1" s="196"/>
      <c r="H1" s="188"/>
      <c r="I1" s="187" t="s">
        <v>37</v>
      </c>
      <c r="J1" s="188"/>
      <c r="K1" s="187" t="s">
        <v>44</v>
      </c>
      <c r="L1" s="188"/>
      <c r="M1" s="4" t="s">
        <v>47</v>
      </c>
      <c r="N1" s="5"/>
      <c r="O1" s="5"/>
      <c r="P1" s="6"/>
      <c r="Q1" s="7"/>
      <c r="R1" s="8"/>
      <c r="S1" s="5"/>
      <c r="T1" s="5"/>
      <c r="U1" s="5"/>
      <c r="V1" s="9"/>
      <c r="W1" s="5"/>
      <c r="X1" s="5"/>
      <c r="Y1" s="5"/>
      <c r="Z1" s="5"/>
      <c r="AA1" s="5"/>
      <c r="AB1" s="5"/>
      <c r="AC1" s="10"/>
      <c r="AD1" s="10"/>
      <c r="AE1" s="10"/>
    </row>
    <row r="2" spans="1:31" ht="15" customHeight="1" x14ac:dyDescent="0.25">
      <c r="A2" s="195"/>
      <c r="B2" s="195"/>
      <c r="C2" s="12"/>
      <c r="D2" s="13"/>
      <c r="E2" s="207">
        <f>10000+E8+K2</f>
        <v>10000</v>
      </c>
      <c r="F2" s="197">
        <v>0</v>
      </c>
      <c r="G2" s="198"/>
      <c r="H2" s="199"/>
      <c r="I2" s="210" t="e">
        <f>E8/E5</f>
        <v>#DIV/0!</v>
      </c>
      <c r="J2" s="256"/>
      <c r="K2" s="252">
        <v>0</v>
      </c>
      <c r="L2" s="253"/>
      <c r="M2" s="14">
        <v>0.5</v>
      </c>
      <c r="N2" s="5"/>
      <c r="O2" s="5"/>
      <c r="P2" s="15"/>
      <c r="Q2" s="7"/>
      <c r="R2" s="8"/>
      <c r="S2" s="5"/>
      <c r="T2" s="5"/>
      <c r="U2" s="5"/>
      <c r="V2" s="9"/>
      <c r="W2" s="5"/>
      <c r="X2" s="5"/>
      <c r="Y2" s="5"/>
      <c r="Z2" s="5"/>
      <c r="AA2" s="5"/>
      <c r="AB2" s="5"/>
      <c r="AC2" s="10"/>
      <c r="AD2" s="10"/>
      <c r="AE2" s="10"/>
    </row>
    <row r="3" spans="1:31" ht="15" customHeight="1" thickBot="1" x14ac:dyDescent="0.3">
      <c r="A3" s="195"/>
      <c r="B3" s="195"/>
      <c r="C3" s="12"/>
      <c r="D3" s="13"/>
      <c r="E3" s="207"/>
      <c r="F3" s="200"/>
      <c r="G3" s="201"/>
      <c r="H3" s="202"/>
      <c r="I3" s="257"/>
      <c r="J3" s="258"/>
      <c r="K3" s="254"/>
      <c r="L3" s="255"/>
      <c r="M3" s="14">
        <v>0.75</v>
      </c>
      <c r="N3" s="5"/>
      <c r="O3" s="5"/>
      <c r="P3" s="15"/>
      <c r="Q3" s="7"/>
      <c r="R3" s="8"/>
      <c r="S3" s="5"/>
      <c r="T3" s="5"/>
      <c r="U3" s="5"/>
      <c r="V3" s="9"/>
      <c r="W3" s="5"/>
      <c r="X3" s="5"/>
      <c r="Y3" s="5"/>
      <c r="Z3" s="5"/>
      <c r="AA3" s="5"/>
      <c r="AB3" s="5"/>
      <c r="AC3" s="10"/>
      <c r="AD3" s="10"/>
      <c r="AE3" s="10"/>
    </row>
    <row r="4" spans="1:31" ht="15" customHeight="1" thickBot="1" x14ac:dyDescent="0.3">
      <c r="A4" s="195"/>
      <c r="B4" s="195"/>
      <c r="C4" s="12"/>
      <c r="D4" s="13"/>
      <c r="E4" s="4" t="s">
        <v>1</v>
      </c>
      <c r="F4" s="187" t="s">
        <v>32</v>
      </c>
      <c r="G4" s="196"/>
      <c r="H4" s="188"/>
      <c r="I4" s="187" t="s">
        <v>42</v>
      </c>
      <c r="J4" s="188"/>
      <c r="K4" s="187" t="s">
        <v>41</v>
      </c>
      <c r="L4" s="188"/>
      <c r="M4" s="14">
        <v>1</v>
      </c>
      <c r="N4" s="5"/>
      <c r="O4" s="5"/>
      <c r="P4" s="16"/>
      <c r="Q4" s="7"/>
      <c r="R4" s="8"/>
      <c r="S4" s="5"/>
      <c r="T4" s="5"/>
      <c r="U4" s="5"/>
      <c r="V4" s="9"/>
      <c r="W4" s="5"/>
      <c r="X4" s="5"/>
      <c r="Y4" s="5"/>
      <c r="Z4" s="5"/>
      <c r="AA4" s="5"/>
      <c r="AB4" s="5"/>
      <c r="AC4" s="10"/>
      <c r="AD4" s="10"/>
      <c r="AE4" s="10"/>
    </row>
    <row r="5" spans="1:31" ht="15" customHeight="1" x14ac:dyDescent="0.25">
      <c r="A5" s="195"/>
      <c r="B5" s="195"/>
      <c r="C5" s="12"/>
      <c r="D5" s="13"/>
      <c r="E5" s="208">
        <f>M77+M92+M107+M122</f>
        <v>0</v>
      </c>
      <c r="F5" s="193" t="s">
        <v>46</v>
      </c>
      <c r="G5" s="203"/>
      <c r="H5" s="204"/>
      <c r="I5" s="210" t="e">
        <f>N124+N109+N94+N79+V783+V794</f>
        <v>#VALUE!</v>
      </c>
      <c r="J5" s="211"/>
      <c r="K5" s="189">
        <v>100</v>
      </c>
      <c r="L5" s="190"/>
      <c r="M5" s="17">
        <v>1.25</v>
      </c>
      <c r="N5" s="7"/>
      <c r="O5" s="7"/>
      <c r="P5" s="16"/>
      <c r="Q5" s="7"/>
      <c r="R5" s="8"/>
      <c r="S5" s="5"/>
      <c r="T5" s="5"/>
      <c r="U5" s="5"/>
      <c r="V5" s="9"/>
      <c r="W5" s="5"/>
      <c r="X5" s="5"/>
      <c r="Y5" s="5"/>
      <c r="Z5" s="5"/>
      <c r="AA5" s="5"/>
      <c r="AB5" s="5"/>
      <c r="AC5" s="10"/>
      <c r="AD5" s="10"/>
      <c r="AE5" s="10"/>
    </row>
    <row r="6" spans="1:31" ht="15" customHeight="1" thickBot="1" x14ac:dyDescent="0.3">
      <c r="A6" s="195"/>
      <c r="B6" s="195"/>
      <c r="C6" s="12"/>
      <c r="D6" s="13"/>
      <c r="E6" s="208"/>
      <c r="F6" s="194"/>
      <c r="G6" s="205"/>
      <c r="H6" s="206"/>
      <c r="I6" s="212"/>
      <c r="J6" s="213"/>
      <c r="K6" s="191"/>
      <c r="L6" s="192"/>
      <c r="M6" s="17">
        <v>1.5</v>
      </c>
      <c r="N6" s="7"/>
      <c r="O6" s="7"/>
      <c r="P6" s="16"/>
      <c r="Q6" s="7"/>
      <c r="R6" s="8"/>
      <c r="S6" s="5"/>
      <c r="T6" s="5"/>
      <c r="U6" s="5"/>
      <c r="V6" s="9"/>
      <c r="W6" s="5"/>
      <c r="X6" s="5"/>
      <c r="Y6" s="5"/>
      <c r="Z6" s="5"/>
      <c r="AA6" s="5"/>
      <c r="AB6" s="5"/>
      <c r="AC6" s="10"/>
      <c r="AD6" s="10"/>
      <c r="AE6" s="10"/>
    </row>
    <row r="7" spans="1:31" ht="15" customHeight="1" thickBot="1" x14ac:dyDescent="0.3">
      <c r="A7" s="195"/>
      <c r="B7" s="195"/>
      <c r="C7" s="12"/>
      <c r="D7" s="13"/>
      <c r="E7" s="4" t="s">
        <v>2</v>
      </c>
      <c r="F7" s="187" t="s">
        <v>33</v>
      </c>
      <c r="G7" s="196"/>
      <c r="H7" s="188"/>
      <c r="I7" s="187" t="s">
        <v>43</v>
      </c>
      <c r="J7" s="188"/>
      <c r="K7" s="181" t="s">
        <v>45</v>
      </c>
      <c r="L7" s="182"/>
      <c r="M7" s="18">
        <v>2</v>
      </c>
      <c r="N7" s="7"/>
      <c r="O7" s="7"/>
      <c r="P7" s="16"/>
      <c r="Q7" s="7"/>
      <c r="R7" s="8"/>
      <c r="S7" s="5"/>
      <c r="T7" s="5"/>
      <c r="U7" s="5"/>
      <c r="V7" s="9"/>
      <c r="W7" s="5"/>
      <c r="X7" s="5"/>
      <c r="Y7" s="5"/>
      <c r="Z7" s="5"/>
      <c r="AA7" s="5"/>
      <c r="AB7" s="5"/>
      <c r="AC7" s="10"/>
      <c r="AD7" s="10"/>
      <c r="AE7" s="10"/>
    </row>
    <row r="8" spans="1:31" ht="15" customHeight="1" thickBot="1" x14ac:dyDescent="0.3">
      <c r="A8" s="195"/>
      <c r="B8" s="195"/>
      <c r="C8" s="19"/>
      <c r="D8" s="20"/>
      <c r="E8" s="208">
        <f>M94+M109+M79+M124-F2</f>
        <v>0</v>
      </c>
      <c r="F8" s="193">
        <v>0</v>
      </c>
      <c r="G8" s="21" t="s">
        <v>39</v>
      </c>
      <c r="H8" s="22" t="s">
        <v>40</v>
      </c>
      <c r="I8" s="214"/>
      <c r="J8" s="215"/>
      <c r="K8" s="183">
        <f>(E8/K5)</f>
        <v>0</v>
      </c>
      <c r="L8" s="184"/>
      <c r="M8" s="23">
        <v>2.5</v>
      </c>
      <c r="N8" s="5"/>
      <c r="O8" s="5"/>
      <c r="P8" s="5"/>
      <c r="Q8" s="5"/>
      <c r="R8" s="8"/>
      <c r="S8" s="5"/>
      <c r="T8" s="5"/>
      <c r="U8" s="5"/>
      <c r="V8" s="9"/>
      <c r="W8" s="5"/>
      <c r="X8" s="5"/>
      <c r="Y8" s="10"/>
      <c r="Z8" s="10"/>
      <c r="AA8" s="10"/>
      <c r="AB8" s="10"/>
      <c r="AC8" s="10"/>
      <c r="AD8" s="10"/>
    </row>
    <row r="9" spans="1:31" ht="15" customHeight="1" thickBot="1" x14ac:dyDescent="0.3">
      <c r="A9" s="195"/>
      <c r="B9" s="195"/>
      <c r="C9" s="24"/>
      <c r="D9" s="25"/>
      <c r="E9" s="209"/>
      <c r="F9" s="194"/>
      <c r="G9" s="26">
        <v>0</v>
      </c>
      <c r="H9" s="27">
        <v>0</v>
      </c>
      <c r="I9" s="216"/>
      <c r="J9" s="217"/>
      <c r="K9" s="185"/>
      <c r="L9" s="186"/>
      <c r="M9" s="28">
        <v>3</v>
      </c>
      <c r="N9" s="5"/>
      <c r="O9" s="5"/>
      <c r="P9" s="5"/>
      <c r="Q9" s="5"/>
      <c r="R9" s="8"/>
      <c r="S9" s="5"/>
      <c r="T9" s="5"/>
      <c r="U9" s="5"/>
      <c r="V9" s="9"/>
      <c r="W9" s="5"/>
      <c r="X9" s="5"/>
      <c r="Y9" s="10"/>
      <c r="Z9" s="10"/>
      <c r="AA9" s="10"/>
      <c r="AB9" s="10"/>
      <c r="AC9" s="10"/>
      <c r="AD9" s="10"/>
    </row>
    <row r="10" spans="1:31" ht="14.25" customHeight="1" x14ac:dyDescent="0.25">
      <c r="A10" s="29"/>
      <c r="B10" s="30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31"/>
      <c r="S10" s="29"/>
      <c r="T10" s="29"/>
      <c r="U10" s="29"/>
      <c r="V10" s="32"/>
      <c r="W10" s="29"/>
      <c r="X10" s="10"/>
      <c r="Y10" s="10"/>
      <c r="Z10" s="10"/>
      <c r="AA10" s="10"/>
      <c r="AB10" s="10"/>
      <c r="AC10" s="10"/>
      <c r="AD10" s="10"/>
    </row>
    <row r="11" spans="1:31" ht="14.25" customHeight="1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31"/>
      <c r="S11" s="29"/>
      <c r="T11" s="29"/>
      <c r="U11" s="29"/>
      <c r="V11" s="32"/>
      <c r="W11" s="29"/>
      <c r="X11" s="10"/>
      <c r="Y11" s="10"/>
      <c r="Z11" s="10"/>
      <c r="AA11" s="10"/>
      <c r="AB11" s="10"/>
      <c r="AC11" s="10"/>
      <c r="AD11" s="10"/>
    </row>
    <row r="12" spans="1:31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31"/>
      <c r="S12" s="29"/>
      <c r="T12" s="29"/>
      <c r="U12" s="29"/>
      <c r="V12" s="32"/>
      <c r="W12" s="29"/>
      <c r="X12" s="10"/>
      <c r="Y12" s="10"/>
      <c r="Z12" s="10"/>
      <c r="AA12" s="10"/>
      <c r="AB12" s="10"/>
      <c r="AC12" s="10"/>
      <c r="AD12" s="10"/>
    </row>
    <row r="13" spans="1:31" x14ac:dyDescent="0.25">
      <c r="A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31"/>
      <c r="S13" s="29"/>
      <c r="T13" s="29"/>
      <c r="U13" s="29"/>
      <c r="V13" s="32"/>
      <c r="W13" s="29"/>
      <c r="X13" s="10"/>
      <c r="Y13" s="10"/>
      <c r="Z13" s="10"/>
      <c r="AA13" s="10"/>
      <c r="AB13" s="10"/>
      <c r="AC13" s="10"/>
      <c r="AD13" s="10"/>
    </row>
    <row r="14" spans="1:3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31"/>
      <c r="S14" s="29"/>
      <c r="T14" s="29"/>
      <c r="U14" s="29"/>
      <c r="V14" s="32"/>
      <c r="W14" s="29"/>
      <c r="X14" s="10"/>
      <c r="Y14" s="10"/>
      <c r="Z14" s="10"/>
      <c r="AA14" s="10"/>
      <c r="AB14" s="10"/>
      <c r="AC14" s="10"/>
      <c r="AD14" s="10"/>
    </row>
    <row r="15" spans="1:31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31"/>
      <c r="S15" s="29"/>
      <c r="T15" s="29"/>
      <c r="U15" s="29"/>
      <c r="V15" s="32"/>
      <c r="W15" s="29"/>
      <c r="X15" s="10"/>
      <c r="Y15" s="10"/>
      <c r="Z15" s="10"/>
      <c r="AA15" s="10"/>
      <c r="AB15" s="10"/>
      <c r="AC15" s="10"/>
      <c r="AD15" s="10"/>
    </row>
    <row r="16" spans="1:31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1"/>
      <c r="S16" s="29"/>
      <c r="T16" s="29"/>
      <c r="U16" s="29"/>
      <c r="V16" s="32"/>
      <c r="W16" s="29"/>
      <c r="X16" s="10"/>
      <c r="Y16" s="10"/>
      <c r="Z16" s="10"/>
      <c r="AA16" s="10"/>
      <c r="AB16" s="10"/>
      <c r="AC16" s="10"/>
      <c r="AD16" s="10"/>
    </row>
    <row r="17" spans="1:30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31"/>
      <c r="S17" s="29"/>
      <c r="T17" s="29"/>
      <c r="U17" s="29"/>
      <c r="V17" s="32"/>
      <c r="W17" s="29"/>
      <c r="X17" s="10"/>
      <c r="Y17" s="10"/>
      <c r="Z17" s="10"/>
      <c r="AA17" s="10"/>
      <c r="AB17" s="10"/>
      <c r="AC17" s="10"/>
      <c r="AD17" s="10"/>
    </row>
    <row r="18" spans="1:30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31"/>
      <c r="S18" s="29"/>
      <c r="T18" s="29"/>
      <c r="U18" s="29"/>
      <c r="V18" s="32"/>
      <c r="W18" s="29"/>
      <c r="X18" s="10"/>
      <c r="Y18" s="10"/>
      <c r="Z18" s="10"/>
      <c r="AA18" s="10"/>
      <c r="AB18" s="10"/>
      <c r="AC18" s="10"/>
      <c r="AD18" s="10"/>
    </row>
    <row r="19" spans="1:30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31"/>
      <c r="S19" s="29"/>
      <c r="T19" s="29"/>
      <c r="U19" s="29"/>
      <c r="V19" s="32"/>
      <c r="W19" s="29"/>
      <c r="X19" s="10"/>
      <c r="Y19" s="10"/>
      <c r="Z19" s="10"/>
      <c r="AA19" s="10"/>
      <c r="AB19" s="10"/>
      <c r="AC19" s="10"/>
      <c r="AD19" s="10"/>
    </row>
    <row r="20" spans="1:30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31"/>
      <c r="S20" s="29"/>
      <c r="T20" s="29"/>
      <c r="U20" s="29"/>
      <c r="V20" s="32"/>
      <c r="W20" s="29"/>
      <c r="X20" s="10"/>
      <c r="Y20" s="10"/>
      <c r="Z20" s="10"/>
      <c r="AA20" s="10"/>
      <c r="AB20" s="10"/>
      <c r="AC20" s="10"/>
      <c r="AD20" s="10"/>
    </row>
    <row r="21" spans="1:30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31"/>
      <c r="S21" s="29"/>
      <c r="T21" s="29"/>
      <c r="U21" s="29"/>
      <c r="V21" s="32"/>
      <c r="W21" s="29"/>
      <c r="X21" s="10"/>
      <c r="Y21" s="10"/>
      <c r="Z21" s="10"/>
      <c r="AA21" s="10"/>
      <c r="AB21" s="10"/>
      <c r="AC21" s="10"/>
      <c r="AD21" s="10"/>
    </row>
    <row r="22" spans="1:30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31"/>
      <c r="S22" s="29"/>
      <c r="T22" s="29"/>
      <c r="U22" s="29"/>
      <c r="V22" s="32"/>
      <c r="W22" s="29"/>
      <c r="X22" s="10"/>
      <c r="Y22" s="10"/>
      <c r="Z22" s="10"/>
      <c r="AA22" s="10"/>
      <c r="AB22" s="10"/>
      <c r="AC22" s="10"/>
      <c r="AD22" s="10"/>
    </row>
    <row r="23" spans="1:30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31"/>
      <c r="S23" s="29"/>
      <c r="T23" s="29"/>
      <c r="U23" s="29"/>
      <c r="V23" s="32"/>
      <c r="W23" s="29"/>
      <c r="X23" s="10"/>
      <c r="Y23" s="10"/>
      <c r="Z23" s="10"/>
      <c r="AA23" s="10"/>
      <c r="AB23" s="10"/>
      <c r="AC23" s="10"/>
      <c r="AD23" s="10"/>
    </row>
    <row r="24" spans="1:30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31"/>
      <c r="S24" s="29"/>
      <c r="T24" s="29"/>
      <c r="U24" s="29"/>
      <c r="V24" s="32"/>
      <c r="W24" s="29"/>
      <c r="X24" s="10"/>
      <c r="Y24" s="10"/>
      <c r="Z24" s="10"/>
      <c r="AA24" s="10"/>
      <c r="AB24" s="10"/>
      <c r="AC24" s="10"/>
      <c r="AD24" s="10"/>
    </row>
    <row r="25" spans="1:30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31"/>
      <c r="S25" s="29"/>
      <c r="T25" s="29"/>
      <c r="U25" s="29"/>
      <c r="V25" s="32"/>
      <c r="W25" s="29"/>
      <c r="X25" s="10"/>
      <c r="Y25" s="10"/>
      <c r="Z25" s="10"/>
      <c r="AA25" s="10"/>
      <c r="AB25" s="10"/>
      <c r="AC25" s="10"/>
      <c r="AD25" s="10"/>
    </row>
    <row r="26" spans="1:30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31"/>
      <c r="S26" s="29"/>
      <c r="T26" s="29"/>
      <c r="U26" s="29"/>
      <c r="V26" s="32"/>
      <c r="W26" s="29"/>
      <c r="X26" s="10"/>
      <c r="Y26" s="10"/>
      <c r="Z26" s="10"/>
      <c r="AA26" s="10"/>
      <c r="AB26" s="10"/>
      <c r="AC26" s="10"/>
      <c r="AD26" s="10"/>
    </row>
    <row r="27" spans="1:30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31"/>
      <c r="S27" s="29"/>
      <c r="T27" s="29"/>
      <c r="U27" s="29"/>
      <c r="V27" s="32"/>
      <c r="W27" s="29"/>
      <c r="X27" s="10"/>
      <c r="Y27" s="10"/>
      <c r="Z27" s="10"/>
      <c r="AA27" s="10"/>
      <c r="AB27" s="10"/>
      <c r="AC27" s="10"/>
      <c r="AD27" s="10"/>
    </row>
    <row r="28" spans="1:30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31"/>
      <c r="S28" s="29"/>
      <c r="T28" s="29"/>
      <c r="U28" s="29"/>
      <c r="V28" s="32"/>
      <c r="W28" s="29"/>
      <c r="X28" s="10"/>
      <c r="Y28" s="10"/>
      <c r="Z28" s="10"/>
      <c r="AA28" s="10"/>
      <c r="AB28" s="10"/>
      <c r="AC28" s="10"/>
      <c r="AD28" s="10"/>
    </row>
    <row r="29" spans="1:30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31"/>
      <c r="S29" s="29"/>
      <c r="T29" s="29"/>
      <c r="U29" s="29"/>
      <c r="V29" s="32"/>
      <c r="W29" s="29"/>
      <c r="X29" s="10"/>
      <c r="Y29" s="10"/>
      <c r="Z29" s="10"/>
      <c r="AA29" s="10"/>
      <c r="AB29" s="10"/>
      <c r="AC29" s="10"/>
      <c r="AD29" s="10"/>
    </row>
    <row r="30" spans="1:30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31"/>
      <c r="S30" s="29"/>
      <c r="T30" s="29"/>
      <c r="U30" s="29"/>
      <c r="V30" s="32"/>
      <c r="W30" s="29"/>
      <c r="X30" s="10"/>
      <c r="Y30" s="10"/>
      <c r="Z30" s="10"/>
      <c r="AA30" s="10"/>
      <c r="AB30" s="10"/>
      <c r="AC30" s="10"/>
      <c r="AD30" s="10"/>
    </row>
    <row r="31" spans="1:30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31"/>
      <c r="S31" s="29"/>
      <c r="T31" s="29"/>
      <c r="U31" s="29"/>
      <c r="V31" s="32"/>
      <c r="W31" s="29"/>
      <c r="X31" s="10"/>
      <c r="Y31" s="10"/>
      <c r="Z31" s="10"/>
      <c r="AA31" s="10"/>
      <c r="AB31" s="10"/>
      <c r="AC31" s="10"/>
      <c r="AD31" s="10"/>
    </row>
    <row r="32" spans="1:30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31"/>
      <c r="S32" s="29"/>
      <c r="T32" s="29"/>
      <c r="U32" s="29"/>
      <c r="V32" s="32"/>
      <c r="W32" s="29"/>
      <c r="X32" s="10"/>
      <c r="Y32" s="10"/>
      <c r="Z32" s="10"/>
      <c r="AA32" s="10"/>
      <c r="AB32" s="10"/>
      <c r="AC32" s="10"/>
      <c r="AD32" s="10"/>
    </row>
    <row r="33" spans="1:30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31"/>
      <c r="S33" s="29"/>
      <c r="T33" s="29"/>
      <c r="U33" s="29"/>
      <c r="V33" s="32"/>
      <c r="W33" s="29"/>
      <c r="X33" s="10"/>
      <c r="Y33" s="10"/>
      <c r="Z33" s="10"/>
      <c r="AA33" s="10"/>
      <c r="AB33" s="10"/>
      <c r="AC33" s="10"/>
      <c r="AD33" s="10"/>
    </row>
    <row r="34" spans="1:30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31"/>
      <c r="S34" s="29"/>
      <c r="T34" s="29"/>
      <c r="U34" s="29"/>
      <c r="V34" s="32"/>
      <c r="W34" s="29"/>
      <c r="X34" s="10"/>
      <c r="Y34" s="10"/>
      <c r="Z34" s="10"/>
      <c r="AA34" s="10"/>
      <c r="AB34" s="10"/>
      <c r="AC34" s="10"/>
      <c r="AD34" s="10"/>
    </row>
    <row r="35" spans="1:30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31"/>
      <c r="S35" s="29"/>
      <c r="T35" s="29"/>
      <c r="U35" s="29"/>
      <c r="V35" s="32"/>
      <c r="W35" s="29"/>
      <c r="X35" s="10"/>
      <c r="Y35" s="10"/>
      <c r="Z35" s="10"/>
      <c r="AA35" s="10"/>
      <c r="AB35" s="10"/>
      <c r="AC35" s="10"/>
      <c r="AD35" s="10"/>
    </row>
    <row r="36" spans="1:30" x14ac:dyDescent="0.2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31"/>
      <c r="S36" s="29"/>
      <c r="T36" s="29"/>
      <c r="U36" s="29"/>
      <c r="V36" s="32"/>
      <c r="W36" s="29"/>
      <c r="X36" s="10"/>
      <c r="Y36" s="10"/>
      <c r="Z36" s="10"/>
      <c r="AA36" s="10"/>
      <c r="AB36" s="10"/>
      <c r="AC36" s="10"/>
      <c r="AD36" s="10"/>
    </row>
    <row r="37" spans="1:30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31"/>
      <c r="S37" s="29"/>
      <c r="T37" s="29"/>
      <c r="U37" s="29"/>
      <c r="V37" s="32"/>
      <c r="W37" s="29"/>
      <c r="X37" s="10"/>
      <c r="Y37" s="10"/>
      <c r="Z37" s="10"/>
      <c r="AA37" s="10"/>
      <c r="AB37" s="10"/>
      <c r="AC37" s="10"/>
      <c r="AD37" s="10"/>
    </row>
    <row r="38" spans="1:30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31"/>
      <c r="S38" s="29"/>
      <c r="T38" s="29"/>
      <c r="U38" s="29"/>
      <c r="V38" s="32"/>
      <c r="W38" s="29"/>
      <c r="X38" s="10"/>
      <c r="Y38" s="10"/>
      <c r="Z38" s="10"/>
      <c r="AA38" s="10"/>
      <c r="AB38" s="10"/>
      <c r="AC38" s="10"/>
      <c r="AD38" s="10"/>
    </row>
    <row r="39" spans="1:30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31"/>
      <c r="S39" s="29"/>
      <c r="T39" s="29"/>
      <c r="U39" s="29"/>
      <c r="V39" s="32"/>
      <c r="W39" s="29"/>
      <c r="X39" s="10"/>
      <c r="Y39" s="10"/>
      <c r="Z39" s="10"/>
      <c r="AA39" s="10"/>
      <c r="AB39" s="10"/>
      <c r="AC39" s="10"/>
      <c r="AD39" s="10"/>
    </row>
    <row r="40" spans="1:30" x14ac:dyDescent="0.2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31"/>
      <c r="S40" s="29"/>
      <c r="T40" s="29"/>
      <c r="U40" s="29"/>
      <c r="V40" s="32"/>
      <c r="W40" s="29"/>
      <c r="X40" s="10"/>
      <c r="Y40" s="10"/>
      <c r="Z40" s="10"/>
      <c r="AA40" s="10"/>
      <c r="AB40" s="10"/>
      <c r="AC40" s="10"/>
      <c r="AD40" s="10"/>
    </row>
    <row r="41" spans="1:30" x14ac:dyDescent="0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31"/>
      <c r="S41" s="29"/>
      <c r="T41" s="29"/>
      <c r="U41" s="29"/>
      <c r="V41" s="32"/>
      <c r="W41" s="29"/>
      <c r="X41" s="10"/>
      <c r="Y41" s="10"/>
      <c r="Z41" s="10"/>
      <c r="AA41" s="10"/>
      <c r="AB41" s="10"/>
      <c r="AC41" s="10"/>
      <c r="AD41" s="10"/>
    </row>
    <row r="42" spans="1:30" x14ac:dyDescent="0.2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31"/>
      <c r="S42" s="29"/>
      <c r="T42" s="29"/>
      <c r="U42" s="29"/>
      <c r="V42" s="32"/>
      <c r="W42" s="29"/>
      <c r="X42" s="10"/>
      <c r="Y42" s="10"/>
      <c r="Z42" s="10"/>
      <c r="AA42" s="10"/>
      <c r="AB42" s="10"/>
      <c r="AC42" s="10"/>
      <c r="AD42" s="10"/>
    </row>
    <row r="43" spans="1:30" x14ac:dyDescent="0.2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31"/>
      <c r="S43" s="29"/>
      <c r="T43" s="29"/>
      <c r="U43" s="29"/>
      <c r="V43" s="32"/>
      <c r="W43" s="29"/>
      <c r="X43" s="10"/>
      <c r="Y43" s="10"/>
      <c r="Z43" s="10"/>
      <c r="AA43" s="10"/>
      <c r="AB43" s="10"/>
      <c r="AC43" s="10"/>
      <c r="AD43" s="10"/>
    </row>
    <row r="44" spans="1:30" x14ac:dyDescent="0.2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31"/>
      <c r="S44" s="29"/>
      <c r="T44" s="29"/>
      <c r="U44" s="29"/>
      <c r="V44" s="32"/>
      <c r="W44" s="29"/>
      <c r="X44" s="10"/>
      <c r="Y44" s="10"/>
      <c r="Z44" s="10"/>
      <c r="AA44" s="10"/>
      <c r="AB44" s="10"/>
      <c r="AC44" s="10"/>
      <c r="AD44" s="10"/>
    </row>
    <row r="45" spans="1:30" x14ac:dyDescent="0.2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31"/>
      <c r="S45" s="29"/>
      <c r="T45" s="29"/>
      <c r="U45" s="29"/>
      <c r="V45" s="32"/>
      <c r="W45" s="29"/>
    </row>
    <row r="49" spans="1:28" ht="16.5" thickBot="1" x14ac:dyDescent="0.3"/>
    <row r="50" spans="1:28" ht="15.75" customHeight="1" x14ac:dyDescent="0.25">
      <c r="A50" s="220" t="s">
        <v>3</v>
      </c>
      <c r="B50" s="35"/>
      <c r="C50" s="36"/>
      <c r="D50" s="37"/>
      <c r="E50" s="38"/>
      <c r="F50" s="38"/>
      <c r="G50" s="38"/>
      <c r="H50" s="38"/>
      <c r="I50" s="39"/>
      <c r="J50" s="39"/>
      <c r="K50" s="39"/>
      <c r="L50" s="39"/>
      <c r="M50" s="39"/>
      <c r="N50" s="39"/>
      <c r="O50" s="39"/>
      <c r="P50" s="39"/>
      <c r="Q50" s="39"/>
      <c r="R50" s="40"/>
      <c r="S50" s="10"/>
      <c r="T50" s="10"/>
      <c r="U50" s="10"/>
      <c r="V50" s="41"/>
      <c r="W50" s="10"/>
      <c r="X50" s="10"/>
      <c r="Y50" s="10"/>
      <c r="Z50" s="10"/>
      <c r="AA50" s="10"/>
      <c r="AB50" s="10"/>
    </row>
    <row r="51" spans="1:28" x14ac:dyDescent="0.25">
      <c r="A51" s="221"/>
      <c r="B51" s="42"/>
      <c r="C51" s="43"/>
      <c r="D51" s="44"/>
      <c r="E51" s="38"/>
      <c r="F51" s="38"/>
      <c r="G51" s="38"/>
      <c r="H51" s="38"/>
      <c r="I51" s="45"/>
      <c r="J51" s="45"/>
      <c r="K51" s="39"/>
      <c r="L51" s="39"/>
      <c r="M51" s="39"/>
      <c r="N51" s="39"/>
      <c r="O51" s="39"/>
      <c r="P51" s="39"/>
      <c r="Q51" s="39"/>
      <c r="R51" s="40"/>
      <c r="S51" s="10"/>
      <c r="T51" s="10"/>
      <c r="U51" s="10"/>
      <c r="V51" s="41"/>
      <c r="W51" s="10"/>
      <c r="X51" s="10"/>
      <c r="Y51" s="10"/>
      <c r="Z51" s="10"/>
      <c r="AA51" s="10"/>
      <c r="AB51" s="10"/>
    </row>
    <row r="52" spans="1:28" x14ac:dyDescent="0.25">
      <c r="A52" s="221"/>
      <c r="B52" s="42"/>
      <c r="C52" s="43"/>
      <c r="D52" s="44"/>
      <c r="E52" s="38"/>
      <c r="F52" s="38"/>
      <c r="G52" s="38"/>
      <c r="H52" s="38"/>
      <c r="I52" s="45"/>
      <c r="J52" s="45"/>
      <c r="K52" s="39"/>
      <c r="L52" s="39"/>
      <c r="M52" s="39"/>
      <c r="N52" s="39"/>
      <c r="O52" s="39"/>
      <c r="P52" s="39"/>
      <c r="Q52" s="39"/>
      <c r="R52" s="40"/>
      <c r="S52" s="10"/>
      <c r="T52" s="10"/>
      <c r="U52" s="10"/>
      <c r="V52" s="41"/>
      <c r="W52" s="10"/>
      <c r="X52" s="10"/>
      <c r="Y52" s="10"/>
      <c r="Z52" s="10"/>
      <c r="AA52" s="10"/>
      <c r="AB52" s="10"/>
    </row>
    <row r="53" spans="1:28" x14ac:dyDescent="0.25">
      <c r="A53" s="221"/>
      <c r="B53" s="42"/>
      <c r="C53" s="43"/>
      <c r="D53" s="44"/>
      <c r="E53" s="38"/>
      <c r="F53" s="38"/>
      <c r="G53" s="38"/>
      <c r="H53" s="38"/>
      <c r="I53" s="45"/>
      <c r="J53" s="45"/>
      <c r="K53" s="39"/>
      <c r="L53" s="39"/>
      <c r="M53" s="39"/>
      <c r="N53" s="39"/>
      <c r="O53" s="39"/>
      <c r="P53" s="39"/>
      <c r="Q53" s="39"/>
      <c r="R53" s="40"/>
      <c r="S53" s="10"/>
      <c r="T53" s="10"/>
      <c r="U53" s="10"/>
      <c r="V53" s="41"/>
      <c r="W53" s="10"/>
      <c r="X53" s="10"/>
      <c r="Y53" s="10"/>
      <c r="Z53" s="10"/>
      <c r="AA53" s="10"/>
      <c r="AB53" s="10"/>
    </row>
    <row r="54" spans="1:28" x14ac:dyDescent="0.25">
      <c r="A54" s="221"/>
      <c r="B54" s="42"/>
      <c r="C54" s="43"/>
      <c r="D54" s="44"/>
      <c r="E54" s="38"/>
      <c r="F54" s="46"/>
      <c r="G54" s="46"/>
      <c r="H54" s="46"/>
      <c r="I54" s="45"/>
      <c r="J54" s="45"/>
      <c r="K54" s="39"/>
      <c r="L54" s="39"/>
      <c r="M54" s="39"/>
      <c r="N54" s="39"/>
      <c r="O54" s="39"/>
      <c r="P54" s="39"/>
      <c r="Q54" s="39"/>
      <c r="R54" s="40"/>
      <c r="S54" s="10"/>
      <c r="T54" s="10"/>
      <c r="U54" s="10"/>
      <c r="V54" s="41"/>
      <c r="W54" s="10"/>
      <c r="X54" s="10"/>
      <c r="Y54" s="10"/>
      <c r="Z54" s="10"/>
      <c r="AA54" s="10"/>
      <c r="AB54" s="10"/>
    </row>
    <row r="55" spans="1:28" x14ac:dyDescent="0.25">
      <c r="A55" s="221"/>
      <c r="B55" s="42"/>
      <c r="C55" s="43"/>
      <c r="D55" s="44"/>
      <c r="E55" s="46"/>
      <c r="F55" s="46"/>
      <c r="G55" s="46"/>
      <c r="H55" s="46"/>
      <c r="I55" s="45"/>
      <c r="J55" s="45"/>
      <c r="K55" s="39"/>
      <c r="L55" s="39"/>
      <c r="M55" s="39"/>
      <c r="N55" s="39"/>
      <c r="O55" s="39"/>
      <c r="P55" s="39"/>
      <c r="Q55" s="39"/>
      <c r="R55" s="40"/>
      <c r="S55" s="10"/>
      <c r="T55" s="10"/>
      <c r="U55" s="10"/>
      <c r="V55" s="41"/>
      <c r="W55" s="10"/>
      <c r="X55" s="10"/>
      <c r="Y55" s="10"/>
      <c r="Z55" s="10"/>
      <c r="AA55" s="10"/>
      <c r="AB55" s="10"/>
    </row>
    <row r="56" spans="1:28" x14ac:dyDescent="0.25">
      <c r="A56" s="221"/>
      <c r="B56" s="42"/>
      <c r="C56" s="43"/>
      <c r="D56" s="44"/>
      <c r="E56" s="46"/>
      <c r="F56" s="46"/>
      <c r="G56" s="46"/>
      <c r="H56" s="46"/>
      <c r="I56" s="39"/>
      <c r="J56" s="39"/>
      <c r="K56" s="39"/>
      <c r="L56" s="39"/>
      <c r="M56" s="39"/>
      <c r="N56" s="39"/>
      <c r="O56" s="39"/>
      <c r="P56" s="39"/>
      <c r="Q56" s="39"/>
      <c r="R56" s="40"/>
      <c r="S56" s="10"/>
      <c r="T56" s="10"/>
      <c r="U56" s="10"/>
      <c r="V56" s="41"/>
      <c r="W56" s="10"/>
      <c r="X56" s="10"/>
      <c r="Y56" s="10"/>
      <c r="Z56" s="10"/>
      <c r="AA56" s="10"/>
      <c r="AB56" s="10"/>
    </row>
    <row r="57" spans="1:28" x14ac:dyDescent="0.25">
      <c r="A57" s="221"/>
      <c r="B57" s="47"/>
      <c r="C57" s="48"/>
      <c r="D57" s="49"/>
    </row>
    <row r="58" spans="1:28" ht="16.5" thickBot="1" x14ac:dyDescent="0.3">
      <c r="A58" s="221"/>
      <c r="B58" s="50"/>
      <c r="C58" s="51"/>
      <c r="D58" s="52"/>
    </row>
    <row r="74" spans="1:28" ht="16.5" thickBot="1" x14ac:dyDescent="0.3"/>
    <row r="75" spans="1:28" x14ac:dyDescent="0.25">
      <c r="A75" s="224" t="s">
        <v>5</v>
      </c>
      <c r="B75" s="53"/>
      <c r="C75" s="54"/>
      <c r="D75" s="54"/>
      <c r="E75" s="55"/>
      <c r="F75" s="225"/>
      <c r="G75" s="225"/>
      <c r="H75" s="225"/>
      <c r="I75" s="56"/>
      <c r="J75" s="56"/>
      <c r="K75" s="57"/>
      <c r="L75" s="235"/>
      <c r="M75" s="58"/>
      <c r="N75" s="237"/>
      <c r="O75" s="238"/>
      <c r="P75" s="239"/>
      <c r="Q75" s="39"/>
      <c r="R75" s="40"/>
      <c r="S75" s="10"/>
      <c r="T75" s="10"/>
      <c r="U75" s="10"/>
      <c r="V75" s="41"/>
      <c r="W75" s="10"/>
      <c r="X75" s="10"/>
      <c r="Y75" s="10"/>
      <c r="Z75" s="10"/>
      <c r="AA75" s="10"/>
      <c r="AB75" s="10"/>
    </row>
    <row r="76" spans="1:28" ht="16.5" thickBot="1" x14ac:dyDescent="0.3">
      <c r="A76" s="224"/>
      <c r="B76" s="59"/>
      <c r="C76" s="60"/>
      <c r="D76" s="64"/>
      <c r="E76" s="61"/>
      <c r="F76" s="223"/>
      <c r="G76" s="223"/>
      <c r="H76" s="223"/>
      <c r="I76" s="60"/>
      <c r="J76" s="60"/>
      <c r="K76" s="62"/>
      <c r="L76" s="236"/>
      <c r="M76" s="63"/>
      <c r="N76" s="240"/>
      <c r="O76" s="241"/>
      <c r="P76" s="242"/>
      <c r="Q76" s="39"/>
      <c r="R76" s="40"/>
      <c r="S76" s="10"/>
      <c r="T76" s="10"/>
      <c r="U76" s="10"/>
      <c r="V76" s="41"/>
      <c r="W76" s="10"/>
      <c r="X76" s="10"/>
      <c r="Y76" s="10"/>
      <c r="Z76" s="10"/>
      <c r="AA76" s="10"/>
      <c r="AB76" s="10"/>
    </row>
    <row r="77" spans="1:28" x14ac:dyDescent="0.25">
      <c r="A77" s="224"/>
      <c r="B77" s="59"/>
      <c r="C77" s="60"/>
      <c r="D77" s="64"/>
      <c r="E77" s="61"/>
      <c r="F77" s="223"/>
      <c r="G77" s="223"/>
      <c r="H77" s="223"/>
      <c r="I77" s="60"/>
      <c r="J77" s="60"/>
      <c r="K77" s="62"/>
      <c r="L77" s="235" t="s">
        <v>1</v>
      </c>
      <c r="M77" s="58"/>
      <c r="N77" s="237">
        <f>N151+N163+N177+N191+N205+N219+N233+N247+N261+N275</f>
        <v>9.7493599999999976</v>
      </c>
      <c r="O77" s="238"/>
      <c r="P77" s="239"/>
      <c r="Q77" s="39"/>
      <c r="R77" s="40"/>
      <c r="S77" s="10"/>
      <c r="T77" s="10"/>
      <c r="U77" s="10"/>
      <c r="V77" s="41"/>
      <c r="W77" s="10"/>
      <c r="X77" s="10"/>
      <c r="Y77" s="10"/>
      <c r="Z77" s="10"/>
      <c r="AA77" s="10"/>
      <c r="AB77" s="10"/>
    </row>
    <row r="78" spans="1:28" ht="16.5" thickBot="1" x14ac:dyDescent="0.3">
      <c r="A78" s="224"/>
      <c r="B78" s="59"/>
      <c r="C78" s="60"/>
      <c r="D78" s="64"/>
      <c r="E78" s="61"/>
      <c r="F78" s="223"/>
      <c r="G78" s="223"/>
      <c r="H78" s="223"/>
      <c r="I78" s="60"/>
      <c r="J78" s="60"/>
      <c r="K78" s="62"/>
      <c r="L78" s="236"/>
      <c r="M78" s="63"/>
      <c r="N78" s="240"/>
      <c r="O78" s="241"/>
      <c r="P78" s="242"/>
      <c r="Q78" s="39"/>
      <c r="R78" s="40"/>
      <c r="S78" s="10"/>
      <c r="T78" s="10"/>
      <c r="U78" s="10"/>
      <c r="V78" s="41"/>
      <c r="W78" s="10"/>
      <c r="X78" s="10"/>
      <c r="Y78" s="10"/>
      <c r="Z78" s="10"/>
      <c r="AA78" s="10"/>
      <c r="AB78" s="10"/>
    </row>
    <row r="79" spans="1:28" x14ac:dyDescent="0.25">
      <c r="A79" s="224"/>
      <c r="B79" s="59"/>
      <c r="C79" s="60"/>
      <c r="D79" s="64"/>
      <c r="E79" s="61"/>
      <c r="F79" s="218"/>
      <c r="G79" s="218"/>
      <c r="H79" s="218"/>
      <c r="I79" s="60"/>
      <c r="J79" s="60"/>
      <c r="K79" s="62"/>
      <c r="L79" s="235" t="s">
        <v>2</v>
      </c>
      <c r="M79" s="58"/>
      <c r="N79" s="243" t="e">
        <f>V151+V163+V177+V191+V205+V219+V233+V247+V261+V275</f>
        <v>#VALUE!</v>
      </c>
      <c r="O79" s="244"/>
      <c r="P79" s="245"/>
      <c r="Q79" s="39"/>
      <c r="R79" s="40"/>
      <c r="S79" s="10"/>
      <c r="T79" s="10"/>
      <c r="U79" s="10"/>
      <c r="V79" s="41"/>
      <c r="W79" s="10"/>
      <c r="X79" s="10"/>
      <c r="Y79" s="10"/>
      <c r="Z79" s="10"/>
      <c r="AA79" s="10"/>
      <c r="AB79" s="10"/>
    </row>
    <row r="80" spans="1:28" ht="16.5" thickBot="1" x14ac:dyDescent="0.3">
      <c r="A80" s="224"/>
      <c r="B80" s="59"/>
      <c r="C80" s="60"/>
      <c r="D80" s="64"/>
      <c r="E80" s="218"/>
      <c r="F80" s="218"/>
      <c r="G80" s="218"/>
      <c r="H80" s="218"/>
      <c r="I80" s="60"/>
      <c r="J80" s="60"/>
      <c r="K80" s="62"/>
      <c r="L80" s="236"/>
      <c r="M80" s="63"/>
      <c r="N80" s="246"/>
      <c r="O80" s="247"/>
      <c r="P80" s="248"/>
      <c r="Q80" s="39"/>
      <c r="R80" s="40"/>
      <c r="S80" s="10"/>
      <c r="T80" s="10"/>
      <c r="U80" s="10"/>
      <c r="V80" s="41"/>
      <c r="W80" s="10"/>
      <c r="X80" s="10"/>
      <c r="Y80" s="10"/>
      <c r="Z80" s="10"/>
      <c r="AA80" s="10"/>
      <c r="AB80" s="10"/>
    </row>
    <row r="81" spans="1:28" ht="16.5" thickBot="1" x14ac:dyDescent="0.3">
      <c r="A81" s="224"/>
      <c r="B81" s="65"/>
      <c r="C81" s="66"/>
      <c r="D81" s="67"/>
      <c r="E81" s="219"/>
      <c r="F81" s="219"/>
      <c r="G81" s="219"/>
      <c r="H81" s="219"/>
      <c r="I81" s="68"/>
      <c r="J81" s="68"/>
      <c r="K81" s="69"/>
      <c r="L81" s="70" t="s">
        <v>19</v>
      </c>
      <c r="M81" s="63"/>
      <c r="N81" s="232">
        <f>(V158+V170+V184+V198+V212+V226+V240+V254+V268+V282)/10</f>
        <v>13.75085133793398</v>
      </c>
      <c r="O81" s="233"/>
      <c r="P81" s="234"/>
      <c r="Q81" s="39"/>
      <c r="R81" s="40"/>
      <c r="S81" s="10"/>
      <c r="T81" s="10"/>
      <c r="U81" s="10"/>
      <c r="V81" s="41"/>
      <c r="W81" s="10"/>
      <c r="X81" s="10"/>
      <c r="Y81" s="10"/>
      <c r="Z81" s="10"/>
      <c r="AA81" s="10"/>
      <c r="AB81" s="10"/>
    </row>
    <row r="89" spans="1:28" ht="16.5" thickBot="1" x14ac:dyDescent="0.3"/>
    <row r="90" spans="1:28" x14ac:dyDescent="0.25">
      <c r="A90" s="222" t="s">
        <v>6</v>
      </c>
      <c r="B90" s="53"/>
      <c r="C90" s="54"/>
      <c r="D90" s="54"/>
      <c r="E90" s="55"/>
      <c r="F90" s="225"/>
      <c r="G90" s="225"/>
      <c r="H90" s="225"/>
      <c r="I90" s="56"/>
      <c r="J90" s="56"/>
      <c r="K90" s="57"/>
      <c r="L90" s="235"/>
      <c r="M90" s="58"/>
      <c r="N90" s="237"/>
      <c r="O90" s="238"/>
      <c r="P90" s="239"/>
    </row>
    <row r="91" spans="1:28" ht="16.5" thickBot="1" x14ac:dyDescent="0.3">
      <c r="A91" s="222"/>
      <c r="B91" s="59"/>
      <c r="C91" s="60"/>
      <c r="D91" s="64"/>
      <c r="E91" s="61"/>
      <c r="F91" s="223"/>
      <c r="G91" s="223"/>
      <c r="H91" s="223"/>
      <c r="I91" s="60"/>
      <c r="J91" s="60"/>
      <c r="K91" s="62"/>
      <c r="L91" s="236"/>
      <c r="M91" s="63"/>
      <c r="N91" s="240"/>
      <c r="O91" s="241"/>
      <c r="P91" s="242"/>
    </row>
    <row r="92" spans="1:28" x14ac:dyDescent="0.25">
      <c r="A92" s="222"/>
      <c r="B92" s="59"/>
      <c r="C92" s="60"/>
      <c r="D92" s="64"/>
      <c r="E92" s="61"/>
      <c r="F92" s="223"/>
      <c r="G92" s="223"/>
      <c r="H92" s="223"/>
      <c r="I92" s="60"/>
      <c r="J92" s="60"/>
      <c r="K92" s="62"/>
      <c r="L92" s="235" t="s">
        <v>1</v>
      </c>
      <c r="M92" s="58"/>
      <c r="N92" s="237">
        <f>N305+N319+N333+N347+N361+N375+N389+N403+N417+N431</f>
        <v>0</v>
      </c>
      <c r="O92" s="238"/>
      <c r="P92" s="239"/>
    </row>
    <row r="93" spans="1:28" ht="16.5" thickBot="1" x14ac:dyDescent="0.3">
      <c r="A93" s="222"/>
      <c r="B93" s="59"/>
      <c r="C93" s="60"/>
      <c r="D93" s="64"/>
      <c r="E93" s="61"/>
      <c r="F93" s="223"/>
      <c r="G93" s="223"/>
      <c r="H93" s="223"/>
      <c r="I93" s="60"/>
      <c r="J93" s="60"/>
      <c r="K93" s="62"/>
      <c r="L93" s="236"/>
      <c r="M93" s="63"/>
      <c r="N93" s="240"/>
      <c r="O93" s="241"/>
      <c r="P93" s="242"/>
    </row>
    <row r="94" spans="1:28" x14ac:dyDescent="0.25">
      <c r="A94" s="222"/>
      <c r="B94" s="59"/>
      <c r="C94" s="60"/>
      <c r="D94" s="64"/>
      <c r="E94" s="61"/>
      <c r="F94" s="218"/>
      <c r="G94" s="218"/>
      <c r="H94" s="218"/>
      <c r="I94" s="60"/>
      <c r="J94" s="60"/>
      <c r="K94" s="62"/>
      <c r="L94" s="235" t="s">
        <v>2</v>
      </c>
      <c r="M94" s="58"/>
      <c r="N94" s="226" t="e">
        <f>V305+V319+V333+V347+V361+V375+V389+V403+V417+V431</f>
        <v>#VALUE!</v>
      </c>
      <c r="O94" s="227"/>
      <c r="P94" s="228"/>
    </row>
    <row r="95" spans="1:28" ht="16.5" thickBot="1" x14ac:dyDescent="0.3">
      <c r="A95" s="222"/>
      <c r="B95" s="59"/>
      <c r="C95" s="60"/>
      <c r="D95" s="64"/>
      <c r="E95" s="218"/>
      <c r="F95" s="218"/>
      <c r="G95" s="218"/>
      <c r="H95" s="218"/>
      <c r="I95" s="60"/>
      <c r="J95" s="60"/>
      <c r="K95" s="62"/>
      <c r="L95" s="236"/>
      <c r="M95" s="63"/>
      <c r="N95" s="229"/>
      <c r="O95" s="230"/>
      <c r="P95" s="231"/>
    </row>
    <row r="96" spans="1:28" ht="16.5" thickBot="1" x14ac:dyDescent="0.3">
      <c r="A96" s="222"/>
      <c r="B96" s="65"/>
      <c r="C96" s="66"/>
      <c r="D96" s="67"/>
      <c r="E96" s="219"/>
      <c r="F96" s="219"/>
      <c r="G96" s="219"/>
      <c r="H96" s="219"/>
      <c r="I96" s="68"/>
      <c r="J96" s="68"/>
      <c r="K96" s="69"/>
      <c r="L96" s="70" t="s">
        <v>19</v>
      </c>
      <c r="M96" s="63"/>
      <c r="N96" s="232"/>
      <c r="O96" s="233"/>
      <c r="P96" s="234"/>
    </row>
    <row r="104" spans="1:16" ht="16.5" thickBot="1" x14ac:dyDescent="0.3"/>
    <row r="105" spans="1:16" x14ac:dyDescent="0.25">
      <c r="A105" s="222" t="s">
        <v>7</v>
      </c>
      <c r="B105" s="53"/>
      <c r="C105" s="54"/>
      <c r="D105" s="54"/>
      <c r="E105" s="55"/>
      <c r="F105" s="225"/>
      <c r="G105" s="225"/>
      <c r="H105" s="225"/>
      <c r="I105" s="56"/>
      <c r="J105" s="56"/>
      <c r="K105" s="57"/>
      <c r="L105" s="235"/>
      <c r="M105" s="58"/>
      <c r="N105" s="237"/>
      <c r="O105" s="238"/>
      <c r="P105" s="239"/>
    </row>
    <row r="106" spans="1:16" ht="16.5" thickBot="1" x14ac:dyDescent="0.3">
      <c r="A106" s="222"/>
      <c r="B106" s="59"/>
      <c r="C106" s="60"/>
      <c r="D106" s="64"/>
      <c r="E106" s="61"/>
      <c r="F106" s="223"/>
      <c r="G106" s="223"/>
      <c r="H106" s="223"/>
      <c r="I106" s="60"/>
      <c r="J106" s="60"/>
      <c r="K106" s="62"/>
      <c r="L106" s="236"/>
      <c r="M106" s="63"/>
      <c r="N106" s="240"/>
      <c r="O106" s="241"/>
      <c r="P106" s="242"/>
    </row>
    <row r="107" spans="1:16" x14ac:dyDescent="0.25">
      <c r="A107" s="222"/>
      <c r="B107" s="59"/>
      <c r="C107" s="60"/>
      <c r="D107" s="64"/>
      <c r="E107" s="61"/>
      <c r="F107" s="223"/>
      <c r="G107" s="223"/>
      <c r="H107" s="223"/>
      <c r="I107" s="60"/>
      <c r="J107" s="60"/>
      <c r="K107" s="62"/>
      <c r="L107" s="235" t="s">
        <v>1</v>
      </c>
      <c r="M107" s="58"/>
      <c r="N107" s="237">
        <f>N461+N475+N489+N503+N517+N531+N545+N559+N573+N587</f>
        <v>0</v>
      </c>
      <c r="O107" s="238"/>
      <c r="P107" s="239"/>
    </row>
    <row r="108" spans="1:16" ht="16.5" thickBot="1" x14ac:dyDescent="0.3">
      <c r="A108" s="222"/>
      <c r="B108" s="59"/>
      <c r="C108" s="60"/>
      <c r="D108" s="64"/>
      <c r="E108" s="61"/>
      <c r="F108" s="223"/>
      <c r="G108" s="223"/>
      <c r="H108" s="223"/>
      <c r="I108" s="60"/>
      <c r="J108" s="60"/>
      <c r="K108" s="62"/>
      <c r="L108" s="236"/>
      <c r="M108" s="63"/>
      <c r="N108" s="240"/>
      <c r="O108" s="241"/>
      <c r="P108" s="242"/>
    </row>
    <row r="109" spans="1:16" x14ac:dyDescent="0.25">
      <c r="A109" s="222"/>
      <c r="B109" s="59"/>
      <c r="C109" s="60"/>
      <c r="D109" s="64"/>
      <c r="E109" s="61"/>
      <c r="F109" s="218"/>
      <c r="G109" s="218"/>
      <c r="H109" s="218"/>
      <c r="I109" s="60"/>
      <c r="J109" s="60"/>
      <c r="K109" s="62"/>
      <c r="L109" s="235" t="s">
        <v>2</v>
      </c>
      <c r="M109" s="58"/>
      <c r="N109" s="226" t="e">
        <f>V461+V475+V489+V503+V517+V531+V545+V559+V573+V587</f>
        <v>#VALUE!</v>
      </c>
      <c r="O109" s="227"/>
      <c r="P109" s="228"/>
    </row>
    <row r="110" spans="1:16" ht="16.5" thickBot="1" x14ac:dyDescent="0.3">
      <c r="A110" s="222"/>
      <c r="B110" s="59"/>
      <c r="C110" s="60"/>
      <c r="D110" s="64"/>
      <c r="E110" s="218"/>
      <c r="F110" s="218"/>
      <c r="G110" s="218"/>
      <c r="H110" s="218"/>
      <c r="I110" s="60"/>
      <c r="J110" s="60"/>
      <c r="K110" s="62"/>
      <c r="L110" s="236"/>
      <c r="M110" s="63"/>
      <c r="N110" s="229"/>
      <c r="O110" s="230"/>
      <c r="P110" s="231"/>
    </row>
    <row r="111" spans="1:16" ht="16.5" thickBot="1" x14ac:dyDescent="0.3">
      <c r="A111" s="222"/>
      <c r="B111" s="65"/>
      <c r="C111" s="66"/>
      <c r="D111" s="67"/>
      <c r="E111" s="219"/>
      <c r="F111" s="219"/>
      <c r="G111" s="219"/>
      <c r="H111" s="219"/>
      <c r="I111" s="68"/>
      <c r="J111" s="68"/>
      <c r="K111" s="69"/>
      <c r="L111" s="70" t="s">
        <v>19</v>
      </c>
      <c r="M111" s="63"/>
      <c r="N111" s="232"/>
      <c r="O111" s="233"/>
      <c r="P111" s="234"/>
    </row>
    <row r="119" spans="1:16" ht="16.5" thickBot="1" x14ac:dyDescent="0.3"/>
    <row r="120" spans="1:16" x14ac:dyDescent="0.25">
      <c r="A120" s="222" t="s">
        <v>38</v>
      </c>
      <c r="B120" s="53"/>
      <c r="C120" s="54"/>
      <c r="D120" s="54"/>
      <c r="E120" s="55"/>
      <c r="F120" s="225"/>
      <c r="G120" s="225"/>
      <c r="H120" s="225"/>
      <c r="I120" s="56"/>
      <c r="J120" s="56"/>
      <c r="K120" s="57"/>
      <c r="L120" s="235"/>
      <c r="M120" s="58"/>
      <c r="N120" s="237"/>
      <c r="O120" s="238"/>
      <c r="P120" s="239"/>
    </row>
    <row r="121" spans="1:16" ht="16.5" thickBot="1" x14ac:dyDescent="0.3">
      <c r="A121" s="222"/>
      <c r="B121" s="59"/>
      <c r="C121" s="60"/>
      <c r="D121" s="64"/>
      <c r="E121" s="61"/>
      <c r="F121" s="223"/>
      <c r="G121" s="223"/>
      <c r="H121" s="223"/>
      <c r="I121" s="60"/>
      <c r="J121" s="60"/>
      <c r="K121" s="62"/>
      <c r="L121" s="236"/>
      <c r="M121" s="63"/>
      <c r="N121" s="240"/>
      <c r="O121" s="241"/>
      <c r="P121" s="242"/>
    </row>
    <row r="122" spans="1:16" x14ac:dyDescent="0.25">
      <c r="A122" s="222"/>
      <c r="B122" s="59"/>
      <c r="C122" s="60"/>
      <c r="D122" s="64"/>
      <c r="E122" s="61"/>
      <c r="F122" s="223"/>
      <c r="G122" s="223"/>
      <c r="H122" s="223"/>
      <c r="I122" s="60"/>
      <c r="J122" s="60"/>
      <c r="K122" s="62"/>
      <c r="L122" s="235" t="s">
        <v>1</v>
      </c>
      <c r="M122" s="58"/>
      <c r="N122" s="237">
        <f>SUM(N631+N645+N659+N673+N687+N701+N715+N729+N743)</f>
        <v>0</v>
      </c>
      <c r="O122" s="238"/>
      <c r="P122" s="239"/>
    </row>
    <row r="123" spans="1:16" ht="16.5" thickBot="1" x14ac:dyDescent="0.3">
      <c r="A123" s="222"/>
      <c r="B123" s="59"/>
      <c r="C123" s="60"/>
      <c r="D123" s="64"/>
      <c r="E123" s="61"/>
      <c r="F123" s="223"/>
      <c r="G123" s="223"/>
      <c r="H123" s="223"/>
      <c r="I123" s="60"/>
      <c r="J123" s="60"/>
      <c r="K123" s="62"/>
      <c r="L123" s="236"/>
      <c r="M123" s="63"/>
      <c r="N123" s="240"/>
      <c r="O123" s="241"/>
      <c r="P123" s="242"/>
    </row>
    <row r="124" spans="1:16" x14ac:dyDescent="0.25">
      <c r="A124" s="222"/>
      <c r="B124" s="59"/>
      <c r="C124" s="60"/>
      <c r="D124" s="64"/>
      <c r="E124" s="61"/>
      <c r="F124" s="218"/>
      <c r="G124" s="218"/>
      <c r="H124" s="218"/>
      <c r="I124" s="60"/>
      <c r="J124" s="60"/>
      <c r="K124" s="62"/>
      <c r="L124" s="235" t="s">
        <v>2</v>
      </c>
      <c r="M124" s="58"/>
      <c r="N124" s="226">
        <f>SUM(V617+V631+V645+V659+V673+V687+V701+V715+V729+V743)</f>
        <v>0</v>
      </c>
      <c r="O124" s="227"/>
      <c r="P124" s="228"/>
    </row>
    <row r="125" spans="1:16" ht="16.5" thickBot="1" x14ac:dyDescent="0.3">
      <c r="A125" s="222"/>
      <c r="B125" s="59"/>
      <c r="C125" s="60"/>
      <c r="D125" s="64"/>
      <c r="E125" s="218"/>
      <c r="F125" s="218"/>
      <c r="G125" s="218"/>
      <c r="H125" s="218"/>
      <c r="I125" s="60"/>
      <c r="J125" s="60"/>
      <c r="K125" s="62"/>
      <c r="L125" s="236"/>
      <c r="M125" s="63"/>
      <c r="N125" s="229"/>
      <c r="O125" s="230"/>
      <c r="P125" s="231"/>
    </row>
    <row r="126" spans="1:16" ht="16.5" thickBot="1" x14ac:dyDescent="0.3">
      <c r="A126" s="222"/>
      <c r="B126" s="65"/>
      <c r="C126" s="66"/>
      <c r="D126" s="67"/>
      <c r="E126" s="219"/>
      <c r="F126" s="219"/>
      <c r="G126" s="219"/>
      <c r="H126" s="219"/>
      <c r="I126" s="68"/>
      <c r="J126" s="68"/>
      <c r="K126" s="69"/>
      <c r="L126" s="70" t="s">
        <v>19</v>
      </c>
      <c r="M126" s="63"/>
      <c r="N126" s="232"/>
      <c r="O126" s="233"/>
      <c r="P126" s="234"/>
    </row>
    <row r="132" spans="1:23" x14ac:dyDescent="0.2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31"/>
      <c r="S132" s="29"/>
      <c r="T132" s="29"/>
      <c r="U132" s="29"/>
      <c r="V132" s="32"/>
      <c r="W132" s="29"/>
    </row>
    <row r="133" spans="1:23" x14ac:dyDescent="0.2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31"/>
      <c r="S133" s="29"/>
      <c r="T133" s="29"/>
      <c r="U133" s="29"/>
      <c r="V133" s="32"/>
      <c r="W133" s="29"/>
    </row>
    <row r="134" spans="1:23" x14ac:dyDescent="0.2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31"/>
      <c r="S134" s="29"/>
      <c r="T134" s="29"/>
      <c r="U134" s="29"/>
      <c r="V134" s="32"/>
      <c r="W134" s="29"/>
    </row>
    <row r="135" spans="1:23" x14ac:dyDescent="0.2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31"/>
      <c r="S135" s="29"/>
      <c r="T135" s="29"/>
      <c r="U135" s="29"/>
      <c r="V135" s="32"/>
      <c r="W135" s="29"/>
    </row>
    <row r="136" spans="1:23" x14ac:dyDescent="0.2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31"/>
      <c r="S136" s="29"/>
      <c r="T136" s="29"/>
      <c r="U136" s="29"/>
      <c r="V136" s="32"/>
      <c r="W136" s="29"/>
    </row>
    <row r="137" spans="1:23" x14ac:dyDescent="0.2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31"/>
      <c r="S137" s="29"/>
      <c r="T137" s="29"/>
      <c r="U137" s="29"/>
      <c r="V137" s="32"/>
      <c r="W137" s="29"/>
    </row>
    <row r="138" spans="1:23" x14ac:dyDescent="0.2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31"/>
      <c r="S138" s="29"/>
      <c r="T138" s="29"/>
      <c r="U138" s="29"/>
      <c r="V138" s="32"/>
      <c r="W138" s="29"/>
    </row>
    <row r="139" spans="1:23" x14ac:dyDescent="0.2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31"/>
      <c r="S139" s="29"/>
      <c r="T139" s="29"/>
      <c r="U139" s="29"/>
      <c r="V139" s="32"/>
      <c r="W139" s="29"/>
    </row>
    <row r="140" spans="1:23" x14ac:dyDescent="0.2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31"/>
      <c r="S140" s="29"/>
      <c r="T140" s="29"/>
      <c r="U140" s="29"/>
      <c r="V140" s="32"/>
      <c r="W140" s="29"/>
    </row>
    <row r="141" spans="1:23" x14ac:dyDescent="0.2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31"/>
      <c r="S141" s="29"/>
      <c r="T141" s="29"/>
      <c r="U141" s="29"/>
      <c r="V141" s="32"/>
      <c r="W141" s="29"/>
    </row>
    <row r="142" spans="1:23" x14ac:dyDescent="0.2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31"/>
      <c r="S142" s="29"/>
      <c r="T142" s="29"/>
      <c r="U142" s="29"/>
      <c r="V142" s="32"/>
      <c r="W142" s="29"/>
    </row>
    <row r="143" spans="1:23" x14ac:dyDescent="0.2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31"/>
      <c r="S143" s="29"/>
      <c r="T143" s="29"/>
      <c r="U143" s="29"/>
      <c r="V143" s="32"/>
      <c r="W143" s="29"/>
    </row>
    <row r="144" spans="1:23" x14ac:dyDescent="0.2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31"/>
      <c r="S144" s="29"/>
      <c r="T144" s="29"/>
      <c r="U144" s="29"/>
      <c r="V144" s="32"/>
      <c r="W144" s="29"/>
    </row>
    <row r="145" spans="1:23" x14ac:dyDescent="0.2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31"/>
      <c r="S145" s="29"/>
      <c r="T145" s="29"/>
      <c r="U145" s="29"/>
      <c r="V145" s="32"/>
      <c r="W145" s="29"/>
    </row>
    <row r="146" spans="1:23" x14ac:dyDescent="0.2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31"/>
      <c r="S146" s="29"/>
      <c r="T146" s="29"/>
      <c r="U146" s="29"/>
      <c r="V146" s="32"/>
      <c r="W146" s="29"/>
    </row>
    <row r="147" spans="1:23" ht="16.5" thickBot="1" x14ac:dyDescent="0.3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31"/>
      <c r="S147" s="29"/>
      <c r="T147" s="29"/>
      <c r="U147" s="29"/>
      <c r="V147" s="32"/>
      <c r="W147" s="29"/>
    </row>
    <row r="148" spans="1:23" ht="19.5" thickBot="1" x14ac:dyDescent="0.3">
      <c r="A148" s="164" t="s">
        <v>5</v>
      </c>
      <c r="B148" s="167" t="s">
        <v>8</v>
      </c>
      <c r="C148" s="72" t="s">
        <v>49</v>
      </c>
      <c r="D148" s="72" t="s">
        <v>9</v>
      </c>
      <c r="E148" s="72" t="s">
        <v>10</v>
      </c>
      <c r="F148" s="72" t="s">
        <v>11</v>
      </c>
      <c r="G148" s="72" t="s">
        <v>12</v>
      </c>
      <c r="H148" s="72" t="s">
        <v>13</v>
      </c>
      <c r="I148" s="72" t="s">
        <v>14</v>
      </c>
      <c r="J148" s="72" t="s">
        <v>15</v>
      </c>
      <c r="K148" s="72" t="s">
        <v>34</v>
      </c>
      <c r="L148" s="72" t="s">
        <v>16</v>
      </c>
      <c r="M148" s="72" t="s">
        <v>48</v>
      </c>
      <c r="N148" s="73" t="s">
        <v>17</v>
      </c>
      <c r="P148" s="75" t="s">
        <v>18</v>
      </c>
      <c r="R148" s="76" t="s">
        <v>35</v>
      </c>
      <c r="T148" s="75" t="s">
        <v>36</v>
      </c>
      <c r="U148" s="144"/>
      <c r="V148" s="77" t="s">
        <v>29</v>
      </c>
      <c r="W148" s="29"/>
    </row>
    <row r="149" spans="1:23" ht="18" x14ac:dyDescent="0.25">
      <c r="A149" s="165"/>
      <c r="B149" s="168"/>
      <c r="C149" s="134">
        <v>0.54</v>
      </c>
      <c r="D149" s="135" t="s">
        <v>81</v>
      </c>
      <c r="E149" s="135" t="s">
        <v>79</v>
      </c>
      <c r="F149" s="79">
        <f>IF(AND(C149=""),"",1-C149)</f>
        <v>0.45999999999999996</v>
      </c>
      <c r="G149" s="108" t="s">
        <v>50</v>
      </c>
      <c r="H149" s="108" t="s">
        <v>51</v>
      </c>
      <c r="I149" s="79">
        <f>IF(AND(C149=""),"",G149*C149)</f>
        <v>0.92880000000000007</v>
      </c>
      <c r="J149" s="79">
        <f>IF(AND(C149=""),"",H149*F149)</f>
        <v>0.91999999999999993</v>
      </c>
      <c r="K149" s="154" t="str">
        <f t="shared" ref="K149:K158" si="0">IF(AND(I149=""),"",IF(AND(I149&gt;J149),"T1","T2"))</f>
        <v>T1</v>
      </c>
      <c r="L149" s="154" t="str">
        <f>IF(AND(K149=""),"",IF(AND((J149*0.95-1)&lt;0,(I149*0.95-1)&lt;0),"NO BET", IF(AND(K149="T1"),I149*0.95 - 1,J149*0.95 - 1)))</f>
        <v>NO BET</v>
      </c>
      <c r="M149" s="155">
        <f>IF(L149="","",IF(L149&lt;0.5,K$5*M$2,IF(L149&lt;0.75,K$5*M$3,IF(L149&lt;1,K$5*M$4,IF(L149&lt;1.25,K$5*M$5,IF(L149&lt;1.5,K$5*M$6,IF(L149&lt;2,K$5*M$7,IF(L149&lt;2.5,K$5*M$8,K$5*M$9))))))))</f>
        <v>300</v>
      </c>
      <c r="N149" s="172">
        <f>SUMIF(L149:L158,"&gt;0")</f>
        <v>11.893249999999998</v>
      </c>
      <c r="P149" s="81" t="s">
        <v>52</v>
      </c>
      <c r="R149" s="82">
        <f>IF(OR(P149="",L149="NO BET"),0,IF(AND(K149=P149),IF(AND(K149="T2"),ROUNDUP(H149*M149*0.95,2)-M149,ROUNDUP(G149*M149*0.95,2)-M149),-M149))</f>
        <v>0</v>
      </c>
      <c r="T149" s="83" t="str">
        <f t="shared" ref="T149:T158" si="1">IF(AND(P149=""),"",IF(AND(C149&gt;F149),IF(AND(P149="T1"),"a","r"),IF(AND(P149="T2"),"a","r")))</f>
        <v>r</v>
      </c>
      <c r="U149" s="170"/>
      <c r="V149" s="175">
        <f>SUM(R149:R158)</f>
        <v>1695</v>
      </c>
      <c r="W149" s="29"/>
    </row>
    <row r="150" spans="1:23" ht="18.75" customHeight="1" x14ac:dyDescent="0.25">
      <c r="A150" s="165"/>
      <c r="B150" s="168"/>
      <c r="C150" s="136">
        <v>0.42</v>
      </c>
      <c r="D150" s="137" t="s">
        <v>78</v>
      </c>
      <c r="E150" s="137" t="s">
        <v>83</v>
      </c>
      <c r="F150" s="85">
        <f t="shared" ref="F150:F158" si="2">IF(AND(C150=""),"",1-C150)</f>
        <v>0.58000000000000007</v>
      </c>
      <c r="G150" s="109">
        <v>2.5</v>
      </c>
      <c r="H150" s="109">
        <v>1.5</v>
      </c>
      <c r="I150" s="85">
        <f t="shared" ref="I150:I156" si="3">IF(AND(C150=""),"",G150*C150)</f>
        <v>1.05</v>
      </c>
      <c r="J150" s="85">
        <f t="shared" ref="J150:J156" si="4">IF(AND(C150=""),"",H150*F150)</f>
        <v>0.87000000000000011</v>
      </c>
      <c r="K150" s="156" t="str">
        <f t="shared" si="0"/>
        <v>T1</v>
      </c>
      <c r="L150" s="156" t="str">
        <f t="shared" ref="L150:L158" si="5">IF(AND(K150=""),"",IF(AND((J150*0.95-1)&lt;0,(I150*0.95-1)&lt;0),"NO BET", IF(AND(K150="T1"),I150*0.95 - 1,J150*0.95 - 1)))</f>
        <v>NO BET</v>
      </c>
      <c r="M150" s="157">
        <f t="shared" ref="M150:M158" si="6">IF(L150="","",IF(L150&lt;0.5,K$5*M$2,IF(L150&lt;0.75,K$5*M$3,IF(L150&lt;1,K$5*M$4,IF(L150&lt;1.25,K$5*M$5,IF(L150&lt;1.5,K$5*M$6,IF(L150&lt;2,K$5*M$7,IF(L150&lt;2.5,K$5*M$8,K$5*M$9))))))))</f>
        <v>300</v>
      </c>
      <c r="N150" s="173"/>
      <c r="P150" s="87" t="s">
        <v>53</v>
      </c>
      <c r="R150" s="88">
        <f>IF(OR(P150="",L150="NO BET"),0,IF(AND(K150=P150),IF(AND(K150="T2"),ROUNDUP(H150*M150*0.95,2)-M150,ROUNDUP(G150*M150*0.95,2)-M150),-M150))</f>
        <v>0</v>
      </c>
      <c r="T150" s="89" t="str">
        <f t="shared" si="1"/>
        <v>r</v>
      </c>
      <c r="U150" s="170"/>
      <c r="V150" s="175"/>
      <c r="W150" s="29"/>
    </row>
    <row r="151" spans="1:23" ht="18" customHeight="1" x14ac:dyDescent="0.25">
      <c r="A151" s="165"/>
      <c r="B151" s="168"/>
      <c r="C151" s="138">
        <v>0.28999999999999998</v>
      </c>
      <c r="D151" s="139" t="s">
        <v>65</v>
      </c>
      <c r="E151" s="139" t="s">
        <v>80</v>
      </c>
      <c r="F151" s="16">
        <f t="shared" si="2"/>
        <v>0.71</v>
      </c>
      <c r="G151" s="140">
        <v>7</v>
      </c>
      <c r="H151" s="140">
        <v>1.1000000000000001</v>
      </c>
      <c r="I151" s="16">
        <f t="shared" si="3"/>
        <v>2.0299999999999998</v>
      </c>
      <c r="J151" s="16">
        <f t="shared" si="4"/>
        <v>0.78100000000000003</v>
      </c>
      <c r="K151" s="158" t="str">
        <f t="shared" si="0"/>
        <v>T1</v>
      </c>
      <c r="L151" s="158">
        <f t="shared" si="5"/>
        <v>0.92849999999999966</v>
      </c>
      <c r="M151" s="159">
        <f t="shared" si="6"/>
        <v>100</v>
      </c>
      <c r="N151" s="173"/>
      <c r="P151" s="87" t="s">
        <v>53</v>
      </c>
      <c r="R151" s="88">
        <f t="shared" ref="R151:R158" si="7">IF(OR(P151="",L151="NO BET"),0,IF(AND(K151=P151),IF(AND(K151="T2"),ROUNDUP(H151*M151*0.95,2)-M151,ROUNDUP(G151*M151*0.95,2)-M151),-M151))</f>
        <v>565</v>
      </c>
      <c r="T151" s="89" t="str">
        <f t="shared" si="1"/>
        <v>r</v>
      </c>
      <c r="U151" s="170"/>
      <c r="V151" s="175"/>
      <c r="W151" s="29"/>
    </row>
    <row r="152" spans="1:23" ht="18" customHeight="1" x14ac:dyDescent="0.25">
      <c r="A152" s="165"/>
      <c r="B152" s="168"/>
      <c r="C152" s="136">
        <v>0.28999999999999998</v>
      </c>
      <c r="D152" s="137" t="s">
        <v>88</v>
      </c>
      <c r="E152" s="137" t="s">
        <v>86</v>
      </c>
      <c r="F152" s="85">
        <f t="shared" si="2"/>
        <v>0.71</v>
      </c>
      <c r="G152" s="141">
        <v>1.1100000000000001</v>
      </c>
      <c r="H152" s="141">
        <v>6</v>
      </c>
      <c r="I152" s="85">
        <f t="shared" si="3"/>
        <v>0.32190000000000002</v>
      </c>
      <c r="J152" s="85">
        <f t="shared" si="4"/>
        <v>4.26</v>
      </c>
      <c r="K152" s="156" t="str">
        <f t="shared" si="0"/>
        <v>T2</v>
      </c>
      <c r="L152" s="156">
        <f t="shared" si="5"/>
        <v>3.0469999999999997</v>
      </c>
      <c r="M152" s="157">
        <f t="shared" si="6"/>
        <v>300</v>
      </c>
      <c r="N152" s="173"/>
      <c r="P152" s="87" t="s">
        <v>53</v>
      </c>
      <c r="R152" s="88">
        <f t="shared" si="7"/>
        <v>-300</v>
      </c>
      <c r="T152" s="89" t="str">
        <f t="shared" si="1"/>
        <v>r</v>
      </c>
      <c r="U152" s="170"/>
      <c r="V152" s="175"/>
      <c r="W152" s="29"/>
    </row>
    <row r="153" spans="1:23" ht="18" customHeight="1" x14ac:dyDescent="0.25">
      <c r="A153" s="165"/>
      <c r="B153" s="168"/>
      <c r="C153" s="138">
        <v>0.54</v>
      </c>
      <c r="D153" s="139" t="s">
        <v>78</v>
      </c>
      <c r="E153" s="139" t="s">
        <v>54</v>
      </c>
      <c r="F153" s="16">
        <f t="shared" si="2"/>
        <v>0.45999999999999996</v>
      </c>
      <c r="G153" s="140">
        <v>2.75</v>
      </c>
      <c r="H153" s="140">
        <v>1.4</v>
      </c>
      <c r="I153" s="16">
        <f t="shared" si="3"/>
        <v>1.4850000000000001</v>
      </c>
      <c r="J153" s="16">
        <f t="shared" si="4"/>
        <v>0.64399999999999991</v>
      </c>
      <c r="K153" s="158" t="str">
        <f t="shared" si="0"/>
        <v>T1</v>
      </c>
      <c r="L153" s="158">
        <f t="shared" si="5"/>
        <v>0.41074999999999995</v>
      </c>
      <c r="M153" s="160">
        <f t="shared" si="6"/>
        <v>50</v>
      </c>
      <c r="N153" s="173"/>
      <c r="P153" s="87" t="s">
        <v>52</v>
      </c>
      <c r="R153" s="88">
        <f t="shared" si="7"/>
        <v>-50</v>
      </c>
      <c r="T153" s="89" t="str">
        <f t="shared" si="1"/>
        <v>r</v>
      </c>
      <c r="U153" s="170"/>
      <c r="V153" s="175"/>
      <c r="W153" s="29"/>
    </row>
    <row r="154" spans="1:23" ht="18" customHeight="1" x14ac:dyDescent="0.25">
      <c r="A154" s="165"/>
      <c r="B154" s="168"/>
      <c r="C154" s="136">
        <v>0.54</v>
      </c>
      <c r="D154" s="137" t="s">
        <v>77</v>
      </c>
      <c r="E154" s="137" t="s">
        <v>79</v>
      </c>
      <c r="F154" s="85">
        <f t="shared" si="2"/>
        <v>0.45999999999999996</v>
      </c>
      <c r="G154" s="141">
        <v>5.5</v>
      </c>
      <c r="H154" s="141">
        <v>1.1200000000000001</v>
      </c>
      <c r="I154" s="85">
        <f t="shared" si="3"/>
        <v>2.97</v>
      </c>
      <c r="J154" s="85">
        <f t="shared" si="4"/>
        <v>0.51519999999999999</v>
      </c>
      <c r="K154" s="156" t="str">
        <f t="shared" si="0"/>
        <v>T1</v>
      </c>
      <c r="L154" s="156">
        <f t="shared" si="5"/>
        <v>1.8214999999999999</v>
      </c>
      <c r="M154" s="157">
        <f t="shared" si="6"/>
        <v>200</v>
      </c>
      <c r="N154" s="173"/>
      <c r="P154" s="87" t="s">
        <v>52</v>
      </c>
      <c r="R154" s="88">
        <f t="shared" si="7"/>
        <v>-200</v>
      </c>
      <c r="T154" s="89" t="str">
        <f t="shared" si="1"/>
        <v>r</v>
      </c>
      <c r="U154" s="170"/>
      <c r="V154" s="175"/>
      <c r="W154" s="29"/>
    </row>
    <row r="155" spans="1:23" ht="18" customHeight="1" thickBot="1" x14ac:dyDescent="0.3">
      <c r="A155" s="165"/>
      <c r="B155" s="168"/>
      <c r="C155" s="138">
        <v>0.42</v>
      </c>
      <c r="D155" s="139" t="s">
        <v>80</v>
      </c>
      <c r="E155" s="139" t="s">
        <v>83</v>
      </c>
      <c r="F155" s="16">
        <f t="shared" si="2"/>
        <v>0.58000000000000007</v>
      </c>
      <c r="G155" s="140">
        <v>1.1000000000000001</v>
      </c>
      <c r="H155" s="140">
        <v>6.5</v>
      </c>
      <c r="I155" s="16">
        <f t="shared" si="3"/>
        <v>0.46200000000000002</v>
      </c>
      <c r="J155" s="16">
        <f t="shared" si="4"/>
        <v>3.7700000000000005</v>
      </c>
      <c r="K155" s="158" t="str">
        <f t="shared" si="0"/>
        <v>T2</v>
      </c>
      <c r="L155" s="158">
        <f t="shared" si="5"/>
        <v>2.5815000000000001</v>
      </c>
      <c r="M155" s="159">
        <f t="shared" si="6"/>
        <v>300</v>
      </c>
      <c r="N155" s="173"/>
      <c r="P155" s="87" t="s">
        <v>53</v>
      </c>
      <c r="R155" s="88">
        <f t="shared" si="7"/>
        <v>-300</v>
      </c>
      <c r="T155" s="89" t="str">
        <f t="shared" si="1"/>
        <v>r</v>
      </c>
      <c r="U155" s="144"/>
      <c r="V155" s="93" t="s">
        <v>31</v>
      </c>
      <c r="W155" s="29"/>
    </row>
    <row r="156" spans="1:23" ht="18" customHeight="1" x14ac:dyDescent="0.25">
      <c r="A156" s="165"/>
      <c r="B156" s="168"/>
      <c r="C156" s="136">
        <v>0.54</v>
      </c>
      <c r="D156" s="137" t="s">
        <v>77</v>
      </c>
      <c r="E156" s="137" t="s">
        <v>88</v>
      </c>
      <c r="F156" s="85">
        <f t="shared" si="2"/>
        <v>0.45999999999999996</v>
      </c>
      <c r="G156" s="109">
        <v>8</v>
      </c>
      <c r="H156" s="109">
        <v>1.0620000000000001</v>
      </c>
      <c r="I156" s="85">
        <f t="shared" si="3"/>
        <v>4.32</v>
      </c>
      <c r="J156" s="85">
        <f t="shared" si="4"/>
        <v>0.48852000000000001</v>
      </c>
      <c r="K156" s="156" t="str">
        <f t="shared" si="0"/>
        <v>T1</v>
      </c>
      <c r="L156" s="156">
        <f t="shared" si="5"/>
        <v>3.1040000000000001</v>
      </c>
      <c r="M156" s="161">
        <f t="shared" si="6"/>
        <v>300</v>
      </c>
      <c r="N156" s="173"/>
      <c r="P156" s="87" t="s">
        <v>53</v>
      </c>
      <c r="R156" s="88">
        <f t="shared" si="7"/>
        <v>1980</v>
      </c>
      <c r="T156" s="89" t="str">
        <f t="shared" si="1"/>
        <v>a</v>
      </c>
      <c r="U156" s="171"/>
      <c r="V156" s="176">
        <f>IF(AND(NOT(N149=0)),V149/N149,0)</f>
        <v>142.51781472684087</v>
      </c>
      <c r="W156" s="29"/>
    </row>
    <row r="157" spans="1:23" ht="18" x14ac:dyDescent="0.25">
      <c r="A157" s="165"/>
      <c r="B157" s="168"/>
      <c r="C157" s="142"/>
      <c r="D157" s="16"/>
      <c r="E157" s="16"/>
      <c r="F157" s="16" t="str">
        <f t="shared" si="2"/>
        <v/>
      </c>
      <c r="G157" s="104"/>
      <c r="H157" s="104"/>
      <c r="I157" s="16" t="str">
        <f>IF(AND(C157=""),"",G157*C157)</f>
        <v/>
      </c>
      <c r="J157" s="16" t="str">
        <f>IF(AND(C157=""),"",H157*F157)</f>
        <v/>
      </c>
      <c r="K157" s="158" t="str">
        <f t="shared" si="0"/>
        <v/>
      </c>
      <c r="L157" s="158" t="str">
        <f t="shared" si="5"/>
        <v/>
      </c>
      <c r="M157" s="160" t="str">
        <f t="shared" si="6"/>
        <v/>
      </c>
      <c r="N157" s="173"/>
      <c r="P157" s="87"/>
      <c r="R157" s="88">
        <f t="shared" si="7"/>
        <v>0</v>
      </c>
      <c r="T157" s="89" t="str">
        <f t="shared" si="1"/>
        <v/>
      </c>
      <c r="U157" s="171"/>
      <c r="V157" s="177"/>
      <c r="W157" s="29"/>
    </row>
    <row r="158" spans="1:23" ht="18.75" thickBot="1" x14ac:dyDescent="0.3">
      <c r="A158" s="166"/>
      <c r="B158" s="169"/>
      <c r="C158" s="143"/>
      <c r="D158" s="95"/>
      <c r="E158" s="95"/>
      <c r="F158" s="95" t="str">
        <f t="shared" si="2"/>
        <v/>
      </c>
      <c r="G158" s="110"/>
      <c r="H158" s="110"/>
      <c r="I158" s="95" t="str">
        <f>IF(AND(C158=""),"",G158*C158)</f>
        <v/>
      </c>
      <c r="J158" s="95" t="str">
        <f>IF(AND(C158=""),"",H158*F158)</f>
        <v/>
      </c>
      <c r="K158" s="162" t="str">
        <f t="shared" si="0"/>
        <v/>
      </c>
      <c r="L158" s="162" t="str">
        <f t="shared" si="5"/>
        <v/>
      </c>
      <c r="M158" s="163" t="str">
        <f t="shared" si="6"/>
        <v/>
      </c>
      <c r="N158" s="174"/>
      <c r="P158" s="97"/>
      <c r="R158" s="98">
        <f t="shared" si="7"/>
        <v>0</v>
      </c>
      <c r="T158" s="99" t="str">
        <f t="shared" si="1"/>
        <v/>
      </c>
      <c r="U158" s="171"/>
      <c r="V158" s="178"/>
      <c r="W158" s="29"/>
    </row>
    <row r="159" spans="1:23" x14ac:dyDescent="0.2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100"/>
      <c r="M159" s="100"/>
      <c r="N159" s="29"/>
      <c r="O159" s="29"/>
      <c r="P159" s="29"/>
      <c r="Q159" s="71"/>
      <c r="R159" s="31"/>
      <c r="S159" s="71"/>
      <c r="T159" s="71"/>
      <c r="U159" s="71"/>
      <c r="V159" s="32"/>
      <c r="W159" s="29"/>
    </row>
    <row r="160" spans="1:23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31"/>
      <c r="S160" s="29"/>
      <c r="T160" s="71"/>
      <c r="U160" s="29"/>
      <c r="V160" s="32"/>
      <c r="W160" s="29"/>
    </row>
    <row r="161" spans="1:23" ht="16.5" thickBot="1" x14ac:dyDescent="0.3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71"/>
      <c r="R161" s="31"/>
      <c r="S161" s="71"/>
      <c r="T161" s="71"/>
      <c r="U161" s="71"/>
      <c r="V161" s="32"/>
      <c r="W161" s="29"/>
    </row>
    <row r="162" spans="1:23" ht="19.5" customHeight="1" thickBot="1" x14ac:dyDescent="0.3">
      <c r="A162" s="164" t="s">
        <v>5</v>
      </c>
      <c r="B162" s="167" t="s">
        <v>20</v>
      </c>
      <c r="C162" s="72" t="s">
        <v>49</v>
      </c>
      <c r="D162" s="72" t="s">
        <v>9</v>
      </c>
      <c r="E162" s="72" t="s">
        <v>10</v>
      </c>
      <c r="F162" s="72" t="s">
        <v>11</v>
      </c>
      <c r="G162" s="72" t="s">
        <v>12</v>
      </c>
      <c r="H162" s="72" t="s">
        <v>13</v>
      </c>
      <c r="I162" s="72" t="s">
        <v>14</v>
      </c>
      <c r="J162" s="72" t="s">
        <v>15</v>
      </c>
      <c r="K162" s="72" t="s">
        <v>34</v>
      </c>
      <c r="L162" s="72" t="s">
        <v>16</v>
      </c>
      <c r="M162" s="72" t="s">
        <v>48</v>
      </c>
      <c r="N162" s="73" t="s">
        <v>17</v>
      </c>
      <c r="O162" s="74"/>
      <c r="P162" s="75" t="s">
        <v>18</v>
      </c>
      <c r="Q162" s="71"/>
      <c r="R162" s="76" t="s">
        <v>35</v>
      </c>
      <c r="S162" s="71"/>
      <c r="T162" s="75" t="s">
        <v>36</v>
      </c>
      <c r="U162" s="71"/>
      <c r="V162" s="77" t="s">
        <v>29</v>
      </c>
      <c r="W162" s="29"/>
    </row>
    <row r="163" spans="1:23" ht="18" x14ac:dyDescent="0.25">
      <c r="A163" s="165"/>
      <c r="B163" s="168"/>
      <c r="C163" s="134">
        <v>0.05</v>
      </c>
      <c r="D163" s="150" t="s">
        <v>65</v>
      </c>
      <c r="E163" s="150" t="s">
        <v>81</v>
      </c>
      <c r="F163" s="79">
        <f>IF(AND(C163=""),"",1-C163)</f>
        <v>0.95</v>
      </c>
      <c r="G163" s="108">
        <v>2.62</v>
      </c>
      <c r="H163" s="108">
        <v>1.44</v>
      </c>
      <c r="I163" s="79">
        <f>IF(AND(C163=""),"",G163*C163)</f>
        <v>0.13100000000000001</v>
      </c>
      <c r="J163" s="79">
        <f>IF(AND(C163=""),"",H163*F163)</f>
        <v>1.3679999999999999</v>
      </c>
      <c r="K163" s="79" t="str">
        <f t="shared" ref="K163:K172" si="8">IF(AND(I163=""),"",IF(AND(I163&gt;J163),"T1","T2"))</f>
        <v>T2</v>
      </c>
      <c r="L163" s="79">
        <f>IF(AND(K163=""),"",IF(AND((J163*0.95-1)&lt;0,(I163*0.95-1)&lt;0),"NO BET", IF(AND(K163="T1"),I163*0.95 - 1,J163*0.95 - 1)))</f>
        <v>0.29959999999999987</v>
      </c>
      <c r="M163" s="80">
        <f>IF(L163="","",IF(L163&lt;0.5,K$5*M$2,IF(L163&lt;0.75,K$5*M$3,IF(L163&lt;1,K$5*M$4,IF(L163&lt;1.25,K$5*M$5,IF(L163&lt;1.5,K$5*M$6,IF(L163&lt;2,K$5*M$7,IF(L163&lt;2.5,K$5*M$8,K$5*M$9))))))))</f>
        <v>50</v>
      </c>
      <c r="N163" s="172">
        <f>SUMIF(L163:L172,"&gt;0")</f>
        <v>9.7493599999999976</v>
      </c>
      <c r="O163" s="74"/>
      <c r="P163" s="81" t="s">
        <v>52</v>
      </c>
      <c r="Q163" s="74"/>
      <c r="R163" s="82">
        <f>IF(OR(P163="",L163="NO BET"),0,IF(AND(K163=P163),IF(AND(K163="T2"),ROUNDUP(H163*0.95,2)-M163,ROUNDUP(G163*0.95,2)-M163),-M163))</f>
        <v>-48.63</v>
      </c>
      <c r="S163" s="71"/>
      <c r="T163" s="83" t="str">
        <f>IF(AND(P163=""),"",IF(AND(C163&gt;F163),IF(AND(P163="T1"),"a","r"),IF(AND(P163="T2"),"a","r")))</f>
        <v>a</v>
      </c>
      <c r="U163" s="71"/>
      <c r="V163" s="175">
        <f>SUM(R163:R172)</f>
        <v>1340.62</v>
      </c>
      <c r="W163" s="29"/>
    </row>
    <row r="164" spans="1:23" ht="18" x14ac:dyDescent="0.25">
      <c r="A164" s="165"/>
      <c r="B164" s="168"/>
      <c r="C164" s="136">
        <v>0.04</v>
      </c>
      <c r="D164" s="125" t="s">
        <v>54</v>
      </c>
      <c r="E164" s="125" t="s">
        <v>86</v>
      </c>
      <c r="F164" s="85">
        <f t="shared" ref="F164:F172" si="9">IF(AND(C164=""),"",1-C164)</f>
        <v>0.96</v>
      </c>
      <c r="G164" s="85">
        <v>1.72</v>
      </c>
      <c r="H164" s="85">
        <v>2</v>
      </c>
      <c r="I164" s="85">
        <f t="shared" ref="I164:I170" si="10">IF(AND(C164=""),"",G164*C164)</f>
        <v>6.88E-2</v>
      </c>
      <c r="J164" s="85">
        <f t="shared" ref="J164:J170" si="11">IF(AND(C164=""),"",H164*F164)</f>
        <v>1.92</v>
      </c>
      <c r="K164" s="85" t="str">
        <f t="shared" si="8"/>
        <v>T2</v>
      </c>
      <c r="L164" s="85">
        <f t="shared" ref="L164:L172" si="12">IF(AND(K164=""),"",IF(AND((J164*0.95-1)&lt;0,(I164*0.95-1)&lt;0),"NO BET", IF(AND(K164="T1"),I164*0.95 - 1,J164*0.95 - 1)))</f>
        <v>0.82399999999999984</v>
      </c>
      <c r="M164" s="86">
        <f t="shared" ref="M164:M172" si="13">IF(L164="","",IF(L164&lt;0.5,K$5*M$2,IF(L164&lt;0.75,K$5*M$3,IF(L164&lt;1,K$5*M$4,IF(L164&lt;1.25,K$5*M$5,IF(L164&lt;1.5,K$5*M$6,IF(L164&lt;2,K$5*M$7,IF(L164&lt;2.5,K$5*M$8,K$5*M$9))))))))</f>
        <v>100</v>
      </c>
      <c r="N164" s="173"/>
      <c r="O164" s="29"/>
      <c r="P164" s="87" t="s">
        <v>52</v>
      </c>
      <c r="Q164" s="71"/>
      <c r="R164" s="88">
        <f t="shared" ref="R164:R172" si="14">IF(OR(P164="",L164="NO BET"),0,IF(AND(K164=P164),IF(AND(K164="T2"),ROUNDUP(H164*M164*0.95,2)-1,ROUNDUP(G164*M164*0.95,2)-M164),-M164))</f>
        <v>189</v>
      </c>
      <c r="S164" s="71"/>
      <c r="T164" s="89" t="str">
        <f t="shared" ref="T164:T172" si="15">IF(AND(P164=""),"",IF(AND(C164&gt;F164),IF(AND(P164="T1"),"a","r"),IF(AND(P164="T2"),"a","r")))</f>
        <v>a</v>
      </c>
      <c r="U164" s="71"/>
      <c r="V164" s="175"/>
      <c r="W164" s="29"/>
    </row>
    <row r="165" spans="1:23" ht="18" x14ac:dyDescent="0.25">
      <c r="A165" s="165"/>
      <c r="B165" s="168"/>
      <c r="C165" s="138">
        <v>0.34</v>
      </c>
      <c r="D165" s="116" t="s">
        <v>77</v>
      </c>
      <c r="E165" s="116" t="s">
        <v>83</v>
      </c>
      <c r="F165" s="16">
        <f t="shared" si="9"/>
        <v>0.65999999999999992</v>
      </c>
      <c r="G165" s="104">
        <v>1.4</v>
      </c>
      <c r="H165" s="16">
        <v>2.75</v>
      </c>
      <c r="I165" s="16">
        <f t="shared" si="10"/>
        <v>0.47599999999999998</v>
      </c>
      <c r="J165" s="16">
        <f t="shared" si="11"/>
        <v>1.8149999999999997</v>
      </c>
      <c r="K165" s="16" t="str">
        <f t="shared" si="8"/>
        <v>T2</v>
      </c>
      <c r="L165" s="16">
        <f t="shared" si="12"/>
        <v>0.72424999999999962</v>
      </c>
      <c r="M165" s="91">
        <f t="shared" si="13"/>
        <v>75</v>
      </c>
      <c r="N165" s="173"/>
      <c r="O165" s="74"/>
      <c r="P165" s="87" t="s">
        <v>53</v>
      </c>
      <c r="Q165" s="71"/>
      <c r="R165" s="88">
        <f t="shared" si="14"/>
        <v>-75</v>
      </c>
      <c r="S165" s="71"/>
      <c r="T165" s="89" t="str">
        <f t="shared" si="15"/>
        <v>r</v>
      </c>
      <c r="U165" s="71"/>
      <c r="V165" s="175"/>
      <c r="W165" s="29"/>
    </row>
    <row r="166" spans="1:23" ht="18" x14ac:dyDescent="0.25">
      <c r="A166" s="165"/>
      <c r="B166" s="168"/>
      <c r="C166" s="136">
        <v>0.42</v>
      </c>
      <c r="D166" s="125" t="s">
        <v>80</v>
      </c>
      <c r="E166" s="125" t="s">
        <v>88</v>
      </c>
      <c r="F166" s="85">
        <f t="shared" si="9"/>
        <v>0.58000000000000007</v>
      </c>
      <c r="G166" s="109">
        <v>1.61</v>
      </c>
      <c r="H166" s="85">
        <v>2.2000000000000002</v>
      </c>
      <c r="I166" s="85">
        <f t="shared" si="10"/>
        <v>0.67620000000000002</v>
      </c>
      <c r="J166" s="85">
        <f t="shared" si="11"/>
        <v>1.2760000000000002</v>
      </c>
      <c r="K166" s="85" t="str">
        <f t="shared" si="8"/>
        <v>T2</v>
      </c>
      <c r="L166" s="85">
        <f t="shared" si="12"/>
        <v>0.21220000000000017</v>
      </c>
      <c r="M166" s="86">
        <f t="shared" si="13"/>
        <v>50</v>
      </c>
      <c r="N166" s="173"/>
      <c r="O166" s="92"/>
      <c r="P166" s="87" t="s">
        <v>53</v>
      </c>
      <c r="Q166" s="71"/>
      <c r="R166" s="88">
        <f t="shared" si="14"/>
        <v>-50</v>
      </c>
      <c r="S166" s="71"/>
      <c r="T166" s="89" t="str">
        <f t="shared" si="15"/>
        <v>r</v>
      </c>
      <c r="U166" s="71"/>
      <c r="V166" s="175"/>
      <c r="W166" s="29"/>
    </row>
    <row r="167" spans="1:23" ht="18" x14ac:dyDescent="0.25">
      <c r="A167" s="165"/>
      <c r="B167" s="168"/>
      <c r="C167" s="138">
        <v>0.54</v>
      </c>
      <c r="D167" s="116" t="s">
        <v>86</v>
      </c>
      <c r="E167" s="116" t="s">
        <v>78</v>
      </c>
      <c r="F167" s="16">
        <f t="shared" si="9"/>
        <v>0.45999999999999996</v>
      </c>
      <c r="G167" s="104">
        <v>2</v>
      </c>
      <c r="H167" s="16">
        <v>1.72</v>
      </c>
      <c r="I167" s="16">
        <f t="shared" si="10"/>
        <v>1.08</v>
      </c>
      <c r="J167" s="16">
        <f t="shared" si="11"/>
        <v>0.7911999999999999</v>
      </c>
      <c r="K167" s="16" t="str">
        <f t="shared" si="8"/>
        <v>T1</v>
      </c>
      <c r="L167" s="16">
        <f t="shared" si="12"/>
        <v>2.6000000000000023E-2</v>
      </c>
      <c r="M167" s="105">
        <f t="shared" si="13"/>
        <v>50</v>
      </c>
      <c r="N167" s="173"/>
      <c r="O167" s="92"/>
      <c r="P167" s="87" t="s">
        <v>53</v>
      </c>
      <c r="Q167" s="71"/>
      <c r="R167" s="88">
        <f t="shared" si="14"/>
        <v>45</v>
      </c>
      <c r="S167" s="71"/>
      <c r="T167" s="89" t="str">
        <f t="shared" si="15"/>
        <v>a</v>
      </c>
      <c r="U167" s="71"/>
      <c r="V167" s="175"/>
      <c r="W167" s="29"/>
    </row>
    <row r="168" spans="1:23" ht="18" x14ac:dyDescent="0.25">
      <c r="A168" s="165"/>
      <c r="B168" s="168"/>
      <c r="C168" s="136">
        <v>0.14000000000000001</v>
      </c>
      <c r="D168" s="125" t="s">
        <v>79</v>
      </c>
      <c r="E168" s="125" t="s">
        <v>65</v>
      </c>
      <c r="F168" s="85">
        <f t="shared" si="9"/>
        <v>0.86</v>
      </c>
      <c r="G168" s="109">
        <v>1.25</v>
      </c>
      <c r="H168" s="85">
        <v>3.75</v>
      </c>
      <c r="I168" s="85">
        <f t="shared" si="10"/>
        <v>0.17500000000000002</v>
      </c>
      <c r="J168" s="85">
        <f t="shared" si="11"/>
        <v>3.2250000000000001</v>
      </c>
      <c r="K168" s="85" t="str">
        <f t="shared" si="8"/>
        <v>T2</v>
      </c>
      <c r="L168" s="85">
        <f t="shared" si="12"/>
        <v>2.0637499999999998</v>
      </c>
      <c r="M168" s="86">
        <f t="shared" si="13"/>
        <v>250</v>
      </c>
      <c r="N168" s="173"/>
      <c r="O168" s="92"/>
      <c r="P168" s="87" t="s">
        <v>53</v>
      </c>
      <c r="Q168" s="71"/>
      <c r="R168" s="88">
        <f t="shared" si="14"/>
        <v>-250</v>
      </c>
      <c r="S168" s="71"/>
      <c r="T168" s="89" t="str">
        <f t="shared" si="15"/>
        <v>r</v>
      </c>
      <c r="U168" s="71"/>
      <c r="V168" s="175"/>
      <c r="W168" s="29"/>
    </row>
    <row r="169" spans="1:23" ht="18.75" thickBot="1" x14ac:dyDescent="0.3">
      <c r="A169" s="165"/>
      <c r="B169" s="168"/>
      <c r="C169" s="138">
        <v>0.78</v>
      </c>
      <c r="D169" s="116" t="s">
        <v>81</v>
      </c>
      <c r="E169" s="116" t="s">
        <v>88</v>
      </c>
      <c r="F169" s="16">
        <f t="shared" si="9"/>
        <v>0.21999999999999997</v>
      </c>
      <c r="G169" s="104">
        <v>1.5</v>
      </c>
      <c r="H169" s="16">
        <v>2.5</v>
      </c>
      <c r="I169" s="16">
        <f t="shared" si="10"/>
        <v>1.17</v>
      </c>
      <c r="J169" s="16">
        <f t="shared" si="11"/>
        <v>0.54999999999999993</v>
      </c>
      <c r="K169" s="16" t="str">
        <f t="shared" si="8"/>
        <v>T1</v>
      </c>
      <c r="L169" s="16">
        <f t="shared" si="12"/>
        <v>0.11149999999999993</v>
      </c>
      <c r="M169" s="91">
        <f t="shared" si="13"/>
        <v>50</v>
      </c>
      <c r="N169" s="173"/>
      <c r="O169" s="29"/>
      <c r="P169" s="87" t="s">
        <v>53</v>
      </c>
      <c r="Q169" s="71"/>
      <c r="R169" s="88">
        <f t="shared" si="14"/>
        <v>21.25</v>
      </c>
      <c r="S169" s="71"/>
      <c r="T169" s="89" t="str">
        <f t="shared" si="15"/>
        <v>a</v>
      </c>
      <c r="U169" s="71"/>
      <c r="V169" s="93" t="s">
        <v>31</v>
      </c>
      <c r="W169" s="29"/>
    </row>
    <row r="170" spans="1:23" ht="18" x14ac:dyDescent="0.25">
      <c r="A170" s="165"/>
      <c r="B170" s="168"/>
      <c r="C170" s="136">
        <v>0.44</v>
      </c>
      <c r="D170" s="125" t="s">
        <v>80</v>
      </c>
      <c r="E170" s="125" t="s">
        <v>54</v>
      </c>
      <c r="F170" s="85">
        <f t="shared" si="9"/>
        <v>0.56000000000000005</v>
      </c>
      <c r="G170" s="109">
        <v>1.2</v>
      </c>
      <c r="H170" s="85">
        <v>4.33</v>
      </c>
      <c r="I170" s="85">
        <f t="shared" si="10"/>
        <v>0.52800000000000002</v>
      </c>
      <c r="J170" s="85">
        <f t="shared" si="11"/>
        <v>2.4248000000000003</v>
      </c>
      <c r="K170" s="85" t="str">
        <f t="shared" si="8"/>
        <v>T2</v>
      </c>
      <c r="L170" s="85">
        <f t="shared" si="12"/>
        <v>1.3035600000000001</v>
      </c>
      <c r="M170" s="106">
        <f t="shared" si="13"/>
        <v>150</v>
      </c>
      <c r="N170" s="173"/>
      <c r="O170" s="29"/>
      <c r="P170" s="87" t="s">
        <v>53</v>
      </c>
      <c r="Q170" s="71"/>
      <c r="R170" s="88">
        <f t="shared" si="14"/>
        <v>-150</v>
      </c>
      <c r="S170" s="71"/>
      <c r="T170" s="89" t="str">
        <f t="shared" si="15"/>
        <v>r</v>
      </c>
      <c r="U170" s="71"/>
      <c r="V170" s="176">
        <f>IF(AND(NOT(N163=0)),V163/N163,0)</f>
        <v>137.5085133793398</v>
      </c>
      <c r="W170" s="29"/>
    </row>
    <row r="171" spans="1:23" ht="18" x14ac:dyDescent="0.25">
      <c r="A171" s="165"/>
      <c r="B171" s="168"/>
      <c r="C171" s="138">
        <v>0.16</v>
      </c>
      <c r="D171" s="116" t="s">
        <v>79</v>
      </c>
      <c r="E171" s="116" t="s">
        <v>78</v>
      </c>
      <c r="F171" s="16">
        <f t="shared" si="9"/>
        <v>0.84</v>
      </c>
      <c r="G171" s="16">
        <v>1.1000000000000001</v>
      </c>
      <c r="H171" s="16">
        <v>6</v>
      </c>
      <c r="I171" s="16">
        <f>IF(AND(C171=""),"",G171*C171)</f>
        <v>0.17600000000000002</v>
      </c>
      <c r="J171" s="16">
        <f>IF(AND(C171=""),"",H171*F171)</f>
        <v>5.04</v>
      </c>
      <c r="K171" s="16" t="str">
        <f t="shared" si="8"/>
        <v>T2</v>
      </c>
      <c r="L171" s="16">
        <f t="shared" si="12"/>
        <v>3.7879999999999994</v>
      </c>
      <c r="M171" s="105">
        <f t="shared" si="13"/>
        <v>300</v>
      </c>
      <c r="N171" s="173"/>
      <c r="O171" s="29"/>
      <c r="P171" s="87" t="s">
        <v>52</v>
      </c>
      <c r="Q171" s="71"/>
      <c r="R171" s="88">
        <f t="shared" si="14"/>
        <v>1709</v>
      </c>
      <c r="S171" s="71"/>
      <c r="T171" s="89" t="str">
        <f t="shared" si="15"/>
        <v>a</v>
      </c>
      <c r="U171" s="71"/>
      <c r="V171" s="177"/>
      <c r="W171" s="29"/>
    </row>
    <row r="172" spans="1:23" ht="18.75" thickBot="1" x14ac:dyDescent="0.3">
      <c r="A172" s="166"/>
      <c r="B172" s="169"/>
      <c r="C172" s="153">
        <v>0.49</v>
      </c>
      <c r="D172" s="118" t="s">
        <v>86</v>
      </c>
      <c r="E172" s="118" t="s">
        <v>65</v>
      </c>
      <c r="F172" s="95">
        <f t="shared" si="9"/>
        <v>0.51</v>
      </c>
      <c r="G172" s="95">
        <v>3</v>
      </c>
      <c r="H172" s="95">
        <v>1.36</v>
      </c>
      <c r="I172" s="95">
        <f>IF(AND(C172=""),"",G172*C172)</f>
        <v>1.47</v>
      </c>
      <c r="J172" s="95">
        <f>IF(AND(C172=""),"",H172*F172)</f>
        <v>0.69360000000000011</v>
      </c>
      <c r="K172" s="95" t="str">
        <f t="shared" si="8"/>
        <v>T1</v>
      </c>
      <c r="L172" s="95">
        <f t="shared" si="12"/>
        <v>0.39649999999999985</v>
      </c>
      <c r="M172" s="96">
        <f t="shared" si="13"/>
        <v>50</v>
      </c>
      <c r="N172" s="174"/>
      <c r="O172" s="29"/>
      <c r="P172" s="97" t="s">
        <v>52</v>
      </c>
      <c r="Q172" s="29"/>
      <c r="R172" s="98">
        <f t="shared" si="14"/>
        <v>-50</v>
      </c>
      <c r="S172" s="29"/>
      <c r="T172" s="99" t="str">
        <f t="shared" si="15"/>
        <v>a</v>
      </c>
      <c r="U172" s="29"/>
      <c r="V172" s="178"/>
      <c r="W172" s="29"/>
    </row>
    <row r="173" spans="1:23" x14ac:dyDescent="0.2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R173" s="31"/>
      <c r="S173" s="29"/>
      <c r="T173" s="29"/>
      <c r="U173" s="29"/>
      <c r="V173" s="32"/>
      <c r="W173" s="29"/>
    </row>
    <row r="174" spans="1:23" x14ac:dyDescent="0.2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31"/>
      <c r="S174" s="29"/>
      <c r="T174" s="29"/>
      <c r="U174" s="29"/>
      <c r="V174" s="32"/>
      <c r="W174" s="29"/>
    </row>
    <row r="175" spans="1:23" ht="16.5" thickBot="1" x14ac:dyDescent="0.3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31"/>
      <c r="S175" s="29"/>
      <c r="T175" s="29"/>
      <c r="U175" s="29"/>
      <c r="V175" s="32"/>
      <c r="W175" s="29"/>
    </row>
    <row r="176" spans="1:23" ht="19.5" customHeight="1" thickBot="1" x14ac:dyDescent="0.3">
      <c r="A176" s="164" t="s">
        <v>5</v>
      </c>
      <c r="B176" s="167" t="s">
        <v>21</v>
      </c>
      <c r="C176" s="72" t="s">
        <v>49</v>
      </c>
      <c r="D176" s="72" t="s">
        <v>9</v>
      </c>
      <c r="E176" s="72" t="s">
        <v>10</v>
      </c>
      <c r="F176" s="72" t="s">
        <v>11</v>
      </c>
      <c r="G176" s="72" t="s">
        <v>12</v>
      </c>
      <c r="H176" s="72" t="s">
        <v>13</v>
      </c>
      <c r="I176" s="72" t="s">
        <v>14</v>
      </c>
      <c r="J176" s="72" t="s">
        <v>15</v>
      </c>
      <c r="K176" s="72" t="s">
        <v>34</v>
      </c>
      <c r="L176" s="72" t="s">
        <v>16</v>
      </c>
      <c r="M176" s="72" t="s">
        <v>48</v>
      </c>
      <c r="N176" s="73" t="s">
        <v>17</v>
      </c>
      <c r="O176" s="74"/>
      <c r="P176" s="75" t="s">
        <v>18</v>
      </c>
      <c r="Q176" s="71"/>
      <c r="R176" s="76" t="s">
        <v>35</v>
      </c>
      <c r="S176" s="71"/>
      <c r="T176" s="75" t="s">
        <v>36</v>
      </c>
      <c r="U176" s="71"/>
      <c r="V176" s="77" t="s">
        <v>29</v>
      </c>
      <c r="W176" s="29"/>
    </row>
    <row r="177" spans="1:23" ht="15.75" customHeight="1" x14ac:dyDescent="0.25">
      <c r="A177" s="165"/>
      <c r="B177" s="168"/>
      <c r="C177" s="145">
        <v>0.31</v>
      </c>
      <c r="D177" s="150" t="s">
        <v>54</v>
      </c>
      <c r="E177" s="150" t="s">
        <v>77</v>
      </c>
      <c r="F177" s="79">
        <f>IF(AND(C177=""),"",1-C177)</f>
        <v>0.69</v>
      </c>
      <c r="G177" s="79">
        <v>1.72</v>
      </c>
      <c r="H177" s="79">
        <v>2</v>
      </c>
      <c r="I177" s="79">
        <f>IF(AND(C177=""),"",G177*C177)</f>
        <v>0.53320000000000001</v>
      </c>
      <c r="J177" s="79">
        <f>IF(AND(C177=""),"",H177*F177)</f>
        <v>1.38</v>
      </c>
      <c r="K177" s="79" t="str">
        <f t="shared" ref="K177:L186" si="16">IF(AND(I177=""),"",IF(AND(I177&gt;J177),"T1","T2"))</f>
        <v>T2</v>
      </c>
      <c r="L177" s="79" t="str">
        <f t="shared" si="16"/>
        <v>T2</v>
      </c>
      <c r="M177" s="80">
        <f>IF(L177="","",IF(L177&lt;0.5,K$5*M$2,IF(L177&lt;0.75,K$5*M$3,IF(L177&lt;1,K$5*M$4,IF(L177&lt;1.25,K$5*M$5,IF(L177&lt;1.5,K$5*M$6,IF(L177&lt;2,K$5*M$7,IF(L177&lt;2.5,K$5*M$8,K$5*M$9))))))))</f>
        <v>300</v>
      </c>
      <c r="N177" s="172">
        <f>SUMIF(L177:L186,"&gt;0")</f>
        <v>0</v>
      </c>
      <c r="O177" s="74"/>
      <c r="P177" s="81" t="s">
        <v>53</v>
      </c>
      <c r="Q177" s="74"/>
      <c r="R177" s="82">
        <f>IF(OR(P177="",L177="NO BET"),0,IF(AND(K177=P177),IF(AND(K177="T2"),ROUNDUP(H177*0.95,2)-M177,ROUNDUP(G177*0.95,2)-M177),-M177))</f>
        <v>-300</v>
      </c>
      <c r="S177" s="71"/>
      <c r="T177" s="83" t="str">
        <f>IF(AND(P177=""),"",IF(AND(C177&gt;F177),IF(AND(P177="T1"),"a","r"),IF(AND(P177="T2"),"a","r")))</f>
        <v>r</v>
      </c>
      <c r="U177" s="71"/>
      <c r="V177" s="175">
        <f>SUM(R177:R186)</f>
        <v>-1213.3</v>
      </c>
      <c r="W177" s="29"/>
    </row>
    <row r="178" spans="1:23" ht="15.75" customHeight="1" x14ac:dyDescent="0.25">
      <c r="A178" s="165"/>
      <c r="B178" s="168"/>
      <c r="C178" s="146">
        <v>0.71</v>
      </c>
      <c r="D178" s="125" t="s">
        <v>83</v>
      </c>
      <c r="E178" s="125" t="s">
        <v>81</v>
      </c>
      <c r="F178" s="85">
        <f t="shared" ref="F178:F186" si="17">IF(AND(C178=""),"",1-C178)</f>
        <v>0.29000000000000004</v>
      </c>
      <c r="G178" s="85">
        <v>5</v>
      </c>
      <c r="H178" s="85">
        <v>1.1399999999999999</v>
      </c>
      <c r="I178" s="85">
        <f t="shared" ref="I178:I186" si="18">IF(AND(C178=""),"",G178*C178)</f>
        <v>3.55</v>
      </c>
      <c r="J178" s="85">
        <f t="shared" ref="J178:J186" si="19">IF(AND(C178=""),"",H178*F178)</f>
        <v>0.3306</v>
      </c>
      <c r="K178" s="85" t="str">
        <f t="shared" si="16"/>
        <v>T1</v>
      </c>
      <c r="L178" s="85" t="str">
        <f t="shared" si="16"/>
        <v>T2</v>
      </c>
      <c r="M178" s="86">
        <f t="shared" ref="M178:M186" si="20">IF(L178="","",IF(L178&lt;0.5,K$5*M$2,IF(L178&lt;0.75,K$5*M$3,IF(L178&lt;1,K$5*M$4,IF(L178&lt;1.25,K$5*M$5,IF(L178&lt;1.5,K$5*M$6,IF(L178&lt;2,K$5*M$7,IF(L178&lt;2.5,K$5*M$8,K$5*M$9))))))))</f>
        <v>300</v>
      </c>
      <c r="N178" s="173"/>
      <c r="O178" s="29"/>
      <c r="P178" s="87" t="s">
        <v>52</v>
      </c>
      <c r="Q178" s="71"/>
      <c r="R178" s="88">
        <f t="shared" ref="R178:R186" si="21">IF(OR(P178="",L178="NO BET"),0,IF(AND(K178=P178),IF(AND(K178="T2"),ROUNDUP(H178*M178*0.95,2)-1,ROUNDUP(G178*M178*0.95,2)-M178),-M178))</f>
        <v>-300</v>
      </c>
      <c r="S178" s="71"/>
      <c r="T178" s="89" t="str">
        <f t="shared" ref="T178:T186" si="22">IF(AND(P178=""),"",IF(AND(C178&gt;F178),IF(AND(P178="T1"),"a","r"),IF(AND(P178="T2"),"a","r")))</f>
        <v>r</v>
      </c>
      <c r="U178" s="71"/>
      <c r="V178" s="175"/>
      <c r="W178" s="29"/>
    </row>
    <row r="179" spans="1:23" ht="15.75" customHeight="1" x14ac:dyDescent="0.25">
      <c r="A179" s="165"/>
      <c r="B179" s="168"/>
      <c r="C179" s="147">
        <v>0.16</v>
      </c>
      <c r="D179" s="116" t="s">
        <v>81</v>
      </c>
      <c r="E179" s="116" t="s">
        <v>86</v>
      </c>
      <c r="F179" s="16">
        <f t="shared" si="17"/>
        <v>0.84</v>
      </c>
      <c r="G179" s="16">
        <v>1.2</v>
      </c>
      <c r="H179" s="16">
        <v>4.33</v>
      </c>
      <c r="I179" s="16">
        <f t="shared" si="18"/>
        <v>0.192</v>
      </c>
      <c r="J179" s="16">
        <f t="shared" si="19"/>
        <v>3.6372</v>
      </c>
      <c r="K179" s="16" t="str">
        <f t="shared" si="16"/>
        <v>T2</v>
      </c>
      <c r="L179" s="16" t="str">
        <f t="shared" si="16"/>
        <v>T2</v>
      </c>
      <c r="M179" s="91">
        <f t="shared" si="20"/>
        <v>300</v>
      </c>
      <c r="N179" s="173"/>
      <c r="O179" s="74"/>
      <c r="P179" s="87" t="s">
        <v>53</v>
      </c>
      <c r="Q179" s="71"/>
      <c r="R179" s="88">
        <f t="shared" si="21"/>
        <v>-300</v>
      </c>
      <c r="S179" s="71"/>
      <c r="T179" s="89" t="str">
        <f t="shared" si="22"/>
        <v>r</v>
      </c>
      <c r="U179" s="71"/>
      <c r="V179" s="175"/>
      <c r="W179" s="29"/>
    </row>
    <row r="180" spans="1:23" ht="15.75" customHeight="1" x14ac:dyDescent="0.25">
      <c r="A180" s="165"/>
      <c r="B180" s="168"/>
      <c r="C180" s="146">
        <v>0.51</v>
      </c>
      <c r="D180" s="125" t="s">
        <v>65</v>
      </c>
      <c r="E180" s="125" t="s">
        <v>54</v>
      </c>
      <c r="F180" s="85">
        <f t="shared" si="17"/>
        <v>0.49</v>
      </c>
      <c r="G180" s="85">
        <v>1.44</v>
      </c>
      <c r="H180" s="85">
        <v>2.62</v>
      </c>
      <c r="I180" s="85">
        <f t="shared" si="18"/>
        <v>0.73439999999999994</v>
      </c>
      <c r="J180" s="85">
        <f t="shared" si="19"/>
        <v>1.2838000000000001</v>
      </c>
      <c r="K180" s="85" t="str">
        <f t="shared" si="16"/>
        <v>T2</v>
      </c>
      <c r="L180" s="85" t="str">
        <f t="shared" si="16"/>
        <v>T2</v>
      </c>
      <c r="M180" s="86">
        <f t="shared" si="20"/>
        <v>300</v>
      </c>
      <c r="N180" s="173"/>
      <c r="O180" s="92"/>
      <c r="P180" s="87" t="s">
        <v>53</v>
      </c>
      <c r="Q180" s="71"/>
      <c r="R180" s="88">
        <f t="shared" si="21"/>
        <v>-300</v>
      </c>
      <c r="S180" s="71"/>
      <c r="T180" s="89" t="str">
        <f t="shared" si="22"/>
        <v>a</v>
      </c>
      <c r="U180" s="71"/>
      <c r="V180" s="175"/>
      <c r="W180" s="29"/>
    </row>
    <row r="181" spans="1:23" ht="15.75" customHeight="1" x14ac:dyDescent="0.25">
      <c r="A181" s="165"/>
      <c r="B181" s="168"/>
      <c r="C181" s="147">
        <v>0.23</v>
      </c>
      <c r="D181" s="116" t="s">
        <v>80</v>
      </c>
      <c r="E181" s="116" t="s">
        <v>77</v>
      </c>
      <c r="F181" s="16">
        <f t="shared" si="17"/>
        <v>0.77</v>
      </c>
      <c r="G181" s="16">
        <v>1.33</v>
      </c>
      <c r="H181" s="16">
        <v>3.25</v>
      </c>
      <c r="I181" s="16">
        <f t="shared" si="18"/>
        <v>0.30590000000000001</v>
      </c>
      <c r="J181" s="16">
        <f t="shared" si="19"/>
        <v>2.5024999999999999</v>
      </c>
      <c r="K181" s="16" t="str">
        <f t="shared" si="16"/>
        <v>T2</v>
      </c>
      <c r="L181" s="16" t="str">
        <f t="shared" si="16"/>
        <v>T2</v>
      </c>
      <c r="M181" s="105">
        <f t="shared" si="20"/>
        <v>300</v>
      </c>
      <c r="N181" s="173"/>
      <c r="O181" s="92"/>
      <c r="P181" s="87" t="s">
        <v>53</v>
      </c>
      <c r="Q181" s="71"/>
      <c r="R181" s="88">
        <f t="shared" si="21"/>
        <v>-300</v>
      </c>
      <c r="S181" s="71"/>
      <c r="T181" s="89" t="str">
        <f t="shared" si="22"/>
        <v>r</v>
      </c>
      <c r="U181" s="71"/>
      <c r="V181" s="175"/>
      <c r="W181" s="29"/>
    </row>
    <row r="182" spans="1:23" ht="15.75" customHeight="1" x14ac:dyDescent="0.25">
      <c r="A182" s="165"/>
      <c r="B182" s="168"/>
      <c r="C182" s="146">
        <v>0.59</v>
      </c>
      <c r="D182" s="125" t="s">
        <v>83</v>
      </c>
      <c r="E182" s="125" t="s">
        <v>88</v>
      </c>
      <c r="F182" s="85">
        <f t="shared" si="17"/>
        <v>0.41000000000000003</v>
      </c>
      <c r="G182" s="85">
        <v>4</v>
      </c>
      <c r="H182" s="85">
        <v>1.22</v>
      </c>
      <c r="I182" s="85">
        <f t="shared" si="18"/>
        <v>2.36</v>
      </c>
      <c r="J182" s="85">
        <f t="shared" si="19"/>
        <v>0.50019999999999998</v>
      </c>
      <c r="K182" s="85" t="str">
        <f t="shared" si="16"/>
        <v>T1</v>
      </c>
      <c r="L182" s="85" t="str">
        <f t="shared" si="16"/>
        <v>T2</v>
      </c>
      <c r="M182" s="86">
        <f t="shared" si="20"/>
        <v>300</v>
      </c>
      <c r="N182" s="173"/>
      <c r="O182" s="92"/>
      <c r="P182" s="87" t="s">
        <v>53</v>
      </c>
      <c r="Q182" s="71"/>
      <c r="R182" s="88">
        <f t="shared" si="21"/>
        <v>840</v>
      </c>
      <c r="S182" s="71"/>
      <c r="T182" s="89" t="str">
        <f t="shared" si="22"/>
        <v>a</v>
      </c>
      <c r="U182" s="71"/>
      <c r="V182" s="175"/>
      <c r="W182" s="29"/>
    </row>
    <row r="183" spans="1:23" ht="18.75" thickBot="1" x14ac:dyDescent="0.3">
      <c r="A183" s="165"/>
      <c r="B183" s="168"/>
      <c r="C183" s="147">
        <v>0.19</v>
      </c>
      <c r="D183" s="116" t="s">
        <v>81</v>
      </c>
      <c r="E183" s="116" t="s">
        <v>78</v>
      </c>
      <c r="F183" s="16">
        <f t="shared" si="17"/>
        <v>0.81</v>
      </c>
      <c r="G183" s="16">
        <v>1.1399999999999999</v>
      </c>
      <c r="H183" s="16">
        <v>5</v>
      </c>
      <c r="I183" s="16">
        <f t="shared" si="18"/>
        <v>0.21659999999999999</v>
      </c>
      <c r="J183" s="16">
        <f t="shared" si="19"/>
        <v>4.0500000000000007</v>
      </c>
      <c r="K183" s="16" t="str">
        <f t="shared" si="16"/>
        <v>T2</v>
      </c>
      <c r="L183" s="16" t="str">
        <f t="shared" si="16"/>
        <v>T2</v>
      </c>
      <c r="M183" s="91">
        <f t="shared" si="20"/>
        <v>300</v>
      </c>
      <c r="N183" s="173"/>
      <c r="O183" s="29"/>
      <c r="P183" s="87" t="s">
        <v>53</v>
      </c>
      <c r="Q183" s="71"/>
      <c r="R183" s="88">
        <f t="shared" si="21"/>
        <v>-300</v>
      </c>
      <c r="S183" s="71"/>
      <c r="T183" s="89" t="str">
        <f t="shared" si="22"/>
        <v>r</v>
      </c>
      <c r="U183" s="71"/>
      <c r="V183" s="93" t="s">
        <v>31</v>
      </c>
      <c r="W183" s="29"/>
    </row>
    <row r="184" spans="1:23" ht="18" x14ac:dyDescent="0.25">
      <c r="A184" s="165"/>
      <c r="B184" s="168"/>
      <c r="C184" s="146">
        <v>0.51</v>
      </c>
      <c r="D184" s="125" t="s">
        <v>79</v>
      </c>
      <c r="E184" s="125" t="s">
        <v>54</v>
      </c>
      <c r="F184" s="85">
        <f t="shared" si="17"/>
        <v>0.49</v>
      </c>
      <c r="G184" s="85">
        <v>1.2</v>
      </c>
      <c r="H184" s="85">
        <v>4.33</v>
      </c>
      <c r="I184" s="85">
        <f t="shared" si="18"/>
        <v>0.61199999999999999</v>
      </c>
      <c r="J184" s="85">
        <f t="shared" si="19"/>
        <v>2.1217000000000001</v>
      </c>
      <c r="K184" s="85" t="str">
        <f t="shared" si="16"/>
        <v>T2</v>
      </c>
      <c r="L184" s="85" t="str">
        <f t="shared" si="16"/>
        <v>T2</v>
      </c>
      <c r="M184" s="106">
        <f t="shared" si="20"/>
        <v>300</v>
      </c>
      <c r="N184" s="173"/>
      <c r="O184" s="29"/>
      <c r="P184" s="87" t="s">
        <v>53</v>
      </c>
      <c r="Q184" s="71"/>
      <c r="R184" s="88">
        <f t="shared" si="21"/>
        <v>-300</v>
      </c>
      <c r="S184" s="71"/>
      <c r="T184" s="89" t="str">
        <f t="shared" si="22"/>
        <v>a</v>
      </c>
      <c r="U184" s="71"/>
      <c r="V184" s="176">
        <f>IF(AND(NOT(N177=0)),V177/N177,0)</f>
        <v>0</v>
      </c>
      <c r="W184" s="29"/>
    </row>
    <row r="185" spans="1:23" ht="18" x14ac:dyDescent="0.25">
      <c r="A185" s="165"/>
      <c r="B185" s="168"/>
      <c r="C185" s="147">
        <v>0.22</v>
      </c>
      <c r="D185" s="116" t="s">
        <v>86</v>
      </c>
      <c r="E185" s="116" t="s">
        <v>80</v>
      </c>
      <c r="F185" s="16">
        <f t="shared" si="17"/>
        <v>0.78</v>
      </c>
      <c r="G185" s="16">
        <v>4</v>
      </c>
      <c r="H185" s="16">
        <v>1.22</v>
      </c>
      <c r="I185" s="16">
        <f t="shared" si="18"/>
        <v>0.88</v>
      </c>
      <c r="J185" s="16">
        <f t="shared" si="19"/>
        <v>0.9516</v>
      </c>
      <c r="K185" s="16" t="str">
        <f t="shared" si="16"/>
        <v>T2</v>
      </c>
      <c r="L185" s="16" t="str">
        <f t="shared" si="16"/>
        <v>T2</v>
      </c>
      <c r="M185" s="105">
        <f t="shared" si="20"/>
        <v>300</v>
      </c>
      <c r="N185" s="173"/>
      <c r="O185" s="29"/>
      <c r="P185" s="87" t="s">
        <v>52</v>
      </c>
      <c r="Q185" s="71"/>
      <c r="R185" s="88">
        <f t="shared" si="21"/>
        <v>346.7</v>
      </c>
      <c r="S185" s="71"/>
      <c r="T185" s="89" t="str">
        <f t="shared" si="22"/>
        <v>a</v>
      </c>
      <c r="U185" s="71"/>
      <c r="V185" s="177"/>
      <c r="W185" s="29"/>
    </row>
    <row r="186" spans="1:23" ht="18.75" thickBot="1" x14ac:dyDescent="0.3">
      <c r="A186" s="166"/>
      <c r="B186" s="169"/>
      <c r="C186" s="148">
        <v>0.52</v>
      </c>
      <c r="D186" s="118" t="s">
        <v>88</v>
      </c>
      <c r="E186" s="118" t="s">
        <v>65</v>
      </c>
      <c r="F186" s="95">
        <f t="shared" si="17"/>
        <v>0.48</v>
      </c>
      <c r="G186" s="95">
        <v>1.83</v>
      </c>
      <c r="H186" s="95">
        <v>1.83</v>
      </c>
      <c r="I186" s="95">
        <f t="shared" si="18"/>
        <v>0.95160000000000011</v>
      </c>
      <c r="J186" s="95">
        <f t="shared" si="19"/>
        <v>0.87839999999999996</v>
      </c>
      <c r="K186" s="95" t="str">
        <f t="shared" si="16"/>
        <v>T1</v>
      </c>
      <c r="L186" s="95" t="str">
        <f t="shared" si="16"/>
        <v>T2</v>
      </c>
      <c r="M186" s="96">
        <f t="shared" si="20"/>
        <v>300</v>
      </c>
      <c r="N186" s="174"/>
      <c r="O186" s="29"/>
      <c r="P186" s="97" t="s">
        <v>52</v>
      </c>
      <c r="Q186" s="29"/>
      <c r="R186" s="98">
        <f t="shared" si="21"/>
        <v>-300</v>
      </c>
      <c r="S186" s="29"/>
      <c r="T186" s="99" t="str">
        <f t="shared" si="22"/>
        <v>r</v>
      </c>
      <c r="U186" s="29"/>
      <c r="V186" s="178"/>
      <c r="W186" s="29"/>
    </row>
    <row r="187" spans="1:23" x14ac:dyDescent="0.2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31"/>
      <c r="S187" s="29"/>
      <c r="T187" s="29"/>
      <c r="U187" s="29"/>
      <c r="V187" s="32"/>
      <c r="W187" s="29"/>
    </row>
    <row r="188" spans="1:23" x14ac:dyDescent="0.2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31"/>
      <c r="S188" s="29"/>
      <c r="T188" s="29"/>
      <c r="U188" s="29"/>
      <c r="V188" s="32"/>
      <c r="W188" s="29"/>
    </row>
    <row r="189" spans="1:23" ht="16.5" thickBot="1" x14ac:dyDescent="0.3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31"/>
      <c r="S189" s="29"/>
      <c r="T189" s="29"/>
      <c r="U189" s="29"/>
      <c r="V189" s="32"/>
      <c r="W189" s="29"/>
    </row>
    <row r="190" spans="1:23" ht="19.5" customHeight="1" thickBot="1" x14ac:dyDescent="0.3">
      <c r="A190" s="164" t="s">
        <v>5</v>
      </c>
      <c r="B190" s="167" t="s">
        <v>22</v>
      </c>
      <c r="C190" s="72" t="s">
        <v>49</v>
      </c>
      <c r="D190" s="72" t="s">
        <v>9</v>
      </c>
      <c r="E190" s="72" t="s">
        <v>10</v>
      </c>
      <c r="F190" s="72" t="s">
        <v>11</v>
      </c>
      <c r="G190" s="72" t="s">
        <v>12</v>
      </c>
      <c r="H190" s="72" t="s">
        <v>13</v>
      </c>
      <c r="I190" s="72" t="s">
        <v>14</v>
      </c>
      <c r="J190" s="72" t="s">
        <v>15</v>
      </c>
      <c r="K190" s="72" t="s">
        <v>34</v>
      </c>
      <c r="L190" s="72" t="s">
        <v>16</v>
      </c>
      <c r="M190" s="72" t="s">
        <v>48</v>
      </c>
      <c r="N190" s="73" t="s">
        <v>17</v>
      </c>
      <c r="O190" s="74"/>
      <c r="P190" s="75" t="s">
        <v>18</v>
      </c>
      <c r="Q190" s="71"/>
      <c r="R190" s="76" t="s">
        <v>35</v>
      </c>
      <c r="S190" s="71"/>
      <c r="T190" s="75" t="s">
        <v>36</v>
      </c>
      <c r="U190" s="71"/>
      <c r="V190" s="77" t="s">
        <v>29</v>
      </c>
      <c r="W190" s="29"/>
    </row>
    <row r="191" spans="1:23" ht="15.75" customHeight="1" x14ac:dyDescent="0.25">
      <c r="A191" s="165"/>
      <c r="B191" s="168"/>
      <c r="C191" s="145"/>
      <c r="D191" s="151" t="s">
        <v>86</v>
      </c>
      <c r="E191" s="151" t="s">
        <v>79</v>
      </c>
      <c r="F191" s="108" t="str">
        <f>IF(AND(C191=""),"",1-C191)</f>
        <v/>
      </c>
      <c r="G191" s="108">
        <v>4.5</v>
      </c>
      <c r="H191" s="108">
        <v>1.1599999999999999</v>
      </c>
      <c r="I191" s="108" t="str">
        <f>IF(AND(C191=""),"",G191*C191)</f>
        <v/>
      </c>
      <c r="J191" s="108" t="str">
        <f>IF(AND(C191=""),"",H191*F191)</f>
        <v/>
      </c>
      <c r="K191" s="108" t="str">
        <f t="shared" ref="K191:K200" si="23">IF(AND(I191=""),"",IF(AND(I191&gt;J191),"T1","T2"))</f>
        <v/>
      </c>
      <c r="L191" s="79" t="str">
        <f t="shared" ref="L191:L200" si="24">IF(AND(J191=""),"",IF(AND(J191&gt;K191),"T1","T2"))</f>
        <v/>
      </c>
      <c r="M191" s="80" t="str">
        <f>IF(L191="","",IF(L191&lt;0.5,K$5*M$2,IF(L191&lt;0.75,K$5*M$3,IF(L191&lt;1,K$5*M$4,IF(L191&lt;1.25,K$5*M$5,IF(L191&lt;1.5,K$5*M$6,IF(L191&lt;2,K$5*M$7,IF(L191&lt;2.5,K$5*M$8,K$5*M$9))))))))</f>
        <v/>
      </c>
      <c r="N191" s="172">
        <f>SUMIF(L191:L200,"&gt;0")</f>
        <v>0</v>
      </c>
      <c r="O191" s="74"/>
      <c r="P191" s="81" t="s">
        <v>53</v>
      </c>
      <c r="Q191" s="74"/>
      <c r="R191" s="82" t="e">
        <f>IF(OR(P191="",L191="NO BET"),0,IF(AND(K191=P191),IF(AND(K191="T2"),ROUNDUP(H191*0.95,2)-M191,ROUNDUP(G191*0.95,2)-M191),-M191))</f>
        <v>#VALUE!</v>
      </c>
      <c r="S191" s="71"/>
      <c r="T191" s="83" t="str">
        <f>IF(AND(P191=""),"",IF(AND(C191&gt;F191),IF(AND(P191="T1"),"a","r"),IF(AND(P191="T2"),"a","r")))</f>
        <v>r</v>
      </c>
      <c r="U191" s="71"/>
      <c r="V191" s="175" t="e">
        <f>SUM(R191:R200)</f>
        <v>#VALUE!</v>
      </c>
      <c r="W191" s="29"/>
    </row>
    <row r="192" spans="1:23" ht="15.75" customHeight="1" x14ac:dyDescent="0.25">
      <c r="A192" s="165"/>
      <c r="B192" s="168"/>
      <c r="C192" s="146"/>
      <c r="D192" s="141" t="s">
        <v>78</v>
      </c>
      <c r="E192" s="141" t="s">
        <v>65</v>
      </c>
      <c r="F192" s="109" t="str">
        <f t="shared" ref="F192:F200" si="25">IF(AND(C192=""),"",1-C192)</f>
        <v/>
      </c>
      <c r="G192" s="109">
        <v>3.25</v>
      </c>
      <c r="H192" s="109">
        <v>1.33</v>
      </c>
      <c r="I192" s="109" t="str">
        <f t="shared" ref="I192:I199" si="26">IF(AND(C192=""),"",G192*C192)</f>
        <v/>
      </c>
      <c r="J192" s="109" t="str">
        <f t="shared" ref="J192:J200" si="27">IF(AND(C192=""),"",H192*F192)</f>
        <v/>
      </c>
      <c r="K192" s="109" t="str">
        <f t="shared" si="23"/>
        <v/>
      </c>
      <c r="L192" s="85" t="str">
        <f t="shared" si="24"/>
        <v/>
      </c>
      <c r="M192" s="86" t="str">
        <f t="shared" ref="M192:M200" si="28">IF(L192="","",IF(L192&lt;0.5,K$5*M$2,IF(L192&lt;0.75,K$5*M$3,IF(L192&lt;1,K$5*M$4,IF(L192&lt;1.25,K$5*M$5,IF(L192&lt;1.5,K$5*M$6,IF(L192&lt;2,K$5*M$7,IF(L192&lt;2.5,K$5*M$8,K$5*M$9))))))))</f>
        <v/>
      </c>
      <c r="N192" s="173"/>
      <c r="O192" s="29"/>
      <c r="P192" s="87" t="s">
        <v>52</v>
      </c>
      <c r="Q192" s="71"/>
      <c r="R192" s="88" t="e">
        <f t="shared" ref="R192:R200" si="29">IF(OR(P192="",L192="NO BET"),0,IF(AND(K192=P192),IF(AND(K192="T2"),ROUNDUP(H192*M192*0.95,2)-1,ROUNDUP(G192*M192*0.95,2)-M192),-M192))</f>
        <v>#VALUE!</v>
      </c>
      <c r="S192" s="71"/>
      <c r="T192" s="89" t="str">
        <f t="shared" ref="T192:T200" si="30">IF(AND(P192=""),"",IF(AND(C192&gt;F192),IF(AND(P192="T1"),"a","r"),IF(AND(P192="T2"),"a","r")))</f>
        <v>a</v>
      </c>
      <c r="U192" s="71"/>
      <c r="V192" s="175"/>
      <c r="W192" s="29"/>
    </row>
    <row r="193" spans="1:23" ht="15.75" customHeight="1" x14ac:dyDescent="0.25">
      <c r="A193" s="165"/>
      <c r="B193" s="168"/>
      <c r="C193" s="147"/>
      <c r="D193" s="140" t="s">
        <v>54</v>
      </c>
      <c r="E193" s="140" t="s">
        <v>88</v>
      </c>
      <c r="F193" s="104" t="str">
        <f t="shared" si="25"/>
        <v/>
      </c>
      <c r="G193" s="104">
        <v>2.2000000000000002</v>
      </c>
      <c r="H193" s="104">
        <v>1.61</v>
      </c>
      <c r="I193" s="104" t="str">
        <f t="shared" si="26"/>
        <v/>
      </c>
      <c r="J193" s="104" t="str">
        <f t="shared" si="27"/>
        <v/>
      </c>
      <c r="K193" s="104" t="str">
        <f t="shared" si="23"/>
        <v/>
      </c>
      <c r="L193" s="16" t="str">
        <f t="shared" si="24"/>
        <v/>
      </c>
      <c r="M193" s="91" t="str">
        <f t="shared" si="28"/>
        <v/>
      </c>
      <c r="N193" s="173"/>
      <c r="O193" s="74"/>
      <c r="P193" s="87" t="s">
        <v>52</v>
      </c>
      <c r="Q193" s="71"/>
      <c r="R193" s="88" t="e">
        <f t="shared" si="29"/>
        <v>#VALUE!</v>
      </c>
      <c r="S193" s="71"/>
      <c r="T193" s="89" t="str">
        <f t="shared" si="30"/>
        <v>a</v>
      </c>
      <c r="U193" s="71"/>
      <c r="V193" s="175"/>
      <c r="W193" s="29"/>
    </row>
    <row r="194" spans="1:23" ht="15.75" customHeight="1" x14ac:dyDescent="0.25">
      <c r="A194" s="165"/>
      <c r="B194" s="168"/>
      <c r="C194" s="146"/>
      <c r="D194" s="141" t="s">
        <v>80</v>
      </c>
      <c r="E194" s="141" t="s">
        <v>81</v>
      </c>
      <c r="F194" s="109" t="str">
        <f t="shared" si="25"/>
        <v/>
      </c>
      <c r="G194" s="109">
        <v>2.25</v>
      </c>
      <c r="H194" s="109">
        <v>1.57</v>
      </c>
      <c r="I194" s="109" t="str">
        <f t="shared" si="26"/>
        <v/>
      </c>
      <c r="J194" s="109" t="str">
        <f t="shared" si="27"/>
        <v/>
      </c>
      <c r="K194" s="109" t="str">
        <f t="shared" si="23"/>
        <v/>
      </c>
      <c r="L194" s="85" t="str">
        <f t="shared" si="24"/>
        <v/>
      </c>
      <c r="M194" s="86" t="str">
        <f t="shared" si="28"/>
        <v/>
      </c>
      <c r="N194" s="173"/>
      <c r="O194" s="92"/>
      <c r="P194" s="87" t="s">
        <v>52</v>
      </c>
      <c r="Q194" s="71"/>
      <c r="R194" s="88" t="e">
        <f t="shared" si="29"/>
        <v>#VALUE!</v>
      </c>
      <c r="S194" s="71"/>
      <c r="T194" s="89" t="str">
        <f t="shared" si="30"/>
        <v>a</v>
      </c>
      <c r="U194" s="71"/>
      <c r="V194" s="175"/>
      <c r="W194" s="29"/>
    </row>
    <row r="195" spans="1:23" ht="15.75" customHeight="1" x14ac:dyDescent="0.25">
      <c r="A195" s="165"/>
      <c r="B195" s="168"/>
      <c r="C195" s="147"/>
      <c r="D195" s="140" t="s">
        <v>65</v>
      </c>
      <c r="E195" s="140" t="s">
        <v>83</v>
      </c>
      <c r="F195" s="104" t="str">
        <f t="shared" si="25"/>
        <v/>
      </c>
      <c r="G195" s="104">
        <v>1.22</v>
      </c>
      <c r="H195" s="104">
        <v>4</v>
      </c>
      <c r="I195" s="104" t="str">
        <f t="shared" si="26"/>
        <v/>
      </c>
      <c r="J195" s="104" t="str">
        <f t="shared" si="27"/>
        <v/>
      </c>
      <c r="K195" s="104" t="str">
        <f t="shared" si="23"/>
        <v/>
      </c>
      <c r="L195" s="16" t="str">
        <f t="shared" si="24"/>
        <v/>
      </c>
      <c r="M195" s="105" t="str">
        <f t="shared" si="28"/>
        <v/>
      </c>
      <c r="N195" s="173"/>
      <c r="O195" s="92"/>
      <c r="P195" s="87" t="s">
        <v>53</v>
      </c>
      <c r="Q195" s="71"/>
      <c r="R195" s="88" t="e">
        <f t="shared" si="29"/>
        <v>#VALUE!</v>
      </c>
      <c r="S195" s="71"/>
      <c r="T195" s="89" t="str">
        <f t="shared" si="30"/>
        <v>r</v>
      </c>
      <c r="U195" s="71"/>
      <c r="V195" s="175"/>
      <c r="W195" s="29"/>
    </row>
    <row r="196" spans="1:23" ht="15.75" customHeight="1" x14ac:dyDescent="0.25">
      <c r="A196" s="165"/>
      <c r="B196" s="168"/>
      <c r="C196" s="146"/>
      <c r="D196" s="141" t="s">
        <v>77</v>
      </c>
      <c r="E196" s="141" t="s">
        <v>86</v>
      </c>
      <c r="F196" s="109" t="str">
        <f t="shared" si="25"/>
        <v/>
      </c>
      <c r="G196" s="109">
        <v>1.53</v>
      </c>
      <c r="H196" s="109">
        <v>2.37</v>
      </c>
      <c r="I196" s="109" t="str">
        <f t="shared" si="26"/>
        <v/>
      </c>
      <c r="J196" s="109" t="str">
        <f t="shared" si="27"/>
        <v/>
      </c>
      <c r="K196" s="109" t="str">
        <f t="shared" si="23"/>
        <v/>
      </c>
      <c r="L196" s="85" t="str">
        <f t="shared" si="24"/>
        <v/>
      </c>
      <c r="M196" s="86" t="str">
        <f t="shared" si="28"/>
        <v/>
      </c>
      <c r="N196" s="173"/>
      <c r="O196" s="92"/>
      <c r="P196" s="87" t="s">
        <v>52</v>
      </c>
      <c r="Q196" s="71"/>
      <c r="R196" s="88" t="e">
        <f t="shared" si="29"/>
        <v>#VALUE!</v>
      </c>
      <c r="S196" s="71"/>
      <c r="T196" s="89" t="str">
        <f t="shared" si="30"/>
        <v>a</v>
      </c>
      <c r="U196" s="71"/>
      <c r="V196" s="175"/>
      <c r="W196" s="29"/>
    </row>
    <row r="197" spans="1:23" ht="18.75" thickBot="1" x14ac:dyDescent="0.3">
      <c r="A197" s="165"/>
      <c r="B197" s="168"/>
      <c r="C197" s="147"/>
      <c r="D197" s="140" t="s">
        <v>77</v>
      </c>
      <c r="E197" s="140" t="s">
        <v>81</v>
      </c>
      <c r="F197" s="104" t="str">
        <f t="shared" si="25"/>
        <v/>
      </c>
      <c r="G197" s="104">
        <v>3.75</v>
      </c>
      <c r="H197" s="104">
        <v>1.25</v>
      </c>
      <c r="I197" s="104" t="str">
        <f t="shared" si="26"/>
        <v/>
      </c>
      <c r="J197" s="104" t="str">
        <f t="shared" si="27"/>
        <v/>
      </c>
      <c r="K197" s="104" t="str">
        <f t="shared" si="23"/>
        <v/>
      </c>
      <c r="L197" s="16" t="str">
        <f t="shared" si="24"/>
        <v/>
      </c>
      <c r="M197" s="91" t="str">
        <f t="shared" si="28"/>
        <v/>
      </c>
      <c r="N197" s="173"/>
      <c r="O197" s="29"/>
      <c r="P197" s="87" t="s">
        <v>52</v>
      </c>
      <c r="Q197" s="71"/>
      <c r="R197" s="88" t="e">
        <f t="shared" si="29"/>
        <v>#VALUE!</v>
      </c>
      <c r="S197" s="71"/>
      <c r="T197" s="89" t="str">
        <f t="shared" si="30"/>
        <v>a</v>
      </c>
      <c r="U197" s="71"/>
      <c r="V197" s="93" t="s">
        <v>31</v>
      </c>
      <c r="W197" s="29"/>
    </row>
    <row r="198" spans="1:23" ht="18" x14ac:dyDescent="0.25">
      <c r="A198" s="165"/>
      <c r="B198" s="168"/>
      <c r="C198" s="146"/>
      <c r="D198" s="141" t="s">
        <v>54</v>
      </c>
      <c r="E198" s="141" t="s">
        <v>83</v>
      </c>
      <c r="F198" s="109" t="str">
        <f t="shared" si="25"/>
        <v/>
      </c>
      <c r="G198" s="109">
        <v>1.44</v>
      </c>
      <c r="H198" s="109">
        <v>2.62</v>
      </c>
      <c r="I198" s="109" t="str">
        <f t="shared" si="26"/>
        <v/>
      </c>
      <c r="J198" s="109" t="str">
        <f t="shared" si="27"/>
        <v/>
      </c>
      <c r="K198" s="109" t="str">
        <f t="shared" si="23"/>
        <v/>
      </c>
      <c r="L198" s="85" t="str">
        <f t="shared" si="24"/>
        <v/>
      </c>
      <c r="M198" s="106" t="str">
        <f t="shared" si="28"/>
        <v/>
      </c>
      <c r="N198" s="173"/>
      <c r="O198" s="29"/>
      <c r="P198" s="87" t="s">
        <v>52</v>
      </c>
      <c r="Q198" s="71"/>
      <c r="R198" s="88" t="e">
        <f t="shared" si="29"/>
        <v>#VALUE!</v>
      </c>
      <c r="S198" s="71"/>
      <c r="T198" s="89" t="str">
        <f t="shared" si="30"/>
        <v>a</v>
      </c>
      <c r="U198" s="71"/>
      <c r="V198" s="176">
        <f>IF(AND(NOT(N191=0)),V191/N191,0)</f>
        <v>0</v>
      </c>
      <c r="W198" s="29"/>
    </row>
    <row r="199" spans="1:23" ht="18" x14ac:dyDescent="0.25">
      <c r="A199" s="165"/>
      <c r="B199" s="168"/>
      <c r="C199" s="147"/>
      <c r="D199" s="140" t="s">
        <v>89</v>
      </c>
      <c r="E199" s="140" t="s">
        <v>79</v>
      </c>
      <c r="F199" s="104" t="str">
        <f t="shared" si="25"/>
        <v/>
      </c>
      <c r="G199" s="104">
        <v>3.75</v>
      </c>
      <c r="H199" s="104">
        <v>1.25</v>
      </c>
      <c r="I199" s="104" t="str">
        <f t="shared" si="26"/>
        <v/>
      </c>
      <c r="J199" s="104" t="str">
        <f t="shared" si="27"/>
        <v/>
      </c>
      <c r="K199" s="104" t="str">
        <f t="shared" si="23"/>
        <v/>
      </c>
      <c r="L199" s="16" t="str">
        <f t="shared" si="24"/>
        <v/>
      </c>
      <c r="M199" s="105" t="str">
        <f t="shared" si="28"/>
        <v/>
      </c>
      <c r="N199" s="173"/>
      <c r="O199" s="29"/>
      <c r="P199" s="87" t="s">
        <v>53</v>
      </c>
      <c r="Q199" s="71"/>
      <c r="R199" s="88" t="e">
        <f t="shared" si="29"/>
        <v>#VALUE!</v>
      </c>
      <c r="S199" s="71"/>
      <c r="T199" s="89" t="str">
        <f t="shared" si="30"/>
        <v>r</v>
      </c>
      <c r="U199" s="71"/>
      <c r="V199" s="177"/>
      <c r="W199" s="29"/>
    </row>
    <row r="200" spans="1:23" ht="18.75" thickBot="1" x14ac:dyDescent="0.3">
      <c r="A200" s="166"/>
      <c r="B200" s="169"/>
      <c r="C200" s="148"/>
      <c r="D200" s="152" t="s">
        <v>78</v>
      </c>
      <c r="E200" s="152" t="s">
        <v>80</v>
      </c>
      <c r="F200" s="110" t="str">
        <f t="shared" si="25"/>
        <v/>
      </c>
      <c r="G200" s="110">
        <v>5.5</v>
      </c>
      <c r="H200" s="110">
        <v>1.1200000000000001</v>
      </c>
      <c r="I200" s="110" t="str">
        <f>IF(AND(C200=""),"",G200*C200)</f>
        <v/>
      </c>
      <c r="J200" s="110" t="str">
        <f t="shared" si="27"/>
        <v/>
      </c>
      <c r="K200" s="110" t="str">
        <f t="shared" si="23"/>
        <v/>
      </c>
      <c r="L200" s="95" t="str">
        <f t="shared" si="24"/>
        <v/>
      </c>
      <c r="M200" s="96" t="str">
        <f t="shared" si="28"/>
        <v/>
      </c>
      <c r="N200" s="174"/>
      <c r="O200" s="29"/>
      <c r="P200" s="97" t="s">
        <v>52</v>
      </c>
      <c r="Q200" s="29"/>
      <c r="R200" s="98" t="e">
        <f t="shared" si="29"/>
        <v>#VALUE!</v>
      </c>
      <c r="S200" s="29"/>
      <c r="T200" s="99" t="str">
        <f t="shared" si="30"/>
        <v>a</v>
      </c>
      <c r="U200" s="29"/>
      <c r="V200" s="178"/>
      <c r="W200" s="29"/>
    </row>
    <row r="201" spans="1:23" x14ac:dyDescent="0.25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31"/>
      <c r="S201" s="29"/>
      <c r="T201" s="29"/>
      <c r="U201" s="29"/>
      <c r="V201" s="32"/>
      <c r="W201" s="29"/>
    </row>
    <row r="202" spans="1:23" x14ac:dyDescent="0.25">
      <c r="A202" s="29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31"/>
      <c r="S202" s="29"/>
      <c r="T202" s="29"/>
      <c r="U202" s="29"/>
      <c r="V202" s="32"/>
      <c r="W202" s="29"/>
    </row>
    <row r="203" spans="1:23" ht="16.5" thickBot="1" x14ac:dyDescent="0.3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31"/>
      <c r="S203" s="29"/>
      <c r="T203" s="29"/>
      <c r="U203" s="29"/>
      <c r="V203" s="32"/>
      <c r="W203" s="29"/>
    </row>
    <row r="204" spans="1:23" ht="19.5" customHeight="1" thickBot="1" x14ac:dyDescent="0.3">
      <c r="A204" s="164" t="s">
        <v>5</v>
      </c>
      <c r="B204" s="167" t="s">
        <v>23</v>
      </c>
      <c r="C204" s="72" t="s">
        <v>49</v>
      </c>
      <c r="D204" s="72" t="s">
        <v>9</v>
      </c>
      <c r="E204" s="72" t="s">
        <v>10</v>
      </c>
      <c r="F204" s="72" t="s">
        <v>11</v>
      </c>
      <c r="G204" s="72" t="s">
        <v>12</v>
      </c>
      <c r="H204" s="72" t="s">
        <v>13</v>
      </c>
      <c r="I204" s="72" t="s">
        <v>14</v>
      </c>
      <c r="J204" s="72" t="s">
        <v>15</v>
      </c>
      <c r="K204" s="72" t="s">
        <v>34</v>
      </c>
      <c r="L204" s="72" t="s">
        <v>16</v>
      </c>
      <c r="M204" s="72" t="s">
        <v>48</v>
      </c>
      <c r="N204" s="73" t="s">
        <v>17</v>
      </c>
      <c r="O204" s="74"/>
      <c r="P204" s="75" t="s">
        <v>18</v>
      </c>
      <c r="Q204" s="71"/>
      <c r="R204" s="76" t="s">
        <v>35</v>
      </c>
      <c r="S204" s="71"/>
      <c r="T204" s="75" t="s">
        <v>36</v>
      </c>
      <c r="U204" s="71"/>
      <c r="V204" s="77" t="s">
        <v>29</v>
      </c>
      <c r="W204" s="29"/>
    </row>
    <row r="205" spans="1:23" ht="15.75" customHeight="1" x14ac:dyDescent="0.25">
      <c r="A205" s="165"/>
      <c r="B205" s="168"/>
      <c r="C205" s="145"/>
      <c r="D205" s="135" t="s">
        <v>88</v>
      </c>
      <c r="E205" s="135" t="s">
        <v>78</v>
      </c>
      <c r="F205" s="79" t="str">
        <f>IF(AND(C205=""),"",1-C205)</f>
        <v/>
      </c>
      <c r="G205" s="79">
        <v>1.2</v>
      </c>
      <c r="H205" s="79">
        <v>4.33</v>
      </c>
      <c r="I205" s="79" t="str">
        <f t="shared" ref="I205:I214" si="31">IF(AND(C205=""),"",G205*C205)</f>
        <v/>
      </c>
      <c r="J205" s="79" t="str">
        <f>IF(AND(C205=""),"",H205*F205)</f>
        <v/>
      </c>
      <c r="K205" s="79" t="str">
        <f t="shared" ref="K205:K214" si="32">IF(AND(I205=""),"",IF(AND(I205&gt;J205),"T1","T2"))</f>
        <v/>
      </c>
      <c r="L205" s="79" t="str">
        <f t="shared" ref="L205:L214" si="33">IF(AND(J205=""),"",IF(AND(J205&gt;K205),"T1","T2"))</f>
        <v/>
      </c>
      <c r="M205" s="80" t="str">
        <f>IF(L205="","",IF(L205&lt;0.5,K$5*M$2,IF(L205&lt;0.75,K$5*M$3,IF(L205&lt;1,K$5*M$4,IF(L205&lt;1.25,K$5*M$5,IF(L205&lt;1.5,K$5*M$6,IF(L205&lt;2,K$5*M$7,IF(L205&lt;2.5,K$5*M$8,K$5*M$9))))))))</f>
        <v/>
      </c>
      <c r="N205" s="172">
        <f>SUMIF(L205:L214,"&gt;0")</f>
        <v>0</v>
      </c>
      <c r="O205" s="74"/>
      <c r="P205" s="81" t="s">
        <v>53</v>
      </c>
      <c r="Q205" s="74"/>
      <c r="R205" s="82" t="e">
        <f>IF(OR(P205="",L205="NO BET"),0,IF(AND(K205=P205),IF(AND(K205="T2"),ROUNDUP(H205*0.95,2)-M205,ROUNDUP(G205*0.95,2)-M205),-M205))</f>
        <v>#VALUE!</v>
      </c>
      <c r="S205" s="71"/>
      <c r="T205" s="83" t="str">
        <f>IF(AND(P205=""),"",IF(AND(C205&gt;F205),IF(AND(P205="T1"),"a","r"),IF(AND(P205="T2"),"a","r")))</f>
        <v>r</v>
      </c>
      <c r="U205" s="71"/>
      <c r="V205" s="175" t="e">
        <f>SUM(R205:R214)</f>
        <v>#VALUE!</v>
      </c>
      <c r="W205" s="29"/>
    </row>
    <row r="206" spans="1:23" ht="15.75" customHeight="1" x14ac:dyDescent="0.25">
      <c r="A206" s="165"/>
      <c r="B206" s="168"/>
      <c r="C206" s="146"/>
      <c r="D206" s="137" t="s">
        <v>79</v>
      </c>
      <c r="E206" s="137" t="s">
        <v>80</v>
      </c>
      <c r="F206" s="85" t="str">
        <f t="shared" ref="F206:F214" si="34">IF(AND(C206=""),"",1-C206)</f>
        <v/>
      </c>
      <c r="G206" s="85">
        <v>2.25</v>
      </c>
      <c r="H206" s="85">
        <v>1.57</v>
      </c>
      <c r="I206" s="85" t="str">
        <f t="shared" si="31"/>
        <v/>
      </c>
      <c r="J206" s="85" t="str">
        <f t="shared" ref="J206:J214" si="35">IF(AND(C206=""),"",H206*F206)</f>
        <v/>
      </c>
      <c r="K206" s="85" t="str">
        <f t="shared" si="32"/>
        <v/>
      </c>
      <c r="L206" s="85" t="str">
        <f t="shared" si="33"/>
        <v/>
      </c>
      <c r="M206" s="86" t="str">
        <f t="shared" ref="M206:M214" si="36">IF(L206="","",IF(L206&lt;0.5,K$5*M$2,IF(L206&lt;0.75,K$5*M$3,IF(L206&lt;1,K$5*M$4,IF(L206&lt;1.25,K$5*M$5,IF(L206&lt;1.5,K$5*M$6,IF(L206&lt;2,K$5*M$7,IF(L206&lt;2.5,K$5*M$8,K$5*M$9))))))))</f>
        <v/>
      </c>
      <c r="N206" s="173"/>
      <c r="O206" s="29"/>
      <c r="P206" s="87" t="s">
        <v>52</v>
      </c>
      <c r="Q206" s="71"/>
      <c r="R206" s="88" t="e">
        <f t="shared" ref="R206:R214" si="37">IF(OR(P206="",L206="NO BET"),0,IF(AND(K206=P206),IF(AND(K206="T2"),ROUNDUP(H206*M206*0.95,2)-1,ROUNDUP(G206*M206*0.95,2)-M206),-M206))</f>
        <v>#VALUE!</v>
      </c>
      <c r="S206" s="71"/>
      <c r="T206" s="89" t="str">
        <f t="shared" ref="T206:T214" si="38">IF(AND(P206=""),"",IF(AND(C206&gt;F206),IF(AND(P206="T1"),"a","r"),IF(AND(P206="T2"),"a","r")))</f>
        <v>a</v>
      </c>
      <c r="U206" s="71"/>
      <c r="V206" s="175"/>
      <c r="W206" s="29"/>
    </row>
    <row r="207" spans="1:23" ht="15.75" customHeight="1" x14ac:dyDescent="0.25">
      <c r="A207" s="165"/>
      <c r="B207" s="168"/>
      <c r="C207" s="147"/>
      <c r="D207" s="139" t="s">
        <v>65</v>
      </c>
      <c r="E207" s="139" t="s">
        <v>77</v>
      </c>
      <c r="F207" s="16" t="str">
        <f t="shared" si="34"/>
        <v/>
      </c>
      <c r="G207" s="16">
        <v>1.36</v>
      </c>
      <c r="H207" s="16">
        <v>3</v>
      </c>
      <c r="I207" s="16" t="str">
        <f t="shared" si="31"/>
        <v/>
      </c>
      <c r="J207" s="16" t="str">
        <f t="shared" si="35"/>
        <v/>
      </c>
      <c r="K207" s="16" t="str">
        <f t="shared" si="32"/>
        <v/>
      </c>
      <c r="L207" s="16" t="str">
        <f t="shared" si="33"/>
        <v/>
      </c>
      <c r="M207" s="91" t="str">
        <f t="shared" si="36"/>
        <v/>
      </c>
      <c r="N207" s="173"/>
      <c r="O207" s="74"/>
      <c r="P207" s="87" t="s">
        <v>52</v>
      </c>
      <c r="Q207" s="71"/>
      <c r="R207" s="88" t="e">
        <f t="shared" si="37"/>
        <v>#VALUE!</v>
      </c>
      <c r="S207" s="71"/>
      <c r="T207" s="89" t="str">
        <f t="shared" si="38"/>
        <v>a</v>
      </c>
      <c r="U207" s="71"/>
      <c r="V207" s="175"/>
      <c r="W207" s="29"/>
    </row>
    <row r="208" spans="1:23" ht="15.75" customHeight="1" x14ac:dyDescent="0.25">
      <c r="A208" s="165"/>
      <c r="B208" s="168"/>
      <c r="C208" s="146"/>
      <c r="D208" s="137" t="s">
        <v>83</v>
      </c>
      <c r="E208" s="137" t="s">
        <v>86</v>
      </c>
      <c r="F208" s="85" t="str">
        <f t="shared" si="34"/>
        <v/>
      </c>
      <c r="G208" s="85">
        <v>2.5</v>
      </c>
      <c r="H208" s="85">
        <v>1.5</v>
      </c>
      <c r="I208" s="85" t="str">
        <f t="shared" si="31"/>
        <v/>
      </c>
      <c r="J208" s="85" t="str">
        <f t="shared" si="35"/>
        <v/>
      </c>
      <c r="K208" s="85" t="str">
        <f t="shared" si="32"/>
        <v/>
      </c>
      <c r="L208" s="85" t="str">
        <f t="shared" si="33"/>
        <v/>
      </c>
      <c r="M208" s="86" t="str">
        <f t="shared" si="36"/>
        <v/>
      </c>
      <c r="N208" s="173"/>
      <c r="O208" s="92"/>
      <c r="P208" s="87" t="s">
        <v>52</v>
      </c>
      <c r="Q208" s="71"/>
      <c r="R208" s="88" t="e">
        <f t="shared" si="37"/>
        <v>#VALUE!</v>
      </c>
      <c r="S208" s="71"/>
      <c r="T208" s="89" t="str">
        <f t="shared" si="38"/>
        <v>a</v>
      </c>
      <c r="U208" s="71"/>
      <c r="V208" s="175"/>
      <c r="W208" s="29"/>
    </row>
    <row r="209" spans="1:23" ht="15.75" customHeight="1" x14ac:dyDescent="0.25">
      <c r="A209" s="165"/>
      <c r="B209" s="168"/>
      <c r="C209" s="147"/>
      <c r="D209" s="139" t="s">
        <v>54</v>
      </c>
      <c r="E209" s="139" t="s">
        <v>81</v>
      </c>
      <c r="F209" s="16" t="str">
        <f t="shared" si="34"/>
        <v/>
      </c>
      <c r="G209" s="16">
        <v>6</v>
      </c>
      <c r="H209" s="16">
        <v>1.1100000000000001</v>
      </c>
      <c r="I209" s="16" t="str">
        <f t="shared" si="31"/>
        <v/>
      </c>
      <c r="J209" s="16" t="str">
        <f t="shared" si="35"/>
        <v/>
      </c>
      <c r="K209" s="16" t="str">
        <f t="shared" si="32"/>
        <v/>
      </c>
      <c r="L209" s="16" t="str">
        <f t="shared" si="33"/>
        <v/>
      </c>
      <c r="M209" s="105" t="str">
        <f t="shared" si="36"/>
        <v/>
      </c>
      <c r="N209" s="173"/>
      <c r="O209" s="92"/>
      <c r="P209" s="87" t="s">
        <v>53</v>
      </c>
      <c r="Q209" s="71"/>
      <c r="R209" s="88" t="e">
        <f t="shared" si="37"/>
        <v>#VALUE!</v>
      </c>
      <c r="S209" s="71"/>
      <c r="T209" s="89" t="str">
        <f t="shared" si="38"/>
        <v>r</v>
      </c>
      <c r="U209" s="71"/>
      <c r="V209" s="175"/>
      <c r="W209" s="29"/>
    </row>
    <row r="210" spans="1:23" ht="15.75" customHeight="1" x14ac:dyDescent="0.25">
      <c r="A210" s="165"/>
      <c r="B210" s="168"/>
      <c r="C210" s="146"/>
      <c r="D210" s="137" t="s">
        <v>78</v>
      </c>
      <c r="E210" s="137" t="s">
        <v>79</v>
      </c>
      <c r="F210" s="85" t="str">
        <f t="shared" si="34"/>
        <v/>
      </c>
      <c r="G210" s="85">
        <v>3.75</v>
      </c>
      <c r="H210" s="85">
        <v>1.25</v>
      </c>
      <c r="I210" s="85" t="str">
        <f t="shared" si="31"/>
        <v/>
      </c>
      <c r="J210" s="85" t="str">
        <f t="shared" si="35"/>
        <v/>
      </c>
      <c r="K210" s="85" t="str">
        <f t="shared" si="32"/>
        <v/>
      </c>
      <c r="L210" s="85" t="str">
        <f t="shared" si="33"/>
        <v/>
      </c>
      <c r="M210" s="86" t="str">
        <f t="shared" si="36"/>
        <v/>
      </c>
      <c r="N210" s="173"/>
      <c r="O210" s="92"/>
      <c r="P210" s="87" t="s">
        <v>52</v>
      </c>
      <c r="Q210" s="71"/>
      <c r="R210" s="88" t="e">
        <f t="shared" si="37"/>
        <v>#VALUE!</v>
      </c>
      <c r="S210" s="71"/>
      <c r="T210" s="89" t="str">
        <f t="shared" si="38"/>
        <v>a</v>
      </c>
      <c r="U210" s="71"/>
      <c r="V210" s="175"/>
      <c r="W210" s="29"/>
    </row>
    <row r="211" spans="1:23" ht="18.75" thickBot="1" x14ac:dyDescent="0.3">
      <c r="A211" s="165"/>
      <c r="B211" s="168"/>
      <c r="C211" s="147"/>
      <c r="D211" s="139" t="s">
        <v>86</v>
      </c>
      <c r="E211" s="139" t="s">
        <v>88</v>
      </c>
      <c r="F211" s="16" t="str">
        <f t="shared" si="34"/>
        <v/>
      </c>
      <c r="G211" s="16">
        <v>3</v>
      </c>
      <c r="H211" s="16">
        <v>1.36</v>
      </c>
      <c r="I211" s="16" t="str">
        <f t="shared" si="31"/>
        <v/>
      </c>
      <c r="J211" s="16" t="str">
        <f t="shared" si="35"/>
        <v/>
      </c>
      <c r="K211" s="16" t="str">
        <f t="shared" si="32"/>
        <v/>
      </c>
      <c r="L211" s="16" t="str">
        <f t="shared" si="33"/>
        <v/>
      </c>
      <c r="M211" s="91" t="str">
        <f t="shared" si="36"/>
        <v/>
      </c>
      <c r="N211" s="173"/>
      <c r="O211" s="29"/>
      <c r="P211" s="87" t="s">
        <v>52</v>
      </c>
      <c r="Q211" s="71"/>
      <c r="R211" s="88" t="e">
        <f t="shared" si="37"/>
        <v>#VALUE!</v>
      </c>
      <c r="S211" s="71"/>
      <c r="T211" s="89" t="str">
        <f t="shared" si="38"/>
        <v>a</v>
      </c>
      <c r="U211" s="71"/>
      <c r="V211" s="93" t="s">
        <v>31</v>
      </c>
      <c r="W211" s="29"/>
    </row>
    <row r="212" spans="1:23" ht="18" x14ac:dyDescent="0.25">
      <c r="A212" s="165"/>
      <c r="B212" s="168"/>
      <c r="C212" s="146"/>
      <c r="D212" s="137" t="s">
        <v>81</v>
      </c>
      <c r="E212" s="137" t="s">
        <v>65</v>
      </c>
      <c r="F212" s="85" t="str">
        <f t="shared" si="34"/>
        <v/>
      </c>
      <c r="G212" s="85">
        <v>1.36</v>
      </c>
      <c r="H212" s="85">
        <v>3</v>
      </c>
      <c r="I212" s="85" t="str">
        <f t="shared" si="31"/>
        <v/>
      </c>
      <c r="J212" s="85" t="str">
        <f t="shared" si="35"/>
        <v/>
      </c>
      <c r="K212" s="85" t="str">
        <f t="shared" si="32"/>
        <v/>
      </c>
      <c r="L212" s="85" t="str">
        <f t="shared" si="33"/>
        <v/>
      </c>
      <c r="M212" s="106" t="str">
        <f t="shared" si="36"/>
        <v/>
      </c>
      <c r="N212" s="173"/>
      <c r="O212" s="29"/>
      <c r="P212" s="87" t="s">
        <v>53</v>
      </c>
      <c r="Q212" s="71"/>
      <c r="R212" s="88" t="e">
        <f t="shared" si="37"/>
        <v>#VALUE!</v>
      </c>
      <c r="S212" s="71"/>
      <c r="T212" s="89" t="str">
        <f t="shared" si="38"/>
        <v>r</v>
      </c>
      <c r="U212" s="71"/>
      <c r="V212" s="176">
        <f>IF(AND(NOT(N205=0)),V205/N205,0)</f>
        <v>0</v>
      </c>
      <c r="W212" s="29"/>
    </row>
    <row r="213" spans="1:23" ht="18" x14ac:dyDescent="0.25">
      <c r="A213" s="165"/>
      <c r="B213" s="168"/>
      <c r="C213" s="147"/>
      <c r="D213" s="139" t="s">
        <v>77</v>
      </c>
      <c r="E213" s="139" t="s">
        <v>80</v>
      </c>
      <c r="F213" s="16" t="str">
        <f t="shared" si="34"/>
        <v/>
      </c>
      <c r="G213" s="16">
        <v>3.25</v>
      </c>
      <c r="H213" s="16">
        <v>1.33</v>
      </c>
      <c r="I213" s="16" t="str">
        <f t="shared" si="31"/>
        <v/>
      </c>
      <c r="J213" s="16" t="str">
        <f t="shared" si="35"/>
        <v/>
      </c>
      <c r="K213" s="16" t="str">
        <f t="shared" si="32"/>
        <v/>
      </c>
      <c r="L213" s="16" t="str">
        <f t="shared" si="33"/>
        <v/>
      </c>
      <c r="M213" s="105" t="str">
        <f t="shared" si="36"/>
        <v/>
      </c>
      <c r="N213" s="173"/>
      <c r="O213" s="29"/>
      <c r="P213" s="87" t="s">
        <v>52</v>
      </c>
      <c r="Q213" s="71"/>
      <c r="R213" s="88" t="e">
        <f t="shared" si="37"/>
        <v>#VALUE!</v>
      </c>
      <c r="S213" s="71"/>
      <c r="T213" s="89" t="str">
        <f t="shared" si="38"/>
        <v>a</v>
      </c>
      <c r="U213" s="71"/>
      <c r="V213" s="177"/>
      <c r="W213" s="29"/>
    </row>
    <row r="214" spans="1:23" ht="18.75" thickBot="1" x14ac:dyDescent="0.3">
      <c r="A214" s="166"/>
      <c r="B214" s="169"/>
      <c r="C214" s="148"/>
      <c r="D214" s="149" t="s">
        <v>83</v>
      </c>
      <c r="E214" s="149" t="s">
        <v>54</v>
      </c>
      <c r="F214" s="95" t="str">
        <f t="shared" si="34"/>
        <v/>
      </c>
      <c r="G214" s="95">
        <v>1.83</v>
      </c>
      <c r="H214" s="95">
        <v>1.83</v>
      </c>
      <c r="I214" s="95" t="str">
        <f t="shared" si="31"/>
        <v/>
      </c>
      <c r="J214" s="95" t="str">
        <f t="shared" si="35"/>
        <v/>
      </c>
      <c r="K214" s="95" t="str">
        <f t="shared" si="32"/>
        <v/>
      </c>
      <c r="L214" s="95" t="str">
        <f t="shared" si="33"/>
        <v/>
      </c>
      <c r="M214" s="96" t="str">
        <f t="shared" si="36"/>
        <v/>
      </c>
      <c r="N214" s="174"/>
      <c r="O214" s="29"/>
      <c r="P214" s="97" t="s">
        <v>53</v>
      </c>
      <c r="Q214" s="29"/>
      <c r="R214" s="98" t="e">
        <f t="shared" si="37"/>
        <v>#VALUE!</v>
      </c>
      <c r="S214" s="29"/>
      <c r="T214" s="99" t="str">
        <f t="shared" si="38"/>
        <v>r</v>
      </c>
      <c r="U214" s="29"/>
      <c r="V214" s="178"/>
      <c r="W214" s="29"/>
    </row>
    <row r="215" spans="1:23" x14ac:dyDescent="0.25">
      <c r="A215" s="29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31"/>
      <c r="S215" s="29"/>
      <c r="T215" s="29"/>
      <c r="U215" s="29"/>
      <c r="V215" s="32"/>
      <c r="W215" s="29"/>
    </row>
    <row r="216" spans="1:23" x14ac:dyDescent="0.25">
      <c r="A216" s="29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31"/>
      <c r="S216" s="29"/>
      <c r="T216" s="29"/>
      <c r="U216" s="29"/>
      <c r="V216" s="32"/>
      <c r="W216" s="29"/>
    </row>
    <row r="217" spans="1:23" ht="16.5" thickBot="1" x14ac:dyDescent="0.3">
      <c r="A217" s="29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31"/>
      <c r="S217" s="29"/>
      <c r="T217" s="29"/>
      <c r="U217" s="29"/>
      <c r="V217" s="32"/>
      <c r="W217" s="29"/>
    </row>
    <row r="218" spans="1:23" ht="19.5" customHeight="1" thickBot="1" x14ac:dyDescent="0.3">
      <c r="A218" s="164" t="s">
        <v>5</v>
      </c>
      <c r="B218" s="167" t="s">
        <v>24</v>
      </c>
      <c r="C218" s="72" t="s">
        <v>49</v>
      </c>
      <c r="D218" s="72" t="s">
        <v>9</v>
      </c>
      <c r="E218" s="72" t="s">
        <v>10</v>
      </c>
      <c r="F218" s="72" t="s">
        <v>11</v>
      </c>
      <c r="G218" s="72" t="s">
        <v>12</v>
      </c>
      <c r="H218" s="72" t="s">
        <v>13</v>
      </c>
      <c r="I218" s="72" t="s">
        <v>14</v>
      </c>
      <c r="J218" s="72" t="s">
        <v>15</v>
      </c>
      <c r="K218" s="72" t="s">
        <v>34</v>
      </c>
      <c r="L218" s="72" t="s">
        <v>16</v>
      </c>
      <c r="M218" s="72" t="s">
        <v>48</v>
      </c>
      <c r="N218" s="73" t="s">
        <v>17</v>
      </c>
      <c r="O218" s="74"/>
      <c r="P218" s="75" t="s">
        <v>18</v>
      </c>
      <c r="Q218" s="71"/>
      <c r="R218" s="76" t="s">
        <v>35</v>
      </c>
      <c r="S218" s="71"/>
      <c r="T218" s="75" t="s">
        <v>36</v>
      </c>
      <c r="U218" s="71"/>
      <c r="V218" s="77" t="s">
        <v>29</v>
      </c>
      <c r="W218" s="29"/>
    </row>
    <row r="219" spans="1:23" ht="15.75" customHeight="1" x14ac:dyDescent="0.25">
      <c r="A219" s="165"/>
      <c r="B219" s="168"/>
      <c r="C219" s="145"/>
      <c r="D219" s="135" t="s">
        <v>65</v>
      </c>
      <c r="E219" s="135" t="s">
        <v>88</v>
      </c>
      <c r="F219" s="79" t="str">
        <f>IF(AND(C219=""),"",1-C219)</f>
        <v/>
      </c>
      <c r="G219" s="79">
        <v>2</v>
      </c>
      <c r="H219" s="79">
        <v>1.72</v>
      </c>
      <c r="I219" s="79" t="str">
        <f t="shared" ref="I219:I228" si="39">IF(AND(C219=""),"",G219*C219)</f>
        <v/>
      </c>
      <c r="J219" s="79" t="str">
        <f>IF(AND(C219=""),"",H219*F219)</f>
        <v/>
      </c>
      <c r="K219" s="79" t="str">
        <f t="shared" ref="K219:K228" si="40">IF(AND(I219=""),"",IF(AND(I219&gt;J219),"T1","T2"))</f>
        <v/>
      </c>
      <c r="L219" s="79" t="str">
        <f t="shared" ref="L219:L228" si="41">IF(AND(J219=""),"",IF(AND(J219&gt;K219),"T1","T2"))</f>
        <v/>
      </c>
      <c r="M219" s="80" t="str">
        <f>IF(L219="","",IF(L219&lt;0.5,K$5*M$2,IF(L219&lt;0.75,K$5*M$3,IF(L219&lt;1,K$5*M$4,IF(L219&lt;1.25,K$5*M$5,IF(L219&lt;1.5,K$5*M$6,IF(L219&lt;2,K$5*M$7,IF(L219&lt;2.5,K$5*M$8,K$5*M$9))))))))</f>
        <v/>
      </c>
      <c r="N219" s="172">
        <f>SUMIF(L219:L228,"&gt;0")</f>
        <v>0</v>
      </c>
      <c r="O219" s="74"/>
      <c r="P219" s="81" t="s">
        <v>53</v>
      </c>
      <c r="Q219" s="74"/>
      <c r="R219" s="82" t="e">
        <f>IF(OR(P219="",L219="NO BET"),0,IF(AND(K219=P219),IF(AND(K219="T2"),ROUNDUP(H219*0.95,2)-M219,ROUNDUP(G219*0.95,2)-M219),-M219))</f>
        <v>#VALUE!</v>
      </c>
      <c r="S219" s="71"/>
      <c r="T219" s="83" t="str">
        <f>IF(AND(P219=""),"",IF(AND(C219&gt;F219),IF(AND(P219="T1"),"a","r"),IF(AND(P219="T2"),"a","r")))</f>
        <v>r</v>
      </c>
      <c r="U219" s="71"/>
      <c r="V219" s="175" t="e">
        <f>SUM(R219:R228)</f>
        <v>#VALUE!</v>
      </c>
      <c r="W219" s="29"/>
    </row>
    <row r="220" spans="1:23" ht="15.75" customHeight="1" x14ac:dyDescent="0.25">
      <c r="A220" s="165"/>
      <c r="B220" s="168"/>
      <c r="C220" s="146"/>
      <c r="D220" s="137" t="s">
        <v>80</v>
      </c>
      <c r="E220" s="137" t="s">
        <v>78</v>
      </c>
      <c r="F220" s="85" t="str">
        <f t="shared" ref="F220:F228" si="42">IF(AND(C220=""),"",1-C220)</f>
        <v/>
      </c>
      <c r="G220" s="85">
        <v>1.1200000000000001</v>
      </c>
      <c r="H220" s="85">
        <v>5.5</v>
      </c>
      <c r="I220" s="85" t="str">
        <f t="shared" si="39"/>
        <v/>
      </c>
      <c r="J220" s="85" t="str">
        <f t="shared" ref="J220:J228" si="43">IF(AND(C220=""),"",H220*F220)</f>
        <v/>
      </c>
      <c r="K220" s="85" t="str">
        <f t="shared" si="40"/>
        <v/>
      </c>
      <c r="L220" s="85" t="str">
        <f t="shared" si="41"/>
        <v/>
      </c>
      <c r="M220" s="86" t="str">
        <f t="shared" ref="M220:M228" si="44">IF(L220="","",IF(L220&lt;0.5,K$5*M$2,IF(L220&lt;0.75,K$5*M$3,IF(L220&lt;1,K$5*M$4,IF(L220&lt;1.25,K$5*M$5,IF(L220&lt;1.5,K$5*M$6,IF(L220&lt;2,K$5*M$7,IF(L220&lt;2.5,K$5*M$8,K$5*M$9))))))))</f>
        <v/>
      </c>
      <c r="N220" s="173"/>
      <c r="O220" s="29"/>
      <c r="P220" s="87" t="s">
        <v>53</v>
      </c>
      <c r="Q220" s="71"/>
      <c r="R220" s="88" t="e">
        <f t="shared" ref="R220:R228" si="45">IF(OR(P220="",L220="NO BET"),0,IF(AND(K220=P220),IF(AND(K220="T2"),ROUNDUP(H220*M220*0.95,2)-1,ROUNDUP(G220*M220*0.95,2)-M220),-M220))</f>
        <v>#VALUE!</v>
      </c>
      <c r="S220" s="71"/>
      <c r="T220" s="89" t="str">
        <f t="shared" ref="T220:T228" si="46">IF(AND(P220=""),"",IF(AND(C220&gt;F220),IF(AND(P220="T1"),"a","r"),IF(AND(P220="T2"),"a","r")))</f>
        <v>r</v>
      </c>
      <c r="U220" s="71"/>
      <c r="V220" s="175"/>
      <c r="W220" s="29"/>
    </row>
    <row r="221" spans="1:23" ht="15.75" customHeight="1" x14ac:dyDescent="0.25">
      <c r="A221" s="165"/>
      <c r="B221" s="168"/>
      <c r="C221" s="147"/>
      <c r="D221" s="139" t="s">
        <v>78</v>
      </c>
      <c r="E221" s="139" t="s">
        <v>81</v>
      </c>
      <c r="F221" s="16" t="str">
        <f t="shared" si="42"/>
        <v/>
      </c>
      <c r="G221" s="16">
        <v>8</v>
      </c>
      <c r="H221" s="16">
        <v>1.0620000000000001</v>
      </c>
      <c r="I221" s="16" t="str">
        <f t="shared" si="39"/>
        <v/>
      </c>
      <c r="J221" s="16" t="str">
        <f t="shared" si="43"/>
        <v/>
      </c>
      <c r="K221" s="16" t="str">
        <f t="shared" si="40"/>
        <v/>
      </c>
      <c r="L221" s="16" t="str">
        <f t="shared" si="41"/>
        <v/>
      </c>
      <c r="M221" s="91" t="str">
        <f t="shared" si="44"/>
        <v/>
      </c>
      <c r="N221" s="173"/>
      <c r="O221" s="74"/>
      <c r="P221" s="87" t="s">
        <v>52</v>
      </c>
      <c r="Q221" s="71"/>
      <c r="R221" s="88" t="e">
        <f t="shared" si="45"/>
        <v>#VALUE!</v>
      </c>
      <c r="S221" s="71"/>
      <c r="T221" s="89" t="str">
        <f t="shared" si="46"/>
        <v>a</v>
      </c>
      <c r="U221" s="71"/>
      <c r="V221" s="175"/>
      <c r="W221" s="29"/>
    </row>
    <row r="222" spans="1:23" ht="15.75" customHeight="1" x14ac:dyDescent="0.25">
      <c r="A222" s="165"/>
      <c r="B222" s="168"/>
      <c r="C222" s="146"/>
      <c r="D222" s="137" t="s">
        <v>86</v>
      </c>
      <c r="E222" s="137" t="s">
        <v>54</v>
      </c>
      <c r="F222" s="85" t="str">
        <f t="shared" si="42"/>
        <v/>
      </c>
      <c r="G222" s="85">
        <v>1.5</v>
      </c>
      <c r="H222" s="85">
        <v>2.5</v>
      </c>
      <c r="I222" s="85" t="str">
        <f t="shared" si="39"/>
        <v/>
      </c>
      <c r="J222" s="85" t="str">
        <f t="shared" si="43"/>
        <v/>
      </c>
      <c r="K222" s="85" t="str">
        <f t="shared" si="40"/>
        <v/>
      </c>
      <c r="L222" s="85" t="str">
        <f t="shared" si="41"/>
        <v/>
      </c>
      <c r="M222" s="86" t="str">
        <f t="shared" si="44"/>
        <v/>
      </c>
      <c r="N222" s="173"/>
      <c r="O222" s="92"/>
      <c r="P222" s="87" t="s">
        <v>53</v>
      </c>
      <c r="Q222" s="71"/>
      <c r="R222" s="88" t="e">
        <f t="shared" si="45"/>
        <v>#VALUE!</v>
      </c>
      <c r="S222" s="71"/>
      <c r="T222" s="89" t="str">
        <f t="shared" si="46"/>
        <v>r</v>
      </c>
      <c r="U222" s="71"/>
      <c r="V222" s="175"/>
      <c r="W222" s="29"/>
    </row>
    <row r="223" spans="1:23" ht="15.75" customHeight="1" x14ac:dyDescent="0.25">
      <c r="A223" s="165"/>
      <c r="B223" s="168"/>
      <c r="C223" s="147"/>
      <c r="D223" s="139" t="s">
        <v>88</v>
      </c>
      <c r="E223" s="139" t="s">
        <v>77</v>
      </c>
      <c r="F223" s="16" t="str">
        <f t="shared" si="42"/>
        <v/>
      </c>
      <c r="G223" s="16">
        <v>1.36</v>
      </c>
      <c r="H223" s="16">
        <v>3</v>
      </c>
      <c r="I223" s="16" t="str">
        <f t="shared" si="39"/>
        <v/>
      </c>
      <c r="J223" s="16" t="str">
        <f t="shared" si="43"/>
        <v/>
      </c>
      <c r="K223" s="16" t="str">
        <f t="shared" si="40"/>
        <v/>
      </c>
      <c r="L223" s="16" t="str">
        <f t="shared" si="41"/>
        <v/>
      </c>
      <c r="M223" s="105" t="str">
        <f t="shared" si="44"/>
        <v/>
      </c>
      <c r="N223" s="173"/>
      <c r="O223" s="92"/>
      <c r="P223" s="87" t="s">
        <v>53</v>
      </c>
      <c r="Q223" s="71"/>
      <c r="R223" s="88" t="e">
        <f t="shared" si="45"/>
        <v>#VALUE!</v>
      </c>
      <c r="S223" s="71"/>
      <c r="T223" s="89" t="str">
        <f t="shared" si="46"/>
        <v>r</v>
      </c>
      <c r="U223" s="71"/>
      <c r="V223" s="175"/>
      <c r="W223" s="29"/>
    </row>
    <row r="224" spans="1:23" ht="15.75" customHeight="1" x14ac:dyDescent="0.25">
      <c r="A224" s="165"/>
      <c r="B224" s="168"/>
      <c r="C224" s="146"/>
      <c r="D224" s="137" t="s">
        <v>79</v>
      </c>
      <c r="E224" s="137" t="s">
        <v>83</v>
      </c>
      <c r="F224" s="85" t="str">
        <f t="shared" si="42"/>
        <v/>
      </c>
      <c r="G224" s="85">
        <v>1.2</v>
      </c>
      <c r="H224" s="85">
        <v>4.33</v>
      </c>
      <c r="I224" s="85" t="str">
        <f t="shared" si="39"/>
        <v/>
      </c>
      <c r="J224" s="85" t="str">
        <f t="shared" si="43"/>
        <v/>
      </c>
      <c r="K224" s="85" t="str">
        <f t="shared" si="40"/>
        <v/>
      </c>
      <c r="L224" s="85" t="str">
        <f t="shared" si="41"/>
        <v/>
      </c>
      <c r="M224" s="86" t="str">
        <f t="shared" si="44"/>
        <v/>
      </c>
      <c r="N224" s="173"/>
      <c r="O224" s="92"/>
      <c r="P224" s="87" t="s">
        <v>52</v>
      </c>
      <c r="Q224" s="71"/>
      <c r="R224" s="88" t="e">
        <f t="shared" si="45"/>
        <v>#VALUE!</v>
      </c>
      <c r="S224" s="71"/>
      <c r="T224" s="89" t="str">
        <f t="shared" si="46"/>
        <v>a</v>
      </c>
      <c r="U224" s="71"/>
      <c r="V224" s="175"/>
      <c r="W224" s="29"/>
    </row>
    <row r="225" spans="1:23" ht="18.75" thickBot="1" x14ac:dyDescent="0.3">
      <c r="A225" s="165"/>
      <c r="B225" s="168"/>
      <c r="C225" s="90"/>
      <c r="D225" s="139"/>
      <c r="E225" s="139"/>
      <c r="F225" s="16" t="str">
        <f t="shared" si="42"/>
        <v/>
      </c>
      <c r="G225" s="16"/>
      <c r="H225" s="16"/>
      <c r="I225" s="16" t="str">
        <f t="shared" si="39"/>
        <v/>
      </c>
      <c r="J225" s="16" t="str">
        <f t="shared" si="43"/>
        <v/>
      </c>
      <c r="K225" s="16" t="str">
        <f t="shared" si="40"/>
        <v/>
      </c>
      <c r="L225" s="16" t="str">
        <f t="shared" si="41"/>
        <v/>
      </c>
      <c r="M225" s="91" t="str">
        <f t="shared" si="44"/>
        <v/>
      </c>
      <c r="N225" s="173"/>
      <c r="O225" s="29"/>
      <c r="P225" s="87"/>
      <c r="Q225" s="71"/>
      <c r="R225" s="88">
        <f t="shared" si="45"/>
        <v>0</v>
      </c>
      <c r="S225" s="71"/>
      <c r="T225" s="89" t="str">
        <f t="shared" si="46"/>
        <v/>
      </c>
      <c r="U225" s="71"/>
      <c r="V225" s="93" t="s">
        <v>31</v>
      </c>
      <c r="W225" s="29"/>
    </row>
    <row r="226" spans="1:23" ht="18" x14ac:dyDescent="0.25">
      <c r="A226" s="165"/>
      <c r="B226" s="168"/>
      <c r="C226" s="84"/>
      <c r="D226" s="137"/>
      <c r="E226" s="137"/>
      <c r="F226" s="85" t="str">
        <f t="shared" si="42"/>
        <v/>
      </c>
      <c r="G226" s="137"/>
      <c r="H226" s="85"/>
      <c r="I226" s="85" t="str">
        <f t="shared" si="39"/>
        <v/>
      </c>
      <c r="J226" s="85" t="str">
        <f t="shared" si="43"/>
        <v/>
      </c>
      <c r="K226" s="85" t="str">
        <f t="shared" si="40"/>
        <v/>
      </c>
      <c r="L226" s="85" t="str">
        <f t="shared" si="41"/>
        <v/>
      </c>
      <c r="M226" s="106" t="str">
        <f t="shared" si="44"/>
        <v/>
      </c>
      <c r="N226" s="173"/>
      <c r="O226" s="29"/>
      <c r="P226" s="87"/>
      <c r="Q226" s="71"/>
      <c r="R226" s="88">
        <f t="shared" si="45"/>
        <v>0</v>
      </c>
      <c r="S226" s="71"/>
      <c r="T226" s="89" t="str">
        <f t="shared" si="46"/>
        <v/>
      </c>
      <c r="U226" s="71"/>
      <c r="V226" s="176">
        <f>IF(AND(NOT(N219=0)),V219/N219,0)</f>
        <v>0</v>
      </c>
      <c r="W226" s="29"/>
    </row>
    <row r="227" spans="1:23" ht="18" x14ac:dyDescent="0.25">
      <c r="A227" s="165"/>
      <c r="B227" s="168"/>
      <c r="C227" s="90"/>
      <c r="D227" s="139"/>
      <c r="E227" s="139"/>
      <c r="F227" s="16" t="str">
        <f t="shared" si="42"/>
        <v/>
      </c>
      <c r="G227" s="16"/>
      <c r="H227" s="16"/>
      <c r="I227" s="16" t="str">
        <f t="shared" si="39"/>
        <v/>
      </c>
      <c r="J227" s="16" t="str">
        <f t="shared" si="43"/>
        <v/>
      </c>
      <c r="K227" s="16" t="str">
        <f t="shared" si="40"/>
        <v/>
      </c>
      <c r="L227" s="16" t="str">
        <f t="shared" si="41"/>
        <v/>
      </c>
      <c r="M227" s="105" t="str">
        <f t="shared" si="44"/>
        <v/>
      </c>
      <c r="N227" s="173"/>
      <c r="O227" s="29"/>
      <c r="P227" s="87"/>
      <c r="Q227" s="71"/>
      <c r="R227" s="88">
        <f t="shared" si="45"/>
        <v>0</v>
      </c>
      <c r="S227" s="71"/>
      <c r="T227" s="89" t="str">
        <f t="shared" si="46"/>
        <v/>
      </c>
      <c r="U227" s="71"/>
      <c r="V227" s="177"/>
      <c r="W227" s="29"/>
    </row>
    <row r="228" spans="1:23" ht="18.75" thickBot="1" x14ac:dyDescent="0.3">
      <c r="A228" s="166"/>
      <c r="B228" s="169"/>
      <c r="C228" s="94"/>
      <c r="D228" s="149"/>
      <c r="E228" s="149"/>
      <c r="F228" s="95" t="str">
        <f t="shared" si="42"/>
        <v/>
      </c>
      <c r="G228" s="95"/>
      <c r="H228" s="95"/>
      <c r="I228" s="95" t="str">
        <f t="shared" si="39"/>
        <v/>
      </c>
      <c r="J228" s="95" t="str">
        <f t="shared" si="43"/>
        <v/>
      </c>
      <c r="K228" s="95" t="str">
        <f t="shared" si="40"/>
        <v/>
      </c>
      <c r="L228" s="95" t="str">
        <f t="shared" si="41"/>
        <v/>
      </c>
      <c r="M228" s="96" t="str">
        <f t="shared" si="44"/>
        <v/>
      </c>
      <c r="N228" s="174"/>
      <c r="O228" s="29"/>
      <c r="P228" s="97"/>
      <c r="Q228" s="29"/>
      <c r="R228" s="98">
        <f t="shared" si="45"/>
        <v>0</v>
      </c>
      <c r="S228" s="29"/>
      <c r="T228" s="99" t="str">
        <f t="shared" si="46"/>
        <v/>
      </c>
      <c r="U228" s="29"/>
      <c r="V228" s="178"/>
      <c r="W228" s="29"/>
    </row>
    <row r="229" spans="1:23" x14ac:dyDescent="0.25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31"/>
      <c r="S229" s="29"/>
      <c r="T229" s="29"/>
      <c r="U229" s="29"/>
      <c r="V229" s="32"/>
      <c r="W229" s="29"/>
    </row>
    <row r="230" spans="1:23" x14ac:dyDescent="0.25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31"/>
      <c r="S230" s="29"/>
      <c r="T230" s="29"/>
      <c r="U230" s="29"/>
      <c r="V230" s="32"/>
      <c r="W230" s="29"/>
    </row>
    <row r="231" spans="1:23" ht="16.5" thickBot="1" x14ac:dyDescent="0.3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31"/>
      <c r="S231" s="29"/>
      <c r="T231" s="29"/>
      <c r="U231" s="29"/>
      <c r="V231" s="32"/>
      <c r="W231" s="29"/>
    </row>
    <row r="232" spans="1:23" ht="19.5" customHeight="1" thickBot="1" x14ac:dyDescent="0.3">
      <c r="A232" s="164" t="s">
        <v>5</v>
      </c>
      <c r="B232" s="167" t="s">
        <v>25</v>
      </c>
      <c r="C232" s="72" t="s">
        <v>49</v>
      </c>
      <c r="D232" s="72" t="s">
        <v>9</v>
      </c>
      <c r="E232" s="72" t="s">
        <v>10</v>
      </c>
      <c r="F232" s="72" t="s">
        <v>11</v>
      </c>
      <c r="G232" s="72" t="s">
        <v>12</v>
      </c>
      <c r="H232" s="72" t="s">
        <v>13</v>
      </c>
      <c r="I232" s="72" t="s">
        <v>14</v>
      </c>
      <c r="J232" s="72" t="s">
        <v>15</v>
      </c>
      <c r="K232" s="72" t="s">
        <v>34</v>
      </c>
      <c r="L232" s="72" t="s">
        <v>16</v>
      </c>
      <c r="M232" s="72" t="s">
        <v>48</v>
      </c>
      <c r="N232" s="73" t="s">
        <v>17</v>
      </c>
      <c r="O232" s="74"/>
      <c r="P232" s="75" t="s">
        <v>18</v>
      </c>
      <c r="Q232" s="71"/>
      <c r="R232" s="76" t="s">
        <v>35</v>
      </c>
      <c r="S232" s="71"/>
      <c r="T232" s="75" t="s">
        <v>36</v>
      </c>
      <c r="U232" s="71"/>
      <c r="V232" s="77" t="s">
        <v>29</v>
      </c>
      <c r="W232" s="29"/>
    </row>
    <row r="233" spans="1:23" ht="15.75" customHeight="1" x14ac:dyDescent="0.25">
      <c r="A233" s="165"/>
      <c r="B233" s="168"/>
      <c r="C233" s="145"/>
      <c r="D233" s="135" t="s">
        <v>77</v>
      </c>
      <c r="E233" s="135" t="s">
        <v>56</v>
      </c>
      <c r="F233" s="79" t="str">
        <f>IF(AND(C233=""),"",1-C233)</f>
        <v/>
      </c>
      <c r="G233" s="79">
        <v>1.33</v>
      </c>
      <c r="H233" s="79">
        <v>3.25</v>
      </c>
      <c r="I233" s="79" t="str">
        <f t="shared" ref="I233:I242" si="47">IF(AND(C233=""),"",G233*C233)</f>
        <v/>
      </c>
      <c r="J233" s="79" t="str">
        <f>IF(AND(C233=""),"",H233*F233)</f>
        <v/>
      </c>
      <c r="K233" s="79" t="str">
        <f t="shared" ref="K233:K242" si="48">IF(AND(I233=""),"",IF(AND(I233&gt;J233),"T1","T2"))</f>
        <v/>
      </c>
      <c r="L233" s="79" t="str">
        <f t="shared" ref="L233:L242" si="49">IF(AND(J233=""),"",IF(AND(J233&gt;K233),"T1","T2"))</f>
        <v/>
      </c>
      <c r="M233" s="80" t="str">
        <f>IF(L233="","",IF(L233&lt;0.5,K$5*M$2,IF(L233&lt;0.75,K$5*M$3,IF(L233&lt;1,K$5*M$4,IF(L233&lt;1.25,K$5*M$5,IF(L233&lt;1.5,K$5*M$6,IF(L233&lt;2,K$5*M$7,IF(L233&lt;2.5,K$5*M$8,K$5*M$9))))))))</f>
        <v/>
      </c>
      <c r="N233" s="172">
        <f>SUMIF(L233:L242,"&gt;0")</f>
        <v>0</v>
      </c>
      <c r="O233" s="74"/>
      <c r="P233" s="81" t="s">
        <v>53</v>
      </c>
      <c r="Q233" s="74"/>
      <c r="R233" s="82" t="e">
        <f>IF(OR(P233="",L233="NO BET"),0,IF(AND(K233=P233),IF(AND(K233="T2"),ROUNDUP(H233*0.95,2)-M233,ROUNDUP(G233*0.95,2)-M233),-M233))</f>
        <v>#VALUE!</v>
      </c>
      <c r="S233" s="71"/>
      <c r="T233" s="83" t="str">
        <f>IF(AND(P233=""),"",IF(AND(C233&gt;F233),IF(AND(P233="T1"),"a","r"),IF(AND(P233="T2"),"a","r")))</f>
        <v>r</v>
      </c>
      <c r="U233" s="71"/>
      <c r="V233" s="175" t="e">
        <f>SUM(R233:R242)</f>
        <v>#VALUE!</v>
      </c>
      <c r="W233" s="29"/>
    </row>
    <row r="234" spans="1:23" ht="15.75" customHeight="1" x14ac:dyDescent="0.25">
      <c r="A234" s="165"/>
      <c r="B234" s="168"/>
      <c r="C234" s="146"/>
      <c r="D234" s="137" t="s">
        <v>54</v>
      </c>
      <c r="E234" s="137" t="s">
        <v>79</v>
      </c>
      <c r="F234" s="85" t="str">
        <f t="shared" ref="F234:F242" si="50">IF(AND(C234=""),"",1-C234)</f>
        <v/>
      </c>
      <c r="G234" s="85">
        <v>3</v>
      </c>
      <c r="H234" s="85">
        <v>1.36</v>
      </c>
      <c r="I234" s="85" t="str">
        <f t="shared" si="47"/>
        <v/>
      </c>
      <c r="J234" s="85" t="str">
        <f t="shared" ref="J234:J242" si="51">IF(AND(C234=""),"",H234*F234)</f>
        <v/>
      </c>
      <c r="K234" s="85" t="str">
        <f t="shared" si="48"/>
        <v/>
      </c>
      <c r="L234" s="85" t="str">
        <f t="shared" si="49"/>
        <v/>
      </c>
      <c r="M234" s="86" t="str">
        <f t="shared" ref="M234:M242" si="52">IF(L234="","",IF(L234&lt;0.5,K$5*M$2,IF(L234&lt;0.75,K$5*M$3,IF(L234&lt;1,K$5*M$4,IF(L234&lt;1.25,K$5*M$5,IF(L234&lt;1.5,K$5*M$6,IF(L234&lt;2,K$5*M$7,IF(L234&lt;2.5,K$5*M$8,K$5*M$9))))))))</f>
        <v/>
      </c>
      <c r="N234" s="173"/>
      <c r="O234" s="29"/>
      <c r="P234" s="87" t="s">
        <v>52</v>
      </c>
      <c r="Q234" s="71"/>
      <c r="R234" s="88" t="e">
        <f t="shared" ref="R234:R242" si="53">IF(OR(P234="",L234="NO BET"),0,IF(AND(K234=P234),IF(AND(K234="T2"),ROUNDUP(H234*M234*0.95,2)-1,ROUNDUP(G234*M234*0.95,2)-M234),-M234))</f>
        <v>#VALUE!</v>
      </c>
      <c r="S234" s="71"/>
      <c r="T234" s="89" t="str">
        <f t="shared" ref="T234:T242" si="54">IF(AND(P234=""),"",IF(AND(C234&gt;F234),IF(AND(P234="T1"),"a","r"),IF(AND(P234="T2"),"a","r")))</f>
        <v>a</v>
      </c>
      <c r="U234" s="71"/>
      <c r="V234" s="175"/>
      <c r="W234" s="29"/>
    </row>
    <row r="235" spans="1:23" ht="15.75" customHeight="1" x14ac:dyDescent="0.25">
      <c r="A235" s="165"/>
      <c r="B235" s="168"/>
      <c r="C235" s="147"/>
      <c r="D235" s="139" t="s">
        <v>88</v>
      </c>
      <c r="E235" s="139" t="s">
        <v>80</v>
      </c>
      <c r="F235" s="16" t="str">
        <f t="shared" si="50"/>
        <v/>
      </c>
      <c r="G235" s="16">
        <v>2.2200000000000002</v>
      </c>
      <c r="H235" s="16">
        <v>1.61</v>
      </c>
      <c r="I235" s="16" t="str">
        <f t="shared" si="47"/>
        <v/>
      </c>
      <c r="J235" s="16" t="str">
        <f t="shared" si="51"/>
        <v/>
      </c>
      <c r="K235" s="16" t="str">
        <f t="shared" si="48"/>
        <v/>
      </c>
      <c r="L235" s="16" t="str">
        <f t="shared" si="49"/>
        <v/>
      </c>
      <c r="M235" s="91" t="str">
        <f t="shared" si="52"/>
        <v/>
      </c>
      <c r="N235" s="173"/>
      <c r="O235" s="74"/>
      <c r="P235" s="87" t="s">
        <v>52</v>
      </c>
      <c r="Q235" s="71"/>
      <c r="R235" s="88" t="e">
        <f t="shared" si="53"/>
        <v>#VALUE!</v>
      </c>
      <c r="S235" s="71"/>
      <c r="T235" s="89" t="str">
        <f t="shared" si="54"/>
        <v>a</v>
      </c>
      <c r="U235" s="71"/>
      <c r="V235" s="175"/>
      <c r="W235" s="29"/>
    </row>
    <row r="236" spans="1:23" ht="15.75" customHeight="1" x14ac:dyDescent="0.25">
      <c r="A236" s="165"/>
      <c r="B236" s="168"/>
      <c r="C236" s="146"/>
      <c r="D236" s="137" t="s">
        <v>65</v>
      </c>
      <c r="E236" s="137" t="s">
        <v>86</v>
      </c>
      <c r="F236" s="85" t="str">
        <f t="shared" si="50"/>
        <v/>
      </c>
      <c r="G236" s="85">
        <v>1.5</v>
      </c>
      <c r="H236" s="85">
        <v>2.5</v>
      </c>
      <c r="I236" s="85" t="str">
        <f t="shared" si="47"/>
        <v/>
      </c>
      <c r="J236" s="85" t="str">
        <f t="shared" si="51"/>
        <v/>
      </c>
      <c r="K236" s="85" t="str">
        <f t="shared" si="48"/>
        <v/>
      </c>
      <c r="L236" s="85" t="str">
        <f t="shared" si="49"/>
        <v/>
      </c>
      <c r="M236" s="86" t="str">
        <f t="shared" si="52"/>
        <v/>
      </c>
      <c r="N236" s="173"/>
      <c r="O236" s="92"/>
      <c r="P236" s="87" t="s">
        <v>53</v>
      </c>
      <c r="Q236" s="71"/>
      <c r="R236" s="88" t="e">
        <f t="shared" si="53"/>
        <v>#VALUE!</v>
      </c>
      <c r="S236" s="71"/>
      <c r="T236" s="89" t="str">
        <f t="shared" si="54"/>
        <v>r</v>
      </c>
      <c r="U236" s="71"/>
      <c r="V236" s="175"/>
      <c r="W236" s="29"/>
    </row>
    <row r="237" spans="1:23" ht="15.75" customHeight="1" x14ac:dyDescent="0.25">
      <c r="A237" s="165"/>
      <c r="B237" s="168"/>
      <c r="C237" s="147"/>
      <c r="D237" s="139" t="s">
        <v>83</v>
      </c>
      <c r="E237" s="139" t="s">
        <v>77</v>
      </c>
      <c r="F237" s="16" t="str">
        <f t="shared" si="50"/>
        <v/>
      </c>
      <c r="G237" s="16">
        <v>2.25</v>
      </c>
      <c r="H237" s="16">
        <v>1.57</v>
      </c>
      <c r="I237" s="16" t="str">
        <f t="shared" si="47"/>
        <v/>
      </c>
      <c r="J237" s="16" t="str">
        <f t="shared" si="51"/>
        <v/>
      </c>
      <c r="K237" s="16" t="str">
        <f t="shared" si="48"/>
        <v/>
      </c>
      <c r="L237" s="16" t="str">
        <f t="shared" si="49"/>
        <v/>
      </c>
      <c r="M237" s="105" t="str">
        <f t="shared" si="52"/>
        <v/>
      </c>
      <c r="N237" s="173"/>
      <c r="O237" s="92"/>
      <c r="P237" s="87" t="s">
        <v>52</v>
      </c>
      <c r="Q237" s="71"/>
      <c r="R237" s="88" t="e">
        <f t="shared" si="53"/>
        <v>#VALUE!</v>
      </c>
      <c r="S237" s="71"/>
      <c r="T237" s="89" t="str">
        <f t="shared" si="54"/>
        <v>a</v>
      </c>
      <c r="U237" s="71"/>
      <c r="V237" s="175"/>
      <c r="W237" s="29"/>
    </row>
    <row r="238" spans="1:23" ht="15.75" customHeight="1" x14ac:dyDescent="0.25">
      <c r="A238" s="165"/>
      <c r="B238" s="168"/>
      <c r="C238" s="146"/>
      <c r="D238" s="137" t="s">
        <v>80</v>
      </c>
      <c r="E238" s="137" t="s">
        <v>79</v>
      </c>
      <c r="F238" s="85" t="str">
        <f t="shared" si="50"/>
        <v/>
      </c>
      <c r="G238" s="85">
        <v>1.36</v>
      </c>
      <c r="H238" s="85">
        <v>3</v>
      </c>
      <c r="I238" s="85" t="str">
        <f t="shared" si="47"/>
        <v/>
      </c>
      <c r="J238" s="85" t="str">
        <f t="shared" si="51"/>
        <v/>
      </c>
      <c r="K238" s="85" t="str">
        <f t="shared" si="48"/>
        <v/>
      </c>
      <c r="L238" s="85" t="str">
        <f t="shared" si="49"/>
        <v/>
      </c>
      <c r="M238" s="86" t="str">
        <f t="shared" si="52"/>
        <v/>
      </c>
      <c r="N238" s="173"/>
      <c r="O238" s="92"/>
      <c r="P238" s="87" t="s">
        <v>52</v>
      </c>
      <c r="Q238" s="71"/>
      <c r="R238" s="88" t="e">
        <f t="shared" si="53"/>
        <v>#VALUE!</v>
      </c>
      <c r="S238" s="71"/>
      <c r="T238" s="89" t="str">
        <f t="shared" si="54"/>
        <v>a</v>
      </c>
      <c r="U238" s="71"/>
      <c r="V238" s="175"/>
      <c r="W238" s="29"/>
    </row>
    <row r="239" spans="1:23" ht="18.75" thickBot="1" x14ac:dyDescent="0.3">
      <c r="A239" s="165"/>
      <c r="B239" s="168"/>
      <c r="C239" s="147"/>
      <c r="D239" s="139" t="s">
        <v>65</v>
      </c>
      <c r="E239" s="139" t="s">
        <v>78</v>
      </c>
      <c r="F239" s="16" t="str">
        <f t="shared" si="50"/>
        <v/>
      </c>
      <c r="G239" s="16">
        <v>1.1200000000000001</v>
      </c>
      <c r="H239" s="16">
        <v>5.5</v>
      </c>
      <c r="I239" s="16" t="str">
        <f t="shared" si="47"/>
        <v/>
      </c>
      <c r="J239" s="16" t="str">
        <f t="shared" si="51"/>
        <v/>
      </c>
      <c r="K239" s="16" t="str">
        <f t="shared" si="48"/>
        <v/>
      </c>
      <c r="L239" s="16" t="str">
        <f t="shared" si="49"/>
        <v/>
      </c>
      <c r="M239" s="91" t="str">
        <f t="shared" si="52"/>
        <v/>
      </c>
      <c r="N239" s="173"/>
      <c r="O239" s="29"/>
      <c r="P239" s="87" t="s">
        <v>53</v>
      </c>
      <c r="Q239" s="71"/>
      <c r="R239" s="88" t="e">
        <f t="shared" si="53"/>
        <v>#VALUE!</v>
      </c>
      <c r="S239" s="71"/>
      <c r="T239" s="89" t="str">
        <f t="shared" si="54"/>
        <v>r</v>
      </c>
      <c r="U239" s="71"/>
      <c r="V239" s="93" t="s">
        <v>31</v>
      </c>
      <c r="W239" s="29"/>
    </row>
    <row r="240" spans="1:23" ht="18" x14ac:dyDescent="0.25">
      <c r="A240" s="165"/>
      <c r="B240" s="168"/>
      <c r="C240" s="146"/>
      <c r="D240" s="137" t="s">
        <v>81</v>
      </c>
      <c r="E240" s="137" t="s">
        <v>54</v>
      </c>
      <c r="F240" s="85" t="str">
        <f t="shared" si="50"/>
        <v/>
      </c>
      <c r="G240" s="85">
        <v>1.1000000000000001</v>
      </c>
      <c r="H240" s="85">
        <v>6.5</v>
      </c>
      <c r="I240" s="85" t="str">
        <f t="shared" si="47"/>
        <v/>
      </c>
      <c r="J240" s="85" t="str">
        <f t="shared" si="51"/>
        <v/>
      </c>
      <c r="K240" s="85" t="str">
        <f t="shared" si="48"/>
        <v/>
      </c>
      <c r="L240" s="85" t="str">
        <f t="shared" si="49"/>
        <v/>
      </c>
      <c r="M240" s="106" t="str">
        <f t="shared" si="52"/>
        <v/>
      </c>
      <c r="N240" s="173"/>
      <c r="O240" s="29"/>
      <c r="P240" s="87" t="s">
        <v>53</v>
      </c>
      <c r="Q240" s="71"/>
      <c r="R240" s="88" t="e">
        <f t="shared" si="53"/>
        <v>#VALUE!</v>
      </c>
      <c r="S240" s="71"/>
      <c r="T240" s="89" t="str">
        <f t="shared" si="54"/>
        <v>r</v>
      </c>
      <c r="U240" s="71"/>
      <c r="V240" s="176">
        <f>IF(AND(NOT(N233=0)),V233/N233,0)</f>
        <v>0</v>
      </c>
      <c r="W240" s="29"/>
    </row>
    <row r="241" spans="1:23" ht="18" x14ac:dyDescent="0.25">
      <c r="A241" s="165"/>
      <c r="B241" s="168"/>
      <c r="C241" s="90"/>
      <c r="D241" s="139"/>
      <c r="E241" s="139"/>
      <c r="F241" s="16" t="str">
        <f t="shared" si="50"/>
        <v/>
      </c>
      <c r="G241" s="16"/>
      <c r="H241" s="16"/>
      <c r="I241" s="16" t="str">
        <f t="shared" si="47"/>
        <v/>
      </c>
      <c r="J241" s="16" t="str">
        <f t="shared" si="51"/>
        <v/>
      </c>
      <c r="K241" s="16" t="str">
        <f t="shared" si="48"/>
        <v/>
      </c>
      <c r="L241" s="16" t="str">
        <f t="shared" si="49"/>
        <v/>
      </c>
      <c r="M241" s="105" t="str">
        <f t="shared" si="52"/>
        <v/>
      </c>
      <c r="N241" s="173"/>
      <c r="O241" s="29"/>
      <c r="P241" s="87"/>
      <c r="Q241" s="71"/>
      <c r="R241" s="88">
        <f t="shared" si="53"/>
        <v>0</v>
      </c>
      <c r="S241" s="71"/>
      <c r="T241" s="89" t="str">
        <f t="shared" si="54"/>
        <v/>
      </c>
      <c r="U241" s="71"/>
      <c r="V241" s="177"/>
      <c r="W241" s="29"/>
    </row>
    <row r="242" spans="1:23" ht="18.75" thickBot="1" x14ac:dyDescent="0.3">
      <c r="A242" s="166"/>
      <c r="B242" s="169"/>
      <c r="C242" s="94"/>
      <c r="D242" s="149"/>
      <c r="E242" s="149"/>
      <c r="F242" s="95" t="str">
        <f t="shared" si="50"/>
        <v/>
      </c>
      <c r="G242" s="95"/>
      <c r="H242" s="95"/>
      <c r="I242" s="95" t="str">
        <f t="shared" si="47"/>
        <v/>
      </c>
      <c r="J242" s="95" t="str">
        <f t="shared" si="51"/>
        <v/>
      </c>
      <c r="K242" s="95" t="str">
        <f t="shared" si="48"/>
        <v/>
      </c>
      <c r="L242" s="95" t="str">
        <f t="shared" si="49"/>
        <v/>
      </c>
      <c r="M242" s="96" t="str">
        <f t="shared" si="52"/>
        <v/>
      </c>
      <c r="N242" s="174"/>
      <c r="O242" s="29"/>
      <c r="P242" s="97"/>
      <c r="Q242" s="29"/>
      <c r="R242" s="98">
        <f t="shared" si="53"/>
        <v>0</v>
      </c>
      <c r="S242" s="29"/>
      <c r="T242" s="99" t="str">
        <f t="shared" si="54"/>
        <v/>
      </c>
      <c r="U242" s="29"/>
      <c r="V242" s="178"/>
      <c r="W242" s="29"/>
    </row>
    <row r="243" spans="1:23" x14ac:dyDescent="0.25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31"/>
      <c r="S243" s="29"/>
      <c r="T243" s="29"/>
      <c r="U243" s="29"/>
      <c r="V243" s="32"/>
      <c r="W243" s="29"/>
    </row>
    <row r="244" spans="1:23" x14ac:dyDescent="0.25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31"/>
      <c r="S244" s="29"/>
      <c r="T244" s="29"/>
      <c r="U244" s="29"/>
      <c r="V244" s="32"/>
      <c r="W244" s="29"/>
    </row>
    <row r="245" spans="1:23" ht="16.5" thickBot="1" x14ac:dyDescent="0.3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31"/>
      <c r="S245" s="29"/>
      <c r="T245" s="29"/>
      <c r="U245" s="29"/>
      <c r="V245" s="32"/>
      <c r="W245" s="29"/>
    </row>
    <row r="246" spans="1:23" ht="19.5" customHeight="1" thickBot="1" x14ac:dyDescent="0.3">
      <c r="A246" s="164" t="s">
        <v>5</v>
      </c>
      <c r="B246" s="167" t="s">
        <v>26</v>
      </c>
      <c r="C246" s="72" t="s">
        <v>49</v>
      </c>
      <c r="D246" s="72" t="s">
        <v>9</v>
      </c>
      <c r="E246" s="72" t="s">
        <v>10</v>
      </c>
      <c r="F246" s="72" t="s">
        <v>11</v>
      </c>
      <c r="G246" s="72" t="s">
        <v>12</v>
      </c>
      <c r="H246" s="72" t="s">
        <v>13</v>
      </c>
      <c r="I246" s="72" t="s">
        <v>14</v>
      </c>
      <c r="J246" s="72" t="s">
        <v>15</v>
      </c>
      <c r="K246" s="72" t="s">
        <v>34</v>
      </c>
      <c r="L246" s="72" t="s">
        <v>16</v>
      </c>
      <c r="M246" s="72" t="s">
        <v>48</v>
      </c>
      <c r="N246" s="73" t="s">
        <v>17</v>
      </c>
      <c r="O246" s="74"/>
      <c r="P246" s="75" t="s">
        <v>18</v>
      </c>
      <c r="Q246" s="71"/>
      <c r="R246" s="76" t="s">
        <v>35</v>
      </c>
      <c r="S246" s="71"/>
      <c r="T246" s="75" t="s">
        <v>36</v>
      </c>
      <c r="U246" s="71"/>
      <c r="V246" s="77" t="s">
        <v>29</v>
      </c>
      <c r="W246" s="29"/>
    </row>
    <row r="247" spans="1:23" ht="15.75" customHeight="1" x14ac:dyDescent="0.25">
      <c r="A247" s="165"/>
      <c r="B247" s="168"/>
      <c r="C247" s="145"/>
      <c r="D247" s="135" t="s">
        <v>86</v>
      </c>
      <c r="E247" s="135" t="s">
        <v>81</v>
      </c>
      <c r="F247" s="79" t="str">
        <f>IF(AND(C247=""),"",1-C247)</f>
        <v/>
      </c>
      <c r="G247" s="79">
        <v>1.1000000000000001</v>
      </c>
      <c r="H247" s="79">
        <v>6</v>
      </c>
      <c r="I247" s="79" t="str">
        <f t="shared" ref="I247:I256" si="55">IF(AND(C247=""),"",G247*C247)</f>
        <v/>
      </c>
      <c r="J247" s="79" t="str">
        <f>IF(AND(C247=""),"",H247*F247)</f>
        <v/>
      </c>
      <c r="K247" s="79" t="str">
        <f t="shared" ref="K247:K256" si="56">IF(AND(I247=""),"",IF(AND(I247&gt;J247),"T1","T2"))</f>
        <v/>
      </c>
      <c r="L247" s="79" t="str">
        <f t="shared" ref="L247:L256" si="57">IF(AND(J247=""),"",IF(AND(J247&gt;K247),"T1","T2"))</f>
        <v/>
      </c>
      <c r="M247" s="80" t="str">
        <f>IF(L247="","",IF(L247&lt;0.5,K$5*M$2,IF(L247&lt;0.75,K$5*M$3,IF(L247&lt;1,K$5*M$4,IF(L247&lt;1.25,K$5*M$5,IF(L247&lt;1.5,K$5*M$6,IF(L247&lt;2,K$5*M$7,IF(L247&lt;2.5,K$5*M$8,K$5*M$9))))))))</f>
        <v/>
      </c>
      <c r="N247" s="172">
        <f>SUMIF(L247:L256,"&gt;0")</f>
        <v>0</v>
      </c>
      <c r="O247" s="74"/>
      <c r="P247" s="81" t="s">
        <v>52</v>
      </c>
      <c r="Q247" s="74"/>
      <c r="R247" s="82" t="e">
        <f>IF(OR(P247="",L247="NO BET"),0,IF(AND(K247=P247),IF(AND(K247="T2"),ROUNDUP(H247*0.95,2)-M247,ROUNDUP(G247*0.95,2)-M247),-M247))</f>
        <v>#VALUE!</v>
      </c>
      <c r="S247" s="71"/>
      <c r="T247" s="83" t="str">
        <f>IF(AND(P247=""),"",IF(AND(C247&gt;F247),IF(AND(P247="T1"),"a","r"),IF(AND(P247="T2"),"a","r")))</f>
        <v>a</v>
      </c>
      <c r="U247" s="71"/>
      <c r="V247" s="175" t="e">
        <f>SUM(R247:R256)</f>
        <v>#VALUE!</v>
      </c>
      <c r="W247" s="29"/>
    </row>
    <row r="248" spans="1:23" ht="15.75" customHeight="1" x14ac:dyDescent="0.25">
      <c r="A248" s="165"/>
      <c r="B248" s="168"/>
      <c r="C248" s="146"/>
      <c r="D248" s="137" t="s">
        <v>79</v>
      </c>
      <c r="E248" s="137" t="s">
        <v>77</v>
      </c>
      <c r="F248" s="85" t="str">
        <f t="shared" ref="F248:F256" si="58">IF(AND(C248=""),"",1-C248)</f>
        <v/>
      </c>
      <c r="G248" s="85">
        <v>1.37</v>
      </c>
      <c r="H248" s="85">
        <v>3</v>
      </c>
      <c r="I248" s="85" t="str">
        <f t="shared" si="55"/>
        <v/>
      </c>
      <c r="J248" s="85" t="str">
        <f t="shared" ref="J248:J256" si="59">IF(AND(C248=""),"",H248*F248)</f>
        <v/>
      </c>
      <c r="K248" s="85" t="str">
        <f t="shared" si="56"/>
        <v/>
      </c>
      <c r="L248" s="85" t="str">
        <f t="shared" si="57"/>
        <v/>
      </c>
      <c r="M248" s="86" t="str">
        <f t="shared" ref="M248:M256" si="60">IF(L248="","",IF(L248&lt;0.5,K$5*M$2,IF(L248&lt;0.75,K$5*M$3,IF(L248&lt;1,K$5*M$4,IF(L248&lt;1.25,K$5*M$5,IF(L248&lt;1.5,K$5*M$6,IF(L248&lt;2,K$5*M$7,IF(L248&lt;2.5,K$5*M$8,K$5*M$9))))))))</f>
        <v/>
      </c>
      <c r="N248" s="173"/>
      <c r="O248" s="29"/>
      <c r="P248" s="87" t="s">
        <v>53</v>
      </c>
      <c r="Q248" s="71"/>
      <c r="R248" s="88" t="e">
        <f t="shared" ref="R248:R256" si="61">IF(OR(P248="",L248="NO BET"),0,IF(AND(K248=P248),IF(AND(K248="T2"),ROUNDUP(H248*M248*0.95,2)-1,ROUNDUP(G248*M248*0.95,2)-M248),-M248))</f>
        <v>#VALUE!</v>
      </c>
      <c r="S248" s="71"/>
      <c r="T248" s="89" t="str">
        <f t="shared" ref="T248:T256" si="62">IF(AND(P248=""),"",IF(AND(C248&gt;F248),IF(AND(P248="T1"),"a","r"),IF(AND(P248="T2"),"a","r")))</f>
        <v>r</v>
      </c>
      <c r="U248" s="71"/>
      <c r="V248" s="175"/>
      <c r="W248" s="29"/>
    </row>
    <row r="249" spans="1:23" ht="15.75" customHeight="1" x14ac:dyDescent="0.25">
      <c r="A249" s="165"/>
      <c r="B249" s="168"/>
      <c r="C249" s="147"/>
      <c r="D249" s="139" t="s">
        <v>83</v>
      </c>
      <c r="E249" s="139" t="s">
        <v>78</v>
      </c>
      <c r="F249" s="16" t="str">
        <f t="shared" si="58"/>
        <v/>
      </c>
      <c r="G249" s="16">
        <v>1.36</v>
      </c>
      <c r="H249" s="16">
        <v>3</v>
      </c>
      <c r="I249" s="16" t="str">
        <f t="shared" si="55"/>
        <v/>
      </c>
      <c r="J249" s="16" t="str">
        <f t="shared" si="59"/>
        <v/>
      </c>
      <c r="K249" s="16" t="str">
        <f t="shared" si="56"/>
        <v/>
      </c>
      <c r="L249" s="16" t="str">
        <f t="shared" si="57"/>
        <v/>
      </c>
      <c r="M249" s="91" t="str">
        <f t="shared" si="60"/>
        <v/>
      </c>
      <c r="N249" s="173"/>
      <c r="O249" s="74"/>
      <c r="P249" s="87" t="s">
        <v>53</v>
      </c>
      <c r="Q249" s="71"/>
      <c r="R249" s="88" t="e">
        <f t="shared" si="61"/>
        <v>#VALUE!</v>
      </c>
      <c r="S249" s="71"/>
      <c r="T249" s="89" t="str">
        <f t="shared" si="62"/>
        <v>r</v>
      </c>
      <c r="U249" s="71"/>
      <c r="V249" s="175"/>
      <c r="W249" s="29"/>
    </row>
    <row r="250" spans="1:23" ht="15.75" customHeight="1" x14ac:dyDescent="0.25">
      <c r="A250" s="165"/>
      <c r="B250" s="168"/>
      <c r="C250" s="146"/>
      <c r="D250" s="137" t="s">
        <v>88</v>
      </c>
      <c r="E250" s="137" t="s">
        <v>54</v>
      </c>
      <c r="F250" s="85" t="str">
        <f t="shared" si="58"/>
        <v/>
      </c>
      <c r="G250" s="85">
        <v>1.25</v>
      </c>
      <c r="H250" s="85">
        <v>3.75</v>
      </c>
      <c r="I250" s="85" t="str">
        <f t="shared" si="55"/>
        <v/>
      </c>
      <c r="J250" s="85" t="str">
        <f t="shared" si="59"/>
        <v/>
      </c>
      <c r="K250" s="85" t="str">
        <f t="shared" si="56"/>
        <v/>
      </c>
      <c r="L250" s="85" t="str">
        <f t="shared" si="57"/>
        <v/>
      </c>
      <c r="M250" s="86" t="str">
        <f t="shared" si="60"/>
        <v/>
      </c>
      <c r="N250" s="173"/>
      <c r="O250" s="92"/>
      <c r="P250" s="87" t="s">
        <v>52</v>
      </c>
      <c r="Q250" s="71"/>
      <c r="R250" s="88" t="e">
        <f t="shared" si="61"/>
        <v>#VALUE!</v>
      </c>
      <c r="S250" s="71"/>
      <c r="T250" s="89" t="str">
        <f t="shared" si="62"/>
        <v>a</v>
      </c>
      <c r="U250" s="71"/>
      <c r="V250" s="175"/>
      <c r="W250" s="29"/>
    </row>
    <row r="251" spans="1:23" ht="15.75" customHeight="1" x14ac:dyDescent="0.25">
      <c r="A251" s="165"/>
      <c r="B251" s="168"/>
      <c r="C251" s="147"/>
      <c r="D251" s="139" t="s">
        <v>77</v>
      </c>
      <c r="E251" s="139" t="s">
        <v>65</v>
      </c>
      <c r="F251" s="16" t="str">
        <f t="shared" si="58"/>
        <v/>
      </c>
      <c r="G251" s="16">
        <v>4</v>
      </c>
      <c r="H251" s="16">
        <v>1.22</v>
      </c>
      <c r="I251" s="16" t="str">
        <f t="shared" si="55"/>
        <v/>
      </c>
      <c r="J251" s="16" t="str">
        <f t="shared" si="59"/>
        <v/>
      </c>
      <c r="K251" s="16" t="str">
        <f t="shared" si="56"/>
        <v/>
      </c>
      <c r="L251" s="16" t="str">
        <f t="shared" si="57"/>
        <v/>
      </c>
      <c r="M251" s="105" t="str">
        <f t="shared" si="60"/>
        <v/>
      </c>
      <c r="N251" s="173"/>
      <c r="O251" s="92"/>
      <c r="P251" s="87" t="s">
        <v>52</v>
      </c>
      <c r="Q251" s="71"/>
      <c r="R251" s="88" t="e">
        <f t="shared" si="61"/>
        <v>#VALUE!</v>
      </c>
      <c r="S251" s="71"/>
      <c r="T251" s="89" t="str">
        <f t="shared" si="62"/>
        <v>a</v>
      </c>
      <c r="U251" s="71"/>
      <c r="V251" s="175"/>
      <c r="W251" s="29"/>
    </row>
    <row r="252" spans="1:23" ht="15.75" customHeight="1" x14ac:dyDescent="0.25">
      <c r="A252" s="165"/>
      <c r="B252" s="168"/>
      <c r="C252" s="146"/>
      <c r="D252" s="137" t="s">
        <v>81</v>
      </c>
      <c r="E252" s="137" t="s">
        <v>80</v>
      </c>
      <c r="F252" s="85" t="str">
        <f t="shared" si="58"/>
        <v/>
      </c>
      <c r="G252" s="85">
        <v>1.44</v>
      </c>
      <c r="H252" s="85">
        <v>2.62</v>
      </c>
      <c r="I252" s="85" t="str">
        <f t="shared" si="55"/>
        <v/>
      </c>
      <c r="J252" s="85" t="str">
        <f t="shared" si="59"/>
        <v/>
      </c>
      <c r="K252" s="85" t="str">
        <f t="shared" si="56"/>
        <v/>
      </c>
      <c r="L252" s="85" t="str">
        <f t="shared" si="57"/>
        <v/>
      </c>
      <c r="M252" s="86" t="str">
        <f t="shared" si="60"/>
        <v/>
      </c>
      <c r="N252" s="173"/>
      <c r="O252" s="92"/>
      <c r="P252" s="87" t="s">
        <v>53</v>
      </c>
      <c r="Q252" s="71"/>
      <c r="R252" s="88" t="e">
        <f t="shared" si="61"/>
        <v>#VALUE!</v>
      </c>
      <c r="S252" s="71"/>
      <c r="T252" s="89" t="str">
        <f t="shared" si="62"/>
        <v>r</v>
      </c>
      <c r="U252" s="71"/>
      <c r="V252" s="175"/>
      <c r="W252" s="29"/>
    </row>
    <row r="253" spans="1:23" ht="18.75" thickBot="1" x14ac:dyDescent="0.3">
      <c r="A253" s="165"/>
      <c r="B253" s="168"/>
      <c r="C253" s="147"/>
      <c r="D253" s="139" t="s">
        <v>83</v>
      </c>
      <c r="E253" s="139" t="s">
        <v>65</v>
      </c>
      <c r="F253" s="16" t="str">
        <f t="shared" si="58"/>
        <v/>
      </c>
      <c r="G253" s="16">
        <v>5</v>
      </c>
      <c r="H253" s="16">
        <v>1.1399999999999999</v>
      </c>
      <c r="I253" s="16" t="str">
        <f t="shared" si="55"/>
        <v/>
      </c>
      <c r="J253" s="16" t="str">
        <f t="shared" si="59"/>
        <v/>
      </c>
      <c r="K253" s="16" t="str">
        <f t="shared" si="56"/>
        <v/>
      </c>
      <c r="L253" s="16" t="str">
        <f t="shared" si="57"/>
        <v/>
      </c>
      <c r="M253" s="91" t="str">
        <f t="shared" si="60"/>
        <v/>
      </c>
      <c r="N253" s="173"/>
      <c r="O253" s="29"/>
      <c r="P253" s="87" t="s">
        <v>52</v>
      </c>
      <c r="Q253" s="71"/>
      <c r="R253" s="88" t="e">
        <f t="shared" si="61"/>
        <v>#VALUE!</v>
      </c>
      <c r="S253" s="71"/>
      <c r="T253" s="89" t="str">
        <f t="shared" si="62"/>
        <v>a</v>
      </c>
      <c r="U253" s="71"/>
      <c r="V253" s="93" t="s">
        <v>31</v>
      </c>
      <c r="W253" s="29"/>
    </row>
    <row r="254" spans="1:23" ht="18" x14ac:dyDescent="0.25">
      <c r="A254" s="165"/>
      <c r="B254" s="168"/>
      <c r="C254" s="146"/>
      <c r="D254" s="137" t="s">
        <v>54</v>
      </c>
      <c r="E254" s="137" t="s">
        <v>80</v>
      </c>
      <c r="F254" s="85" t="str">
        <f t="shared" si="58"/>
        <v/>
      </c>
      <c r="G254" s="85">
        <v>4.5</v>
      </c>
      <c r="H254" s="85">
        <v>1.1599999999999999</v>
      </c>
      <c r="I254" s="85" t="str">
        <f t="shared" si="55"/>
        <v/>
      </c>
      <c r="J254" s="85" t="str">
        <f t="shared" si="59"/>
        <v/>
      </c>
      <c r="K254" s="85" t="str">
        <f t="shared" si="56"/>
        <v/>
      </c>
      <c r="L254" s="85" t="str">
        <f t="shared" si="57"/>
        <v/>
      </c>
      <c r="M254" s="106" t="str">
        <f t="shared" si="60"/>
        <v/>
      </c>
      <c r="N254" s="173"/>
      <c r="O254" s="29"/>
      <c r="P254" s="87" t="s">
        <v>52</v>
      </c>
      <c r="Q254" s="71"/>
      <c r="R254" s="88" t="e">
        <f t="shared" si="61"/>
        <v>#VALUE!</v>
      </c>
      <c r="S254" s="71"/>
      <c r="T254" s="89" t="str">
        <f t="shared" si="62"/>
        <v>a</v>
      </c>
      <c r="U254" s="71"/>
      <c r="V254" s="176">
        <f>IF(AND(NOT(N247=0)),V247/N247,0)</f>
        <v>0</v>
      </c>
      <c r="W254" s="29"/>
    </row>
    <row r="255" spans="1:23" ht="18" x14ac:dyDescent="0.25">
      <c r="A255" s="165"/>
      <c r="B255" s="168"/>
      <c r="C255" s="147"/>
      <c r="D255" s="139" t="s">
        <v>79</v>
      </c>
      <c r="E255" s="139" t="s">
        <v>88</v>
      </c>
      <c r="F255" s="16" t="str">
        <f t="shared" si="58"/>
        <v/>
      </c>
      <c r="G255" s="16">
        <v>1.57</v>
      </c>
      <c r="H255" s="16">
        <v>2.25</v>
      </c>
      <c r="I255" s="16" t="str">
        <f t="shared" si="55"/>
        <v/>
      </c>
      <c r="J255" s="16" t="str">
        <f t="shared" si="59"/>
        <v/>
      </c>
      <c r="K255" s="16" t="str">
        <f t="shared" si="56"/>
        <v/>
      </c>
      <c r="L255" s="16" t="str">
        <f t="shared" si="57"/>
        <v/>
      </c>
      <c r="M255" s="105" t="str">
        <f t="shared" si="60"/>
        <v/>
      </c>
      <c r="N255" s="173"/>
      <c r="O255" s="29"/>
      <c r="P255" s="87" t="s">
        <v>52</v>
      </c>
      <c r="Q255" s="71"/>
      <c r="R255" s="88" t="e">
        <f t="shared" si="61"/>
        <v>#VALUE!</v>
      </c>
      <c r="S255" s="71"/>
      <c r="T255" s="89" t="str">
        <f t="shared" si="62"/>
        <v>a</v>
      </c>
      <c r="U255" s="71"/>
      <c r="V255" s="177"/>
      <c r="W255" s="29"/>
    </row>
    <row r="256" spans="1:23" ht="18.75" thickBot="1" x14ac:dyDescent="0.3">
      <c r="A256" s="166"/>
      <c r="B256" s="169"/>
      <c r="C256" s="148"/>
      <c r="D256" s="149" t="s">
        <v>78</v>
      </c>
      <c r="E256" s="149" t="s">
        <v>86</v>
      </c>
      <c r="F256" s="95" t="str">
        <f t="shared" si="58"/>
        <v/>
      </c>
      <c r="G256" s="95">
        <v>3.4</v>
      </c>
      <c r="H256" s="95">
        <v>1.3</v>
      </c>
      <c r="I256" s="95" t="str">
        <f t="shared" si="55"/>
        <v/>
      </c>
      <c r="J256" s="95" t="str">
        <f t="shared" si="59"/>
        <v/>
      </c>
      <c r="K256" s="95" t="str">
        <f t="shared" si="56"/>
        <v/>
      </c>
      <c r="L256" s="95" t="str">
        <f t="shared" si="57"/>
        <v/>
      </c>
      <c r="M256" s="96" t="str">
        <f t="shared" si="60"/>
        <v/>
      </c>
      <c r="N256" s="174"/>
      <c r="O256" s="29"/>
      <c r="P256" s="97" t="s">
        <v>52</v>
      </c>
      <c r="Q256" s="29"/>
      <c r="R256" s="98" t="e">
        <f t="shared" si="61"/>
        <v>#VALUE!</v>
      </c>
      <c r="S256" s="29"/>
      <c r="T256" s="99" t="str">
        <f t="shared" si="62"/>
        <v>a</v>
      </c>
      <c r="U256" s="29"/>
      <c r="V256" s="178"/>
      <c r="W256" s="29"/>
    </row>
    <row r="257" spans="1:23" x14ac:dyDescent="0.25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31"/>
      <c r="S257" s="29"/>
      <c r="T257" s="29"/>
      <c r="U257" s="29"/>
      <c r="V257" s="32"/>
      <c r="W257" s="29"/>
    </row>
    <row r="258" spans="1:23" x14ac:dyDescent="0.25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31"/>
      <c r="S258" s="29"/>
      <c r="T258" s="29"/>
      <c r="U258" s="29"/>
      <c r="V258" s="32"/>
      <c r="W258" s="29"/>
    </row>
    <row r="259" spans="1:23" ht="16.5" thickBot="1" x14ac:dyDescent="0.3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31"/>
      <c r="S259" s="29"/>
      <c r="T259" s="29"/>
      <c r="U259" s="29"/>
      <c r="V259" s="32"/>
      <c r="W259" s="29"/>
    </row>
    <row r="260" spans="1:23" ht="19.5" customHeight="1" thickBot="1" x14ac:dyDescent="0.3">
      <c r="A260" s="164" t="s">
        <v>5</v>
      </c>
      <c r="B260" s="167" t="s">
        <v>27</v>
      </c>
      <c r="C260" s="72" t="s">
        <v>49</v>
      </c>
      <c r="D260" s="72" t="s">
        <v>9</v>
      </c>
      <c r="E260" s="72" t="s">
        <v>10</v>
      </c>
      <c r="F260" s="72" t="s">
        <v>11</v>
      </c>
      <c r="G260" s="72" t="s">
        <v>12</v>
      </c>
      <c r="H260" s="72" t="s">
        <v>13</v>
      </c>
      <c r="I260" s="72" t="s">
        <v>14</v>
      </c>
      <c r="J260" s="72" t="s">
        <v>15</v>
      </c>
      <c r="K260" s="72" t="s">
        <v>34</v>
      </c>
      <c r="L260" s="72" t="s">
        <v>16</v>
      </c>
      <c r="M260" s="72" t="s">
        <v>48</v>
      </c>
      <c r="N260" s="73" t="s">
        <v>17</v>
      </c>
      <c r="O260" s="74"/>
      <c r="P260" s="75" t="s">
        <v>18</v>
      </c>
      <c r="Q260" s="71"/>
      <c r="R260" s="76" t="s">
        <v>35</v>
      </c>
      <c r="S260" s="71"/>
      <c r="T260" s="75" t="s">
        <v>36</v>
      </c>
      <c r="U260" s="71"/>
      <c r="V260" s="77" t="s">
        <v>29</v>
      </c>
      <c r="W260" s="29"/>
    </row>
    <row r="261" spans="1:23" ht="15.75" customHeight="1" x14ac:dyDescent="0.25">
      <c r="A261" s="165"/>
      <c r="B261" s="168"/>
      <c r="C261" s="78"/>
      <c r="D261" s="135"/>
      <c r="E261" s="135"/>
      <c r="F261" s="79" t="str">
        <f>IF(AND(C261=""),"",1-C261)</f>
        <v/>
      </c>
      <c r="G261" s="79"/>
      <c r="H261" s="79"/>
      <c r="I261" s="79" t="str">
        <f t="shared" ref="I261:I270" si="63">IF(AND(C261=""),"",G261*C261)</f>
        <v/>
      </c>
      <c r="J261" s="79" t="str">
        <f>IF(AND(C261=""),"",H261*F261)</f>
        <v/>
      </c>
      <c r="K261" s="79" t="str">
        <f t="shared" ref="K261:K270" si="64">IF(AND(I261=""),"",IF(AND(I261&gt;J261),"T1","T2"))</f>
        <v/>
      </c>
      <c r="L261" s="79" t="str">
        <f t="shared" ref="L261:L270" si="65">IF(AND(J261=""),"",IF(AND(J261&gt;K261),"T1","T2"))</f>
        <v/>
      </c>
      <c r="M261" s="80" t="str">
        <f>IF(L261="","",IF(L261&lt;0.5,K$5*M$2,IF(L261&lt;0.75,K$5*M$3,IF(L261&lt;1,K$5*M$4,IF(L261&lt;1.25,K$5*M$5,IF(L261&lt;1.5,K$5*M$6,IF(L261&lt;2,K$5*M$7,IF(L261&lt;2.5,K$5*M$8,K$5*M$9))))))))</f>
        <v/>
      </c>
      <c r="N261" s="172">
        <f>SUMIF(L261:L270,"&gt;0")</f>
        <v>0</v>
      </c>
      <c r="O261" s="74"/>
      <c r="P261" s="81"/>
      <c r="Q261" s="74"/>
      <c r="R261" s="82">
        <f>IF(OR(P261="",L261="NO BET"),0,IF(AND(K261=P261),IF(AND(K261="T2"),ROUNDUP(H261*0.95,2)-M261,ROUNDUP(G261*0.95,2)-M261),-M261))</f>
        <v>0</v>
      </c>
      <c r="S261" s="71"/>
      <c r="T261" s="83" t="str">
        <f>IF(AND(P261=""),"",IF(AND(C261&gt;F261),IF(AND(P261="T1"),"a","r"),IF(AND(P261="T2"),"a","r")))</f>
        <v/>
      </c>
      <c r="U261" s="71"/>
      <c r="V261" s="175">
        <f>SUM(R261:R270)</f>
        <v>0</v>
      </c>
      <c r="W261" s="29"/>
    </row>
    <row r="262" spans="1:23" ht="15.75" customHeight="1" x14ac:dyDescent="0.25">
      <c r="A262" s="165"/>
      <c r="B262" s="168"/>
      <c r="C262" s="84"/>
      <c r="D262" s="137"/>
      <c r="E262" s="137"/>
      <c r="F262" s="85" t="str">
        <f t="shared" ref="F262:F270" si="66">IF(AND(C262=""),"",1-C262)</f>
        <v/>
      </c>
      <c r="G262" s="85"/>
      <c r="H262" s="85"/>
      <c r="I262" s="85" t="str">
        <f t="shared" si="63"/>
        <v/>
      </c>
      <c r="J262" s="85" t="str">
        <f t="shared" ref="J262:J270" si="67">IF(AND(C262=""),"",H262*F262)</f>
        <v/>
      </c>
      <c r="K262" s="85" t="str">
        <f t="shared" si="64"/>
        <v/>
      </c>
      <c r="L262" s="85" t="str">
        <f t="shared" si="65"/>
        <v/>
      </c>
      <c r="M262" s="86" t="str">
        <f t="shared" ref="M262:M270" si="68">IF(L262="","",IF(L262&lt;0.5,K$5*M$2,IF(L262&lt;0.75,K$5*M$3,IF(L262&lt;1,K$5*M$4,IF(L262&lt;1.25,K$5*M$5,IF(L262&lt;1.5,K$5*M$6,IF(L262&lt;2,K$5*M$7,IF(L262&lt;2.5,K$5*M$8,K$5*M$9))))))))</f>
        <v/>
      </c>
      <c r="N262" s="173"/>
      <c r="O262" s="29"/>
      <c r="P262" s="87"/>
      <c r="Q262" s="71"/>
      <c r="R262" s="88">
        <f t="shared" ref="R262:R270" si="69">IF(OR(P262="",L262="NO BET"),0,IF(AND(K262=P262),IF(AND(K262="T2"),ROUNDUP(H262*M262*0.95,2)-1,ROUNDUP(G262*M262*0.95,2)-M262),-M262))</f>
        <v>0</v>
      </c>
      <c r="S262" s="71"/>
      <c r="T262" s="89" t="str">
        <f t="shared" ref="T262:T270" si="70">IF(AND(P262=""),"",IF(AND(C262&gt;F262),IF(AND(P262="T1"),"a","r"),IF(AND(P262="T2"),"a","r")))</f>
        <v/>
      </c>
      <c r="U262" s="71"/>
      <c r="V262" s="175"/>
      <c r="W262" s="29"/>
    </row>
    <row r="263" spans="1:23" ht="15.75" customHeight="1" x14ac:dyDescent="0.25">
      <c r="A263" s="165"/>
      <c r="B263" s="168"/>
      <c r="C263" s="90"/>
      <c r="D263" s="139"/>
      <c r="E263" s="139"/>
      <c r="F263" s="16" t="str">
        <f t="shared" si="66"/>
        <v/>
      </c>
      <c r="G263" s="16"/>
      <c r="H263" s="16"/>
      <c r="I263" s="16" t="str">
        <f t="shared" si="63"/>
        <v/>
      </c>
      <c r="J263" s="16" t="str">
        <f t="shared" si="67"/>
        <v/>
      </c>
      <c r="K263" s="16" t="str">
        <f t="shared" si="64"/>
        <v/>
      </c>
      <c r="L263" s="16" t="str">
        <f t="shared" si="65"/>
        <v/>
      </c>
      <c r="M263" s="91" t="str">
        <f t="shared" si="68"/>
        <v/>
      </c>
      <c r="N263" s="173"/>
      <c r="O263" s="74"/>
      <c r="P263" s="87"/>
      <c r="Q263" s="71"/>
      <c r="R263" s="88">
        <f t="shared" si="69"/>
        <v>0</v>
      </c>
      <c r="S263" s="71"/>
      <c r="T263" s="89" t="str">
        <f t="shared" si="70"/>
        <v/>
      </c>
      <c r="U263" s="71"/>
      <c r="V263" s="175"/>
      <c r="W263" s="29"/>
    </row>
    <row r="264" spans="1:23" ht="15.75" customHeight="1" x14ac:dyDescent="0.25">
      <c r="A264" s="165"/>
      <c r="B264" s="168"/>
      <c r="C264" s="84"/>
      <c r="D264" s="137"/>
      <c r="E264" s="137"/>
      <c r="F264" s="85" t="str">
        <f t="shared" si="66"/>
        <v/>
      </c>
      <c r="G264" s="85"/>
      <c r="H264" s="85"/>
      <c r="I264" s="85" t="str">
        <f t="shared" si="63"/>
        <v/>
      </c>
      <c r="J264" s="85" t="str">
        <f t="shared" si="67"/>
        <v/>
      </c>
      <c r="K264" s="85" t="str">
        <f t="shared" si="64"/>
        <v/>
      </c>
      <c r="L264" s="85" t="str">
        <f t="shared" si="65"/>
        <v/>
      </c>
      <c r="M264" s="86" t="str">
        <f t="shared" si="68"/>
        <v/>
      </c>
      <c r="N264" s="173"/>
      <c r="O264" s="92"/>
      <c r="P264" s="87"/>
      <c r="Q264" s="71"/>
      <c r="R264" s="88">
        <f t="shared" si="69"/>
        <v>0</v>
      </c>
      <c r="S264" s="71"/>
      <c r="T264" s="89" t="str">
        <f t="shared" si="70"/>
        <v/>
      </c>
      <c r="U264" s="71"/>
      <c r="V264" s="175"/>
      <c r="W264" s="29"/>
    </row>
    <row r="265" spans="1:23" ht="15.75" customHeight="1" x14ac:dyDescent="0.25">
      <c r="A265" s="165"/>
      <c r="B265" s="168"/>
      <c r="C265" s="90"/>
      <c r="D265" s="139"/>
      <c r="E265" s="139"/>
      <c r="F265" s="16" t="str">
        <f t="shared" si="66"/>
        <v/>
      </c>
      <c r="G265" s="16"/>
      <c r="H265" s="16"/>
      <c r="I265" s="16" t="str">
        <f t="shared" si="63"/>
        <v/>
      </c>
      <c r="J265" s="16" t="str">
        <f t="shared" si="67"/>
        <v/>
      </c>
      <c r="K265" s="16" t="str">
        <f t="shared" si="64"/>
        <v/>
      </c>
      <c r="L265" s="16" t="str">
        <f t="shared" si="65"/>
        <v/>
      </c>
      <c r="M265" s="105" t="str">
        <f t="shared" si="68"/>
        <v/>
      </c>
      <c r="N265" s="173"/>
      <c r="O265" s="92"/>
      <c r="P265" s="87"/>
      <c r="Q265" s="71"/>
      <c r="R265" s="88">
        <f t="shared" si="69"/>
        <v>0</v>
      </c>
      <c r="S265" s="71"/>
      <c r="T265" s="89" t="str">
        <f t="shared" si="70"/>
        <v/>
      </c>
      <c r="U265" s="71"/>
      <c r="V265" s="175"/>
      <c r="W265" s="29"/>
    </row>
    <row r="266" spans="1:23" ht="15.75" customHeight="1" x14ac:dyDescent="0.25">
      <c r="A266" s="165"/>
      <c r="B266" s="168"/>
      <c r="C266" s="84"/>
      <c r="D266" s="137"/>
      <c r="E266" s="137"/>
      <c r="F266" s="85" t="str">
        <f t="shared" si="66"/>
        <v/>
      </c>
      <c r="G266" s="85"/>
      <c r="H266" s="85"/>
      <c r="I266" s="85" t="str">
        <f t="shared" si="63"/>
        <v/>
      </c>
      <c r="J266" s="85" t="str">
        <f t="shared" si="67"/>
        <v/>
      </c>
      <c r="K266" s="85" t="str">
        <f t="shared" si="64"/>
        <v/>
      </c>
      <c r="L266" s="85" t="str">
        <f t="shared" si="65"/>
        <v/>
      </c>
      <c r="M266" s="86" t="str">
        <f t="shared" si="68"/>
        <v/>
      </c>
      <c r="N266" s="173"/>
      <c r="O266" s="92"/>
      <c r="P266" s="87"/>
      <c r="Q266" s="71"/>
      <c r="R266" s="88">
        <f t="shared" si="69"/>
        <v>0</v>
      </c>
      <c r="S266" s="71"/>
      <c r="T266" s="89" t="str">
        <f t="shared" si="70"/>
        <v/>
      </c>
      <c r="U266" s="71"/>
      <c r="V266" s="175"/>
      <c r="W266" s="29"/>
    </row>
    <row r="267" spans="1:23" ht="18.75" thickBot="1" x14ac:dyDescent="0.3">
      <c r="A267" s="165"/>
      <c r="B267" s="168"/>
      <c r="C267" s="90"/>
      <c r="D267" s="139"/>
      <c r="E267" s="139"/>
      <c r="F267" s="16" t="str">
        <f t="shared" si="66"/>
        <v/>
      </c>
      <c r="G267" s="16"/>
      <c r="H267" s="16"/>
      <c r="I267" s="16" t="str">
        <f t="shared" si="63"/>
        <v/>
      </c>
      <c r="J267" s="16" t="str">
        <f t="shared" si="67"/>
        <v/>
      </c>
      <c r="K267" s="16" t="str">
        <f t="shared" si="64"/>
        <v/>
      </c>
      <c r="L267" s="16" t="str">
        <f t="shared" si="65"/>
        <v/>
      </c>
      <c r="M267" s="91" t="str">
        <f t="shared" si="68"/>
        <v/>
      </c>
      <c r="N267" s="173"/>
      <c r="O267" s="29"/>
      <c r="P267" s="87"/>
      <c r="Q267" s="71"/>
      <c r="R267" s="88">
        <f t="shared" si="69"/>
        <v>0</v>
      </c>
      <c r="S267" s="71"/>
      <c r="T267" s="89" t="str">
        <f t="shared" si="70"/>
        <v/>
      </c>
      <c r="U267" s="71"/>
      <c r="V267" s="93" t="s">
        <v>31</v>
      </c>
      <c r="W267" s="29"/>
    </row>
    <row r="268" spans="1:23" ht="18" x14ac:dyDescent="0.25">
      <c r="A268" s="165"/>
      <c r="B268" s="168"/>
      <c r="C268" s="84"/>
      <c r="D268" s="137"/>
      <c r="E268" s="137"/>
      <c r="F268" s="85" t="str">
        <f t="shared" si="66"/>
        <v/>
      </c>
      <c r="G268" s="85"/>
      <c r="H268" s="85"/>
      <c r="I268" s="85" t="str">
        <f t="shared" si="63"/>
        <v/>
      </c>
      <c r="J268" s="85" t="str">
        <f t="shared" si="67"/>
        <v/>
      </c>
      <c r="K268" s="85" t="str">
        <f t="shared" si="64"/>
        <v/>
      </c>
      <c r="L268" s="85" t="str">
        <f t="shared" si="65"/>
        <v/>
      </c>
      <c r="M268" s="106" t="str">
        <f t="shared" si="68"/>
        <v/>
      </c>
      <c r="N268" s="173"/>
      <c r="O268" s="29"/>
      <c r="P268" s="87"/>
      <c r="Q268" s="71"/>
      <c r="R268" s="88">
        <f t="shared" si="69"/>
        <v>0</v>
      </c>
      <c r="S268" s="71"/>
      <c r="T268" s="89" t="str">
        <f t="shared" si="70"/>
        <v/>
      </c>
      <c r="U268" s="71"/>
      <c r="V268" s="176">
        <f>IF(AND(NOT(N261=0)),V261/N261,0)</f>
        <v>0</v>
      </c>
      <c r="W268" s="29"/>
    </row>
    <row r="269" spans="1:23" ht="18" x14ac:dyDescent="0.25">
      <c r="A269" s="165"/>
      <c r="B269" s="168"/>
      <c r="C269" s="90"/>
      <c r="D269" s="139"/>
      <c r="E269" s="139"/>
      <c r="F269" s="16" t="str">
        <f t="shared" si="66"/>
        <v/>
      </c>
      <c r="G269" s="16"/>
      <c r="H269" s="16"/>
      <c r="I269" s="16" t="str">
        <f t="shared" si="63"/>
        <v/>
      </c>
      <c r="J269" s="16" t="str">
        <f t="shared" si="67"/>
        <v/>
      </c>
      <c r="K269" s="16" t="str">
        <f t="shared" si="64"/>
        <v/>
      </c>
      <c r="L269" s="16" t="str">
        <f t="shared" si="65"/>
        <v/>
      </c>
      <c r="M269" s="105" t="str">
        <f t="shared" si="68"/>
        <v/>
      </c>
      <c r="N269" s="173"/>
      <c r="O269" s="29"/>
      <c r="P269" s="87"/>
      <c r="Q269" s="71"/>
      <c r="R269" s="88">
        <f t="shared" si="69"/>
        <v>0</v>
      </c>
      <c r="S269" s="71"/>
      <c r="T269" s="89" t="str">
        <f t="shared" si="70"/>
        <v/>
      </c>
      <c r="U269" s="71"/>
      <c r="V269" s="177"/>
      <c r="W269" s="29"/>
    </row>
    <row r="270" spans="1:23" ht="18.75" thickBot="1" x14ac:dyDescent="0.3">
      <c r="A270" s="166"/>
      <c r="B270" s="169"/>
      <c r="C270" s="94"/>
      <c r="D270" s="149"/>
      <c r="E270" s="149"/>
      <c r="F270" s="95" t="str">
        <f t="shared" si="66"/>
        <v/>
      </c>
      <c r="G270" s="95"/>
      <c r="H270" s="95"/>
      <c r="I270" s="95" t="str">
        <f t="shared" si="63"/>
        <v/>
      </c>
      <c r="J270" s="95" t="str">
        <f t="shared" si="67"/>
        <v/>
      </c>
      <c r="K270" s="95" t="str">
        <f t="shared" si="64"/>
        <v/>
      </c>
      <c r="L270" s="95" t="str">
        <f t="shared" si="65"/>
        <v/>
      </c>
      <c r="M270" s="96" t="str">
        <f t="shared" si="68"/>
        <v/>
      </c>
      <c r="N270" s="174"/>
      <c r="O270" s="29"/>
      <c r="P270" s="97"/>
      <c r="Q270" s="29"/>
      <c r="R270" s="98">
        <f t="shared" si="69"/>
        <v>0</v>
      </c>
      <c r="S270" s="29"/>
      <c r="T270" s="99" t="str">
        <f t="shared" si="70"/>
        <v/>
      </c>
      <c r="U270" s="29"/>
      <c r="V270" s="178"/>
      <c r="W270" s="29"/>
    </row>
    <row r="271" spans="1:23" x14ac:dyDescent="0.25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31"/>
      <c r="S271" s="29"/>
      <c r="T271" s="29"/>
      <c r="U271" s="29"/>
      <c r="V271" s="32"/>
      <c r="W271" s="29"/>
    </row>
    <row r="272" spans="1:23" x14ac:dyDescent="0.25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31"/>
      <c r="S272" s="29"/>
      <c r="T272" s="29"/>
      <c r="U272" s="29"/>
      <c r="V272" s="32"/>
      <c r="W272" s="29"/>
    </row>
    <row r="273" spans="1:23" ht="16.5" thickBot="1" x14ac:dyDescent="0.3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31"/>
      <c r="S273" s="29"/>
      <c r="T273" s="29"/>
      <c r="U273" s="29"/>
      <c r="V273" s="32"/>
      <c r="W273" s="29"/>
    </row>
    <row r="274" spans="1:23" ht="19.5" customHeight="1" thickBot="1" x14ac:dyDescent="0.3">
      <c r="A274" s="164" t="s">
        <v>5</v>
      </c>
      <c r="B274" s="167" t="s">
        <v>28</v>
      </c>
      <c r="C274" s="72" t="s">
        <v>49</v>
      </c>
      <c r="D274" s="72" t="s">
        <v>9</v>
      </c>
      <c r="E274" s="72" t="s">
        <v>10</v>
      </c>
      <c r="F274" s="72" t="s">
        <v>11</v>
      </c>
      <c r="G274" s="72" t="s">
        <v>12</v>
      </c>
      <c r="H274" s="72" t="s">
        <v>13</v>
      </c>
      <c r="I274" s="72" t="s">
        <v>14</v>
      </c>
      <c r="J274" s="72" t="s">
        <v>15</v>
      </c>
      <c r="K274" s="72" t="s">
        <v>34</v>
      </c>
      <c r="L274" s="72" t="s">
        <v>16</v>
      </c>
      <c r="M274" s="72" t="s">
        <v>48</v>
      </c>
      <c r="N274" s="73" t="s">
        <v>17</v>
      </c>
      <c r="O274" s="74"/>
      <c r="P274" s="75" t="s">
        <v>18</v>
      </c>
      <c r="Q274" s="71"/>
      <c r="R274" s="76" t="s">
        <v>35</v>
      </c>
      <c r="S274" s="71"/>
      <c r="T274" s="75" t="s">
        <v>36</v>
      </c>
      <c r="U274" s="71"/>
      <c r="V274" s="77" t="s">
        <v>29</v>
      </c>
      <c r="W274" s="29"/>
    </row>
    <row r="275" spans="1:23" ht="15.75" customHeight="1" x14ac:dyDescent="0.25">
      <c r="A275" s="165"/>
      <c r="B275" s="168"/>
      <c r="C275" s="78"/>
      <c r="D275" s="79"/>
      <c r="E275" s="79"/>
      <c r="F275" s="79" t="str">
        <f>IF(AND(C275=""),"",1-C275)</f>
        <v/>
      </c>
      <c r="G275" s="79"/>
      <c r="H275" s="79"/>
      <c r="I275" s="79" t="str">
        <f t="shared" ref="I275:I284" si="71">IF(AND(C275=""),"",G275*C275)</f>
        <v/>
      </c>
      <c r="J275" s="79" t="str">
        <f>IF(AND(C275=""),"",H275*F275)</f>
        <v/>
      </c>
      <c r="K275" s="79" t="str">
        <f t="shared" ref="K275:K284" si="72">IF(AND(I275=""),"",IF(AND(I275&gt;J275),"T1","T2"))</f>
        <v/>
      </c>
      <c r="L275" s="79" t="str">
        <f t="shared" ref="L275:L284" si="73">IF(AND(J275=""),"",IF(AND(J275&gt;K275),"T1","T2"))</f>
        <v/>
      </c>
      <c r="M275" s="80" t="str">
        <f>IF(L275="","",IF(L275&lt;0.5,K$5*M$2,IF(L275&lt;0.75,K$5*M$3,IF(L275&lt;1,K$5*M$4,IF(L275&lt;1.25,K$5*M$5,IF(L275&lt;1.5,K$5*M$6,IF(L275&lt;2,K$5*M$7,IF(L275&lt;2.5,K$5*M$8,K$5*M$9))))))))</f>
        <v/>
      </c>
      <c r="N275" s="172">
        <f>SUMIF(L275:L284,"&gt;0")</f>
        <v>0</v>
      </c>
      <c r="O275" s="74"/>
      <c r="P275" s="81"/>
      <c r="Q275" s="74"/>
      <c r="R275" s="82">
        <f>IF(OR(P275="",L275="NO BET"),0,IF(AND(K275=P275),IF(AND(K275="T2"),ROUNDUP(H275*0.95,2)-M275,ROUNDUP(G275*0.95,2)-M275),-M275))</f>
        <v>0</v>
      </c>
      <c r="S275" s="71"/>
      <c r="T275" s="83" t="str">
        <f>IF(AND(P275=""),"",IF(AND(C275&gt;F275),IF(AND(P275="T1"),"a","r"),IF(AND(P275="T2"),"a","r")))</f>
        <v/>
      </c>
      <c r="U275" s="71"/>
      <c r="V275" s="175">
        <f>SUM(R275:R284)</f>
        <v>0</v>
      </c>
      <c r="W275" s="29"/>
    </row>
    <row r="276" spans="1:23" ht="15.75" customHeight="1" x14ac:dyDescent="0.25">
      <c r="A276" s="165"/>
      <c r="B276" s="168"/>
      <c r="C276" s="84"/>
      <c r="D276" s="85"/>
      <c r="E276" s="85"/>
      <c r="F276" s="85" t="str">
        <f t="shared" ref="F276:F284" si="74">IF(AND(C276=""),"",1-C276)</f>
        <v/>
      </c>
      <c r="G276" s="85"/>
      <c r="H276" s="85"/>
      <c r="I276" s="85" t="str">
        <f t="shared" si="71"/>
        <v/>
      </c>
      <c r="J276" s="85" t="str">
        <f t="shared" ref="J276:J284" si="75">IF(AND(C276=""),"",H276*F276)</f>
        <v/>
      </c>
      <c r="K276" s="85" t="str">
        <f t="shared" si="72"/>
        <v/>
      </c>
      <c r="L276" s="85" t="str">
        <f t="shared" si="73"/>
        <v/>
      </c>
      <c r="M276" s="86" t="str">
        <f t="shared" ref="M276:M284" si="76">IF(L276="","",IF(L276&lt;0.5,K$5*M$2,IF(L276&lt;0.75,K$5*M$3,IF(L276&lt;1,K$5*M$4,IF(L276&lt;1.25,K$5*M$5,IF(L276&lt;1.5,K$5*M$6,IF(L276&lt;2,K$5*M$7,IF(L276&lt;2.5,K$5*M$8,K$5*M$9))))))))</f>
        <v/>
      </c>
      <c r="N276" s="173"/>
      <c r="O276" s="29"/>
      <c r="P276" s="87"/>
      <c r="Q276" s="71"/>
      <c r="R276" s="88">
        <f t="shared" ref="R276:R284" si="77">IF(OR(P276="",L276="NO BET"),0,IF(AND(K276=P276),IF(AND(K276="T2"),ROUNDUP(H276*M276*0.95,2)-1,ROUNDUP(G276*M276*0.95,2)-M276),-M276))</f>
        <v>0</v>
      </c>
      <c r="S276" s="71"/>
      <c r="T276" s="89" t="str">
        <f t="shared" ref="T276:T284" si="78">IF(AND(P276=""),"",IF(AND(C276&gt;F276),IF(AND(P276="T1"),"a","r"),IF(AND(P276="T2"),"a","r")))</f>
        <v/>
      </c>
      <c r="U276" s="71"/>
      <c r="V276" s="175"/>
      <c r="W276" s="29"/>
    </row>
    <row r="277" spans="1:23" ht="15.75" customHeight="1" x14ac:dyDescent="0.25">
      <c r="A277" s="165"/>
      <c r="B277" s="168"/>
      <c r="C277" s="90"/>
      <c r="D277" s="16"/>
      <c r="E277" s="16"/>
      <c r="F277" s="16" t="str">
        <f t="shared" si="74"/>
        <v/>
      </c>
      <c r="G277" s="16"/>
      <c r="H277" s="16"/>
      <c r="I277" s="16" t="str">
        <f t="shared" si="71"/>
        <v/>
      </c>
      <c r="J277" s="16" t="str">
        <f t="shared" si="75"/>
        <v/>
      </c>
      <c r="K277" s="16" t="str">
        <f t="shared" si="72"/>
        <v/>
      </c>
      <c r="L277" s="16" t="str">
        <f t="shared" si="73"/>
        <v/>
      </c>
      <c r="M277" s="91" t="str">
        <f t="shared" si="76"/>
        <v/>
      </c>
      <c r="N277" s="173"/>
      <c r="O277" s="74"/>
      <c r="P277" s="87"/>
      <c r="Q277" s="71"/>
      <c r="R277" s="88">
        <f t="shared" si="77"/>
        <v>0</v>
      </c>
      <c r="S277" s="71"/>
      <c r="T277" s="89" t="str">
        <f t="shared" si="78"/>
        <v/>
      </c>
      <c r="U277" s="71"/>
      <c r="V277" s="175"/>
      <c r="W277" s="29"/>
    </row>
    <row r="278" spans="1:23" ht="15.75" customHeight="1" x14ac:dyDescent="0.25">
      <c r="A278" s="165"/>
      <c r="B278" s="168"/>
      <c r="C278" s="84"/>
      <c r="D278" s="85"/>
      <c r="E278" s="85"/>
      <c r="F278" s="85" t="str">
        <f t="shared" si="74"/>
        <v/>
      </c>
      <c r="G278" s="85"/>
      <c r="H278" s="85"/>
      <c r="I278" s="85" t="str">
        <f t="shared" si="71"/>
        <v/>
      </c>
      <c r="J278" s="85" t="str">
        <f t="shared" si="75"/>
        <v/>
      </c>
      <c r="K278" s="85" t="str">
        <f t="shared" si="72"/>
        <v/>
      </c>
      <c r="L278" s="85" t="str">
        <f t="shared" si="73"/>
        <v/>
      </c>
      <c r="M278" s="86" t="str">
        <f t="shared" si="76"/>
        <v/>
      </c>
      <c r="N278" s="173"/>
      <c r="O278" s="92"/>
      <c r="P278" s="87"/>
      <c r="Q278" s="71"/>
      <c r="R278" s="88">
        <f t="shared" si="77"/>
        <v>0</v>
      </c>
      <c r="S278" s="71"/>
      <c r="T278" s="89" t="str">
        <f t="shared" si="78"/>
        <v/>
      </c>
      <c r="U278" s="71"/>
      <c r="V278" s="175"/>
      <c r="W278" s="29"/>
    </row>
    <row r="279" spans="1:23" ht="15.75" customHeight="1" x14ac:dyDescent="0.25">
      <c r="A279" s="165"/>
      <c r="B279" s="168"/>
      <c r="C279" s="90"/>
      <c r="D279" s="16"/>
      <c r="E279" s="16"/>
      <c r="F279" s="16" t="str">
        <f t="shared" si="74"/>
        <v/>
      </c>
      <c r="G279" s="16"/>
      <c r="H279" s="16"/>
      <c r="I279" s="16" t="str">
        <f t="shared" si="71"/>
        <v/>
      </c>
      <c r="J279" s="16" t="str">
        <f t="shared" si="75"/>
        <v/>
      </c>
      <c r="K279" s="16" t="str">
        <f t="shared" si="72"/>
        <v/>
      </c>
      <c r="L279" s="16" t="str">
        <f t="shared" si="73"/>
        <v/>
      </c>
      <c r="M279" s="105" t="str">
        <f t="shared" si="76"/>
        <v/>
      </c>
      <c r="N279" s="173"/>
      <c r="O279" s="92"/>
      <c r="P279" s="87"/>
      <c r="Q279" s="71"/>
      <c r="R279" s="88">
        <f t="shared" si="77"/>
        <v>0</v>
      </c>
      <c r="S279" s="71"/>
      <c r="T279" s="89" t="str">
        <f t="shared" si="78"/>
        <v/>
      </c>
      <c r="U279" s="71"/>
      <c r="V279" s="175"/>
      <c r="W279" s="29"/>
    </row>
    <row r="280" spans="1:23" ht="15.75" customHeight="1" x14ac:dyDescent="0.25">
      <c r="A280" s="165"/>
      <c r="B280" s="168"/>
      <c r="C280" s="84"/>
      <c r="D280" s="85"/>
      <c r="E280" s="85"/>
      <c r="F280" s="85" t="str">
        <f t="shared" si="74"/>
        <v/>
      </c>
      <c r="G280" s="85"/>
      <c r="H280" s="85"/>
      <c r="I280" s="85" t="str">
        <f t="shared" si="71"/>
        <v/>
      </c>
      <c r="J280" s="85" t="str">
        <f t="shared" si="75"/>
        <v/>
      </c>
      <c r="K280" s="85" t="str">
        <f t="shared" si="72"/>
        <v/>
      </c>
      <c r="L280" s="85" t="str">
        <f t="shared" si="73"/>
        <v/>
      </c>
      <c r="M280" s="86" t="str">
        <f t="shared" si="76"/>
        <v/>
      </c>
      <c r="N280" s="173"/>
      <c r="O280" s="92"/>
      <c r="P280" s="87"/>
      <c r="Q280" s="71"/>
      <c r="R280" s="88">
        <f t="shared" si="77"/>
        <v>0</v>
      </c>
      <c r="S280" s="71"/>
      <c r="T280" s="89" t="str">
        <f t="shared" si="78"/>
        <v/>
      </c>
      <c r="U280" s="71"/>
      <c r="V280" s="175"/>
      <c r="W280" s="29"/>
    </row>
    <row r="281" spans="1:23" ht="18.75" thickBot="1" x14ac:dyDescent="0.3">
      <c r="A281" s="165"/>
      <c r="B281" s="168"/>
      <c r="C281" s="90"/>
      <c r="D281" s="16"/>
      <c r="E281" s="16"/>
      <c r="F281" s="16" t="str">
        <f t="shared" si="74"/>
        <v/>
      </c>
      <c r="G281" s="16"/>
      <c r="H281" s="16"/>
      <c r="I281" s="16" t="str">
        <f t="shared" si="71"/>
        <v/>
      </c>
      <c r="J281" s="16" t="str">
        <f t="shared" si="75"/>
        <v/>
      </c>
      <c r="K281" s="16" t="str">
        <f t="shared" si="72"/>
        <v/>
      </c>
      <c r="L281" s="16" t="str">
        <f t="shared" si="73"/>
        <v/>
      </c>
      <c r="M281" s="91" t="str">
        <f t="shared" si="76"/>
        <v/>
      </c>
      <c r="N281" s="173"/>
      <c r="O281" s="29"/>
      <c r="P281" s="87"/>
      <c r="Q281" s="71"/>
      <c r="R281" s="88">
        <f t="shared" si="77"/>
        <v>0</v>
      </c>
      <c r="S281" s="71"/>
      <c r="T281" s="89" t="str">
        <f t="shared" si="78"/>
        <v/>
      </c>
      <c r="U281" s="71"/>
      <c r="V281" s="93" t="s">
        <v>31</v>
      </c>
      <c r="W281" s="29"/>
    </row>
    <row r="282" spans="1:23" ht="18" x14ac:dyDescent="0.25">
      <c r="A282" s="165"/>
      <c r="B282" s="168"/>
      <c r="C282" s="84"/>
      <c r="D282" s="85"/>
      <c r="E282" s="85"/>
      <c r="F282" s="85" t="str">
        <f t="shared" si="74"/>
        <v/>
      </c>
      <c r="G282" s="85"/>
      <c r="H282" s="85"/>
      <c r="I282" s="85" t="str">
        <f t="shared" si="71"/>
        <v/>
      </c>
      <c r="J282" s="85" t="str">
        <f t="shared" si="75"/>
        <v/>
      </c>
      <c r="K282" s="85" t="str">
        <f t="shared" si="72"/>
        <v/>
      </c>
      <c r="L282" s="85" t="str">
        <f t="shared" si="73"/>
        <v/>
      </c>
      <c r="M282" s="106" t="str">
        <f t="shared" si="76"/>
        <v/>
      </c>
      <c r="N282" s="173"/>
      <c r="O282" s="29"/>
      <c r="P282" s="87"/>
      <c r="Q282" s="71"/>
      <c r="R282" s="88">
        <f t="shared" si="77"/>
        <v>0</v>
      </c>
      <c r="S282" s="71"/>
      <c r="T282" s="89" t="str">
        <f t="shared" si="78"/>
        <v/>
      </c>
      <c r="U282" s="71"/>
      <c r="V282" s="176">
        <f>IF(AND(NOT(N275=0)),V275/N275,0)</f>
        <v>0</v>
      </c>
      <c r="W282" s="29"/>
    </row>
    <row r="283" spans="1:23" ht="18" x14ac:dyDescent="0.25">
      <c r="A283" s="165"/>
      <c r="B283" s="168"/>
      <c r="C283" s="90"/>
      <c r="D283" s="16"/>
      <c r="E283" s="16"/>
      <c r="F283" s="16" t="str">
        <f t="shared" si="74"/>
        <v/>
      </c>
      <c r="G283" s="16"/>
      <c r="H283" s="16"/>
      <c r="I283" s="16" t="str">
        <f t="shared" si="71"/>
        <v/>
      </c>
      <c r="J283" s="16" t="str">
        <f t="shared" si="75"/>
        <v/>
      </c>
      <c r="K283" s="16" t="str">
        <f t="shared" si="72"/>
        <v/>
      </c>
      <c r="L283" s="16" t="str">
        <f t="shared" si="73"/>
        <v/>
      </c>
      <c r="M283" s="105" t="str">
        <f t="shared" si="76"/>
        <v/>
      </c>
      <c r="N283" s="173"/>
      <c r="O283" s="29"/>
      <c r="P283" s="87"/>
      <c r="Q283" s="71"/>
      <c r="R283" s="88">
        <f t="shared" si="77"/>
        <v>0</v>
      </c>
      <c r="S283" s="71"/>
      <c r="T283" s="89" t="str">
        <f t="shared" si="78"/>
        <v/>
      </c>
      <c r="U283" s="71"/>
      <c r="V283" s="177"/>
      <c r="W283" s="29"/>
    </row>
    <row r="284" spans="1:23" ht="18.75" thickBot="1" x14ac:dyDescent="0.3">
      <c r="A284" s="166"/>
      <c r="B284" s="169"/>
      <c r="C284" s="94"/>
      <c r="D284" s="95"/>
      <c r="E284" s="95"/>
      <c r="F284" s="95" t="str">
        <f t="shared" si="74"/>
        <v/>
      </c>
      <c r="G284" s="95"/>
      <c r="H284" s="95"/>
      <c r="I284" s="95" t="str">
        <f t="shared" si="71"/>
        <v/>
      </c>
      <c r="J284" s="95" t="str">
        <f t="shared" si="75"/>
        <v/>
      </c>
      <c r="K284" s="95" t="str">
        <f t="shared" si="72"/>
        <v/>
      </c>
      <c r="L284" s="95" t="str">
        <f t="shared" si="73"/>
        <v/>
      </c>
      <c r="M284" s="96" t="str">
        <f t="shared" si="76"/>
        <v/>
      </c>
      <c r="N284" s="174"/>
      <c r="O284" s="29"/>
      <c r="P284" s="97"/>
      <c r="Q284" s="29"/>
      <c r="R284" s="98">
        <f t="shared" si="77"/>
        <v>0</v>
      </c>
      <c r="S284" s="29"/>
      <c r="T284" s="99" t="str">
        <f t="shared" si="78"/>
        <v/>
      </c>
      <c r="U284" s="29"/>
      <c r="V284" s="178"/>
      <c r="W284" s="29"/>
    </row>
    <row r="285" spans="1:23" x14ac:dyDescent="0.25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31"/>
      <c r="S285" s="29"/>
      <c r="T285" s="29"/>
      <c r="U285" s="29"/>
      <c r="V285" s="32"/>
      <c r="W285" s="29"/>
    </row>
    <row r="286" spans="1:23" x14ac:dyDescent="0.25">
      <c r="A286" s="111"/>
      <c r="B286" s="111"/>
      <c r="C286" s="111"/>
      <c r="D286" s="111"/>
      <c r="E286" s="111"/>
      <c r="F286" s="111"/>
      <c r="G286" s="111"/>
      <c r="H286" s="111"/>
      <c r="I286" s="111"/>
      <c r="J286" s="111"/>
      <c r="K286" s="111"/>
      <c r="L286" s="111"/>
      <c r="M286" s="111"/>
      <c r="N286" s="111"/>
      <c r="O286" s="111"/>
      <c r="P286" s="111"/>
      <c r="Q286" s="111"/>
      <c r="R286" s="112"/>
      <c r="S286" s="111"/>
      <c r="T286" s="111"/>
      <c r="U286" s="111"/>
      <c r="V286" s="113"/>
      <c r="W286" s="29"/>
    </row>
    <row r="287" spans="1:23" x14ac:dyDescent="0.25">
      <c r="A287" s="111"/>
      <c r="B287" s="111"/>
      <c r="C287" s="111"/>
      <c r="D287" s="111"/>
      <c r="E287" s="111"/>
      <c r="F287" s="111"/>
      <c r="G287" s="111"/>
      <c r="H287" s="111"/>
      <c r="I287" s="111"/>
      <c r="J287" s="111"/>
      <c r="K287" s="111"/>
      <c r="L287" s="111"/>
      <c r="M287" s="111"/>
      <c r="N287" s="111"/>
      <c r="O287" s="111"/>
      <c r="P287" s="111"/>
      <c r="Q287" s="111"/>
      <c r="R287" s="112"/>
      <c r="S287" s="111"/>
      <c r="T287" s="111"/>
      <c r="U287" s="111"/>
      <c r="V287" s="113"/>
      <c r="W287" s="29"/>
    </row>
    <row r="288" spans="1:23" x14ac:dyDescent="0.25">
      <c r="A288" s="111"/>
      <c r="B288" s="111"/>
      <c r="C288" s="111"/>
      <c r="D288" s="111"/>
      <c r="E288" s="111"/>
      <c r="F288" s="111"/>
      <c r="G288" s="111"/>
      <c r="H288" s="111"/>
      <c r="I288" s="111"/>
      <c r="J288" s="111"/>
      <c r="K288" s="111"/>
      <c r="L288" s="111"/>
      <c r="M288" s="111"/>
      <c r="N288" s="111"/>
      <c r="O288" s="111"/>
      <c r="P288" s="111"/>
      <c r="Q288" s="111"/>
      <c r="R288" s="112"/>
      <c r="S288" s="111"/>
      <c r="T288" s="111"/>
      <c r="U288" s="111"/>
      <c r="V288" s="113"/>
      <c r="W288" s="29"/>
    </row>
    <row r="289" spans="1:23" x14ac:dyDescent="0.25">
      <c r="A289" s="111"/>
      <c r="B289" s="111"/>
      <c r="C289" s="111"/>
      <c r="D289" s="111"/>
      <c r="E289" s="111"/>
      <c r="F289" s="111"/>
      <c r="G289" s="111"/>
      <c r="H289" s="111"/>
      <c r="I289" s="111"/>
      <c r="J289" s="111"/>
      <c r="K289" s="111"/>
      <c r="L289" s="111"/>
      <c r="M289" s="111"/>
      <c r="N289" s="111"/>
      <c r="O289" s="111"/>
      <c r="P289" s="111"/>
      <c r="Q289" s="111"/>
      <c r="R289" s="112"/>
      <c r="S289" s="111"/>
      <c r="T289" s="111"/>
      <c r="U289" s="111"/>
      <c r="V289" s="113"/>
      <c r="W289" s="29"/>
    </row>
    <row r="290" spans="1:23" x14ac:dyDescent="0.25">
      <c r="A290" s="111"/>
      <c r="B290" s="111"/>
      <c r="C290" s="111"/>
      <c r="D290" s="111"/>
      <c r="E290" s="111"/>
      <c r="F290" s="111"/>
      <c r="G290" s="111"/>
      <c r="H290" s="111"/>
      <c r="I290" s="111"/>
      <c r="J290" s="111"/>
      <c r="K290" s="111"/>
      <c r="L290" s="111"/>
      <c r="M290" s="111"/>
      <c r="N290" s="111"/>
      <c r="O290" s="111"/>
      <c r="P290" s="111"/>
      <c r="Q290" s="111"/>
      <c r="R290" s="112"/>
      <c r="S290" s="111"/>
      <c r="T290" s="111"/>
      <c r="U290" s="111"/>
      <c r="V290" s="113"/>
      <c r="W290" s="29"/>
    </row>
    <row r="291" spans="1:23" x14ac:dyDescent="0.25">
      <c r="A291" s="111"/>
      <c r="B291" s="111"/>
      <c r="C291" s="111"/>
      <c r="D291" s="111"/>
      <c r="E291" s="111"/>
      <c r="F291" s="111"/>
      <c r="G291" s="111"/>
      <c r="H291" s="111"/>
      <c r="I291" s="111"/>
      <c r="J291" s="111"/>
      <c r="K291" s="111"/>
      <c r="L291" s="111"/>
      <c r="M291" s="111"/>
      <c r="N291" s="111"/>
      <c r="O291" s="111"/>
      <c r="P291" s="111"/>
      <c r="Q291" s="111"/>
      <c r="R291" s="112"/>
      <c r="S291" s="111"/>
      <c r="T291" s="111"/>
      <c r="U291" s="111"/>
      <c r="V291" s="113"/>
      <c r="W291" s="29"/>
    </row>
    <row r="292" spans="1:23" x14ac:dyDescent="0.25">
      <c r="A292" s="111"/>
      <c r="B292" s="111"/>
      <c r="C292" s="111"/>
      <c r="D292" s="111"/>
      <c r="E292" s="111"/>
      <c r="F292" s="111"/>
      <c r="G292" s="111"/>
      <c r="H292" s="111"/>
      <c r="I292" s="111"/>
      <c r="J292" s="111"/>
      <c r="K292" s="111"/>
      <c r="L292" s="111"/>
      <c r="M292" s="111"/>
      <c r="N292" s="111"/>
      <c r="O292" s="111"/>
      <c r="P292" s="111"/>
      <c r="Q292" s="111"/>
      <c r="R292" s="112"/>
      <c r="S292" s="111"/>
      <c r="T292" s="111"/>
      <c r="U292" s="111"/>
      <c r="V292" s="113"/>
      <c r="W292" s="29"/>
    </row>
    <row r="293" spans="1:23" x14ac:dyDescent="0.25">
      <c r="A293" s="111"/>
      <c r="B293" s="111"/>
      <c r="C293" s="111"/>
      <c r="D293" s="111"/>
      <c r="E293" s="111"/>
      <c r="F293" s="111"/>
      <c r="G293" s="111"/>
      <c r="H293" s="111"/>
      <c r="I293" s="111"/>
      <c r="J293" s="111"/>
      <c r="K293" s="111"/>
      <c r="L293" s="111"/>
      <c r="M293" s="111"/>
      <c r="N293" s="111"/>
      <c r="O293" s="111"/>
      <c r="P293" s="111"/>
      <c r="Q293" s="111"/>
      <c r="R293" s="112"/>
      <c r="S293" s="111"/>
      <c r="T293" s="111"/>
      <c r="U293" s="111"/>
      <c r="V293" s="113"/>
      <c r="W293" s="29"/>
    </row>
    <row r="294" spans="1:23" x14ac:dyDescent="0.25">
      <c r="A294" s="111"/>
      <c r="B294" s="111"/>
      <c r="C294" s="111"/>
      <c r="D294" s="111"/>
      <c r="E294" s="111"/>
      <c r="F294" s="111"/>
      <c r="G294" s="111"/>
      <c r="H294" s="111"/>
      <c r="I294" s="111"/>
      <c r="J294" s="111"/>
      <c r="K294" s="111"/>
      <c r="L294" s="111"/>
      <c r="M294" s="111"/>
      <c r="N294" s="111"/>
      <c r="O294" s="111"/>
      <c r="P294" s="111"/>
      <c r="Q294" s="111"/>
      <c r="R294" s="112"/>
      <c r="S294" s="111"/>
      <c r="T294" s="111"/>
      <c r="U294" s="111"/>
      <c r="V294" s="113"/>
      <c r="W294" s="29"/>
    </row>
    <row r="295" spans="1:23" x14ac:dyDescent="0.25">
      <c r="A295" s="111"/>
      <c r="B295" s="111"/>
      <c r="C295" s="111"/>
      <c r="D295" s="111"/>
      <c r="E295" s="111"/>
      <c r="F295" s="111"/>
      <c r="G295" s="111"/>
      <c r="H295" s="111"/>
      <c r="I295" s="111"/>
      <c r="J295" s="111"/>
      <c r="K295" s="111"/>
      <c r="L295" s="111"/>
      <c r="M295" s="111"/>
      <c r="N295" s="111"/>
      <c r="O295" s="111"/>
      <c r="P295" s="111"/>
      <c r="Q295" s="111"/>
      <c r="R295" s="112"/>
      <c r="S295" s="111"/>
      <c r="T295" s="111"/>
      <c r="U295" s="111"/>
      <c r="V295" s="113"/>
      <c r="W295" s="29"/>
    </row>
    <row r="296" spans="1:23" x14ac:dyDescent="0.25">
      <c r="A296" s="111"/>
      <c r="B296" s="111"/>
      <c r="C296" s="111"/>
      <c r="D296" s="111"/>
      <c r="E296" s="111"/>
      <c r="F296" s="111"/>
      <c r="G296" s="111"/>
      <c r="H296" s="111"/>
      <c r="I296" s="111"/>
      <c r="J296" s="111"/>
      <c r="K296" s="111"/>
      <c r="L296" s="111"/>
      <c r="M296" s="111"/>
      <c r="N296" s="111"/>
      <c r="O296" s="111"/>
      <c r="P296" s="111"/>
      <c r="Q296" s="111"/>
      <c r="R296" s="112"/>
      <c r="S296" s="111"/>
      <c r="T296" s="111"/>
      <c r="U296" s="111"/>
      <c r="V296" s="113"/>
      <c r="W296" s="29"/>
    </row>
    <row r="297" spans="1:23" x14ac:dyDescent="0.25">
      <c r="A297" s="111"/>
      <c r="B297" s="111"/>
      <c r="C297" s="111"/>
      <c r="D297" s="111"/>
      <c r="E297" s="111"/>
      <c r="F297" s="111"/>
      <c r="G297" s="111"/>
      <c r="H297" s="111"/>
      <c r="I297" s="111"/>
      <c r="J297" s="111"/>
      <c r="K297" s="111"/>
      <c r="L297" s="111"/>
      <c r="M297" s="111"/>
      <c r="N297" s="111"/>
      <c r="O297" s="111"/>
      <c r="P297" s="111"/>
      <c r="Q297" s="111"/>
      <c r="R297" s="112"/>
      <c r="S297" s="111"/>
      <c r="T297" s="111"/>
      <c r="U297" s="111"/>
      <c r="V297" s="113"/>
      <c r="W297" s="29"/>
    </row>
    <row r="298" spans="1:23" x14ac:dyDescent="0.25">
      <c r="A298" s="111"/>
      <c r="B298" s="111"/>
      <c r="C298" s="111"/>
      <c r="D298" s="111"/>
      <c r="E298" s="111"/>
      <c r="F298" s="111"/>
      <c r="G298" s="111"/>
      <c r="H298" s="111"/>
      <c r="I298" s="111"/>
      <c r="J298" s="111"/>
      <c r="K298" s="111"/>
      <c r="L298" s="111"/>
      <c r="M298" s="111"/>
      <c r="N298" s="111"/>
      <c r="O298" s="111"/>
      <c r="P298" s="111"/>
      <c r="Q298" s="111"/>
      <c r="R298" s="112"/>
      <c r="S298" s="111"/>
      <c r="T298" s="111"/>
      <c r="U298" s="111"/>
      <c r="V298" s="113"/>
      <c r="W298" s="29"/>
    </row>
    <row r="299" spans="1:23" x14ac:dyDescent="0.25">
      <c r="A299" s="111"/>
      <c r="B299" s="111"/>
      <c r="C299" s="111"/>
      <c r="D299" s="111"/>
      <c r="E299" s="111"/>
      <c r="F299" s="111"/>
      <c r="G299" s="111"/>
      <c r="H299" s="111"/>
      <c r="I299" s="111"/>
      <c r="J299" s="111"/>
      <c r="K299" s="111"/>
      <c r="L299" s="111"/>
      <c r="M299" s="111"/>
      <c r="N299" s="111"/>
      <c r="O299" s="111"/>
      <c r="P299" s="111"/>
      <c r="Q299" s="111"/>
      <c r="R299" s="112"/>
      <c r="S299" s="111"/>
      <c r="T299" s="111"/>
      <c r="U299" s="111"/>
      <c r="V299" s="113"/>
      <c r="W299" s="29"/>
    </row>
    <row r="300" spans="1:23" x14ac:dyDescent="0.25">
      <c r="A300" s="111"/>
      <c r="B300" s="111"/>
      <c r="C300" s="111"/>
      <c r="D300" s="111"/>
      <c r="E300" s="111"/>
      <c r="F300" s="111"/>
      <c r="G300" s="111"/>
      <c r="H300" s="111"/>
      <c r="I300" s="111"/>
      <c r="J300" s="111"/>
      <c r="K300" s="111"/>
      <c r="L300" s="111"/>
      <c r="M300" s="111"/>
      <c r="N300" s="111"/>
      <c r="O300" s="111"/>
      <c r="P300" s="111"/>
      <c r="Q300" s="111"/>
      <c r="R300" s="112"/>
      <c r="S300" s="111"/>
      <c r="T300" s="111"/>
      <c r="U300" s="111"/>
      <c r="V300" s="113"/>
      <c r="W300" s="29"/>
    </row>
    <row r="301" spans="1:23" x14ac:dyDescent="0.25">
      <c r="A301" s="111"/>
      <c r="B301" s="111"/>
      <c r="C301" s="111"/>
      <c r="D301" s="111"/>
      <c r="E301" s="111"/>
      <c r="F301" s="111"/>
      <c r="G301" s="111"/>
      <c r="H301" s="111"/>
      <c r="I301" s="111"/>
      <c r="J301" s="111"/>
      <c r="K301" s="111"/>
      <c r="L301" s="111"/>
      <c r="M301" s="111"/>
      <c r="N301" s="111"/>
      <c r="O301" s="111"/>
      <c r="P301" s="111"/>
      <c r="Q301" s="111"/>
      <c r="R301" s="112"/>
      <c r="S301" s="111"/>
      <c r="T301" s="111"/>
      <c r="U301" s="111"/>
      <c r="V301" s="113"/>
      <c r="W301" s="29"/>
    </row>
    <row r="302" spans="1:23" x14ac:dyDescent="0.25">
      <c r="A302" s="111"/>
      <c r="B302" s="111"/>
      <c r="C302" s="111"/>
      <c r="D302" s="111"/>
      <c r="E302" s="111"/>
      <c r="F302" s="111"/>
      <c r="G302" s="111"/>
      <c r="H302" s="111"/>
      <c r="I302" s="111"/>
      <c r="J302" s="111"/>
      <c r="K302" s="111"/>
      <c r="L302" s="111"/>
      <c r="M302" s="111"/>
      <c r="N302" s="111"/>
      <c r="O302" s="111"/>
      <c r="P302" s="111"/>
      <c r="Q302" s="111"/>
      <c r="R302" s="112"/>
      <c r="S302" s="111"/>
      <c r="T302" s="111"/>
      <c r="U302" s="111"/>
      <c r="V302" s="113"/>
      <c r="W302" s="29"/>
    </row>
    <row r="303" spans="1:23" ht="16.5" thickBot="1" x14ac:dyDescent="0.3">
      <c r="A303" s="29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71"/>
      <c r="R303" s="31"/>
      <c r="S303" s="29"/>
      <c r="T303" s="29"/>
      <c r="U303" s="71"/>
      <c r="V303" s="32"/>
      <c r="W303" s="29"/>
    </row>
    <row r="304" spans="1:23" ht="19.5" customHeight="1" thickBot="1" x14ac:dyDescent="0.3">
      <c r="A304" s="114" t="s">
        <v>6</v>
      </c>
      <c r="B304" s="167" t="s">
        <v>8</v>
      </c>
      <c r="C304" s="72" t="s">
        <v>49</v>
      </c>
      <c r="D304" s="72" t="s">
        <v>9</v>
      </c>
      <c r="E304" s="72" t="s">
        <v>10</v>
      </c>
      <c r="F304" s="72" t="s">
        <v>11</v>
      </c>
      <c r="G304" s="72" t="s">
        <v>12</v>
      </c>
      <c r="H304" s="72" t="s">
        <v>13</v>
      </c>
      <c r="I304" s="72" t="s">
        <v>14</v>
      </c>
      <c r="J304" s="72" t="s">
        <v>15</v>
      </c>
      <c r="K304" s="72" t="s">
        <v>34</v>
      </c>
      <c r="L304" s="72" t="s">
        <v>16</v>
      </c>
      <c r="M304" s="72" t="s">
        <v>48</v>
      </c>
      <c r="N304" s="73" t="s">
        <v>17</v>
      </c>
      <c r="P304" s="75" t="s">
        <v>18</v>
      </c>
      <c r="R304" s="76" t="s">
        <v>35</v>
      </c>
      <c r="T304" s="75" t="s">
        <v>36</v>
      </c>
      <c r="U304" s="71"/>
      <c r="V304" s="77" t="s">
        <v>29</v>
      </c>
      <c r="W304" s="29"/>
    </row>
    <row r="305" spans="1:23" ht="18" customHeight="1" x14ac:dyDescent="0.25">
      <c r="A305" s="115"/>
      <c r="B305" s="168"/>
      <c r="C305" s="145">
        <v>0.4</v>
      </c>
      <c r="D305" s="135" t="s">
        <v>73</v>
      </c>
      <c r="E305" s="135" t="s">
        <v>82</v>
      </c>
      <c r="F305" s="79">
        <f>IF(AND(C305=""),"",1-C305)</f>
        <v>0.6</v>
      </c>
      <c r="G305" s="79">
        <v>1.8</v>
      </c>
      <c r="H305" s="79">
        <v>1.9</v>
      </c>
      <c r="I305" s="79">
        <f>IF(AND(C305=""),"",G305*C305)</f>
        <v>0.72000000000000008</v>
      </c>
      <c r="J305" s="79">
        <f>IF(AND(C305=""),"",H305*F305)</f>
        <v>1.1399999999999999</v>
      </c>
      <c r="K305" s="79" t="str">
        <f t="shared" ref="K305:K314" si="79">IF(AND(I305=""),"",IF(AND(I305&gt;J305),"T1","T2"))</f>
        <v>T2</v>
      </c>
      <c r="L305" s="79" t="str">
        <f t="shared" ref="L305:L314" si="80">IF(AND(J305=""),"",IF(AND(J305&gt;K305),"T1","T2"))</f>
        <v>T2</v>
      </c>
      <c r="M305" s="80">
        <f>IF(L305="","",IF(L305&lt;0.5,K$5*M$2,IF(L305&lt;0.75,K$5*M$3,IF(L305&lt;1,K$5*M$4,IF(L305&lt;1.25,K$5*M$5,IF(L305&lt;1.5,K$5*M$6,IF(L305&lt;2,K$5*M$7,IF(L305&lt;2.5,K$5*M$8,K$5*M$9))))))))</f>
        <v>300</v>
      </c>
      <c r="N305" s="172">
        <f>SUMIF(L305:L314,"&gt;0")</f>
        <v>0</v>
      </c>
      <c r="P305" s="81" t="s">
        <v>53</v>
      </c>
      <c r="R305" s="82">
        <f>IF(OR(P305="",L305="NO BET"),0,IF(AND(K305=P305),IF(AND(K305="T2"),ROUNDUP(H305*0.95,2)-M305,ROUNDUP(G305*0.95,2)-M305),-M305))</f>
        <v>-300</v>
      </c>
      <c r="T305" s="83" t="str">
        <f>IF(AND(P305=""),"",IF(AND(C305&gt;F305),IF(AND(P305="T1"),"a","r"),IF(AND(P305="T2"),"a","r")))</f>
        <v>r</v>
      </c>
      <c r="U305" s="71"/>
      <c r="V305" s="175">
        <f>SUM(R305:R314)</f>
        <v>1288.25</v>
      </c>
      <c r="W305" s="29"/>
    </row>
    <row r="306" spans="1:23" ht="18" customHeight="1" x14ac:dyDescent="0.25">
      <c r="A306" s="179" t="s">
        <v>55</v>
      </c>
      <c r="B306" s="168"/>
      <c r="C306" s="146">
        <v>0.28999999999999998</v>
      </c>
      <c r="D306" s="137" t="s">
        <v>94</v>
      </c>
      <c r="E306" s="137" t="s">
        <v>76</v>
      </c>
      <c r="F306" s="85">
        <f t="shared" ref="F306:F314" si="81">IF(AND(C306=""),"",1-C306)</f>
        <v>0.71</v>
      </c>
      <c r="G306" s="85">
        <v>1.5</v>
      </c>
      <c r="H306" s="85">
        <v>2.5</v>
      </c>
      <c r="I306" s="85">
        <f t="shared" ref="I306:I314" si="82">IF(AND(C306=""),"",G306*C306)</f>
        <v>0.43499999999999994</v>
      </c>
      <c r="J306" s="85">
        <f t="shared" ref="J306:J314" si="83">IF(AND(C306=""),"",H306*F306)</f>
        <v>1.7749999999999999</v>
      </c>
      <c r="K306" s="85" t="str">
        <f t="shared" si="79"/>
        <v>T2</v>
      </c>
      <c r="L306" s="85" t="str">
        <f t="shared" si="80"/>
        <v>T2</v>
      </c>
      <c r="M306" s="86">
        <f t="shared" ref="M306:M314" si="84">IF(L306="","",IF(L306&lt;0.5,K$5*M$2,IF(L306&lt;0.75,K$5*M$3,IF(L306&lt;1,K$5*M$4,IF(L306&lt;1.25,K$5*M$5,IF(L306&lt;1.5,K$5*M$6,IF(L306&lt;2,K$5*M$7,IF(L306&lt;2.5,K$5*M$8,K$5*M$9))))))))</f>
        <v>300</v>
      </c>
      <c r="N306" s="173"/>
      <c r="P306" s="87" t="s">
        <v>52</v>
      </c>
      <c r="R306" s="88">
        <f t="shared" ref="R306:R314" si="85">IF(OR(P306="",L306="NO BET"),0,IF(AND(K306=P306),IF(AND(K306="T2"),ROUNDUP(H306*M306*0.95,2)-1,ROUNDUP(G306*M306*0.95,2)-M306),-M306))</f>
        <v>711.5</v>
      </c>
      <c r="T306" s="89" t="str">
        <f t="shared" ref="T306:T314" si="86">IF(AND(P306=""),"",IF(AND(C306&gt;F306),IF(AND(P306="T1"),"a","r"),IF(AND(P306="T2"),"a","r")))</f>
        <v>a</v>
      </c>
      <c r="U306" s="71"/>
      <c r="V306" s="175"/>
      <c r="W306" s="29"/>
    </row>
    <row r="307" spans="1:23" ht="18" customHeight="1" x14ac:dyDescent="0.25">
      <c r="A307" s="179"/>
      <c r="B307" s="168"/>
      <c r="C307" s="147">
        <v>0.54</v>
      </c>
      <c r="D307" s="139" t="s">
        <v>93</v>
      </c>
      <c r="E307" s="139" t="s">
        <v>75</v>
      </c>
      <c r="F307" s="16">
        <f t="shared" si="81"/>
        <v>0.45999999999999996</v>
      </c>
      <c r="G307" s="16">
        <v>1.4</v>
      </c>
      <c r="H307" s="16">
        <v>2.75</v>
      </c>
      <c r="I307" s="16">
        <f t="shared" si="82"/>
        <v>0.75600000000000001</v>
      </c>
      <c r="J307" s="16">
        <f t="shared" si="83"/>
        <v>1.2649999999999999</v>
      </c>
      <c r="K307" s="16" t="str">
        <f t="shared" si="79"/>
        <v>T2</v>
      </c>
      <c r="L307" s="16" t="str">
        <f t="shared" si="80"/>
        <v>T2</v>
      </c>
      <c r="M307" s="91">
        <f t="shared" si="84"/>
        <v>300</v>
      </c>
      <c r="N307" s="173"/>
      <c r="P307" s="87" t="s">
        <v>52</v>
      </c>
      <c r="R307" s="88">
        <f t="shared" si="85"/>
        <v>782.75</v>
      </c>
      <c r="T307" s="89" t="str">
        <f t="shared" si="86"/>
        <v>r</v>
      </c>
      <c r="U307" s="71"/>
      <c r="V307" s="175"/>
      <c r="W307" s="29"/>
    </row>
    <row r="308" spans="1:23" ht="18" customHeight="1" x14ac:dyDescent="0.25">
      <c r="A308" s="179"/>
      <c r="B308" s="168"/>
      <c r="C308" s="146">
        <v>0.42</v>
      </c>
      <c r="D308" s="137" t="s">
        <v>85</v>
      </c>
      <c r="E308" s="137" t="s">
        <v>87</v>
      </c>
      <c r="F308" s="85">
        <f t="shared" si="81"/>
        <v>0.58000000000000007</v>
      </c>
      <c r="G308" s="85">
        <v>2.5</v>
      </c>
      <c r="H308" s="85">
        <v>1.5</v>
      </c>
      <c r="I308" s="85">
        <f t="shared" si="82"/>
        <v>1.05</v>
      </c>
      <c r="J308" s="85">
        <f t="shared" si="83"/>
        <v>0.87000000000000011</v>
      </c>
      <c r="K308" s="85" t="str">
        <f t="shared" si="79"/>
        <v>T1</v>
      </c>
      <c r="L308" s="85" t="str">
        <f t="shared" si="80"/>
        <v>T2</v>
      </c>
      <c r="M308" s="86">
        <f t="shared" si="84"/>
        <v>300</v>
      </c>
      <c r="N308" s="173"/>
      <c r="P308" s="87" t="s">
        <v>52</v>
      </c>
      <c r="R308" s="88">
        <f t="shared" si="85"/>
        <v>-300</v>
      </c>
      <c r="T308" s="89" t="str">
        <f t="shared" si="86"/>
        <v>a</v>
      </c>
      <c r="U308" s="71"/>
      <c r="V308" s="175"/>
      <c r="W308" s="29"/>
    </row>
    <row r="309" spans="1:23" ht="18" customHeight="1" x14ac:dyDescent="0.25">
      <c r="A309" s="179"/>
      <c r="B309" s="168"/>
      <c r="C309" s="147">
        <v>0.42</v>
      </c>
      <c r="D309" s="139" t="s">
        <v>71</v>
      </c>
      <c r="E309" s="139" t="s">
        <v>90</v>
      </c>
      <c r="F309" s="16">
        <f t="shared" si="81"/>
        <v>0.58000000000000007</v>
      </c>
      <c r="G309" s="16">
        <v>1.4</v>
      </c>
      <c r="H309" s="16">
        <v>2.75</v>
      </c>
      <c r="I309" s="16">
        <f t="shared" si="82"/>
        <v>0.58799999999999997</v>
      </c>
      <c r="J309" s="16">
        <f t="shared" si="83"/>
        <v>1.5950000000000002</v>
      </c>
      <c r="K309" s="16" t="str">
        <f t="shared" si="79"/>
        <v>T2</v>
      </c>
      <c r="L309" s="16" t="str">
        <f t="shared" si="80"/>
        <v>T2</v>
      </c>
      <c r="M309" s="105">
        <f t="shared" si="84"/>
        <v>300</v>
      </c>
      <c r="N309" s="173"/>
      <c r="P309" s="87" t="s">
        <v>53</v>
      </c>
      <c r="R309" s="88">
        <f t="shared" si="85"/>
        <v>-300</v>
      </c>
      <c r="T309" s="89" t="str">
        <f t="shared" si="86"/>
        <v>r</v>
      </c>
      <c r="U309" s="71"/>
      <c r="V309" s="175"/>
      <c r="W309" s="29"/>
    </row>
    <row r="310" spans="1:23" ht="18" customHeight="1" x14ac:dyDescent="0.25">
      <c r="A310" s="179"/>
      <c r="B310" s="168"/>
      <c r="C310" s="146">
        <v>0.54</v>
      </c>
      <c r="D310" s="137" t="s">
        <v>75</v>
      </c>
      <c r="E310" s="137" t="s">
        <v>94</v>
      </c>
      <c r="F310" s="85">
        <f t="shared" si="81"/>
        <v>0.45999999999999996</v>
      </c>
      <c r="G310" s="85">
        <v>2.25</v>
      </c>
      <c r="H310" s="85">
        <v>1.57</v>
      </c>
      <c r="I310" s="85">
        <f t="shared" si="82"/>
        <v>1.2150000000000001</v>
      </c>
      <c r="J310" s="85">
        <f t="shared" si="83"/>
        <v>0.72219999999999995</v>
      </c>
      <c r="K310" s="85" t="str">
        <f t="shared" si="79"/>
        <v>T1</v>
      </c>
      <c r="L310" s="85" t="str">
        <f t="shared" si="80"/>
        <v>T2</v>
      </c>
      <c r="M310" s="86">
        <f t="shared" si="84"/>
        <v>300</v>
      </c>
      <c r="N310" s="173"/>
      <c r="P310" s="87" t="s">
        <v>52</v>
      </c>
      <c r="R310" s="88">
        <f t="shared" si="85"/>
        <v>-300</v>
      </c>
      <c r="T310" s="89" t="str">
        <f t="shared" si="86"/>
        <v>r</v>
      </c>
      <c r="U310" s="71"/>
      <c r="V310" s="175"/>
      <c r="W310" s="29"/>
    </row>
    <row r="311" spans="1:23" ht="18.75" thickBot="1" x14ac:dyDescent="0.3">
      <c r="A311" s="179"/>
      <c r="B311" s="168"/>
      <c r="C311" s="147">
        <v>0.42</v>
      </c>
      <c r="D311" s="139" t="s">
        <v>90</v>
      </c>
      <c r="E311" s="139" t="s">
        <v>93</v>
      </c>
      <c r="F311" s="16">
        <f t="shared" si="81"/>
        <v>0.58000000000000007</v>
      </c>
      <c r="G311" s="16">
        <v>1.66</v>
      </c>
      <c r="H311" s="16">
        <v>2.1</v>
      </c>
      <c r="I311" s="16">
        <f t="shared" si="82"/>
        <v>0.69719999999999993</v>
      </c>
      <c r="J311" s="16">
        <f t="shared" si="83"/>
        <v>1.2180000000000002</v>
      </c>
      <c r="K311" s="16" t="str">
        <f t="shared" si="79"/>
        <v>T2</v>
      </c>
      <c r="L311" s="16" t="str">
        <f t="shared" si="80"/>
        <v>T2</v>
      </c>
      <c r="M311" s="91">
        <f t="shared" si="84"/>
        <v>300</v>
      </c>
      <c r="N311" s="173"/>
      <c r="P311" s="87" t="s">
        <v>52</v>
      </c>
      <c r="R311" s="88">
        <f t="shared" si="85"/>
        <v>597.5</v>
      </c>
      <c r="T311" s="89" t="str">
        <f t="shared" si="86"/>
        <v>a</v>
      </c>
      <c r="U311" s="71"/>
      <c r="V311" s="93" t="s">
        <v>31</v>
      </c>
      <c r="W311" s="29"/>
    </row>
    <row r="312" spans="1:23" ht="18.75" customHeight="1" x14ac:dyDescent="0.25">
      <c r="A312" s="179"/>
      <c r="B312" s="168"/>
      <c r="C312" s="146">
        <v>0.42</v>
      </c>
      <c r="D312" s="137" t="s">
        <v>71</v>
      </c>
      <c r="E312" s="137" t="s">
        <v>76</v>
      </c>
      <c r="F312" s="85">
        <f t="shared" si="81"/>
        <v>0.58000000000000007</v>
      </c>
      <c r="G312" s="85">
        <v>4.33</v>
      </c>
      <c r="H312" s="85">
        <v>1.2</v>
      </c>
      <c r="I312" s="85">
        <f t="shared" si="82"/>
        <v>1.8186</v>
      </c>
      <c r="J312" s="85">
        <f t="shared" si="83"/>
        <v>0.69600000000000006</v>
      </c>
      <c r="K312" s="85" t="str">
        <f t="shared" si="79"/>
        <v>T1</v>
      </c>
      <c r="L312" s="85" t="str">
        <f t="shared" si="80"/>
        <v>T2</v>
      </c>
      <c r="M312" s="106">
        <f t="shared" si="84"/>
        <v>300</v>
      </c>
      <c r="N312" s="173"/>
      <c r="P312" s="87" t="s">
        <v>52</v>
      </c>
      <c r="R312" s="88">
        <f t="shared" si="85"/>
        <v>-300</v>
      </c>
      <c r="T312" s="89" t="str">
        <f t="shared" si="86"/>
        <v>a</v>
      </c>
      <c r="U312" s="71"/>
      <c r="V312" s="176">
        <f>IF(AND(NOT(N305=0)),V305/N305,0)</f>
        <v>0</v>
      </c>
      <c r="W312" s="29"/>
    </row>
    <row r="313" spans="1:23" ht="18" customHeight="1" x14ac:dyDescent="0.25">
      <c r="A313" s="179"/>
      <c r="B313" s="168"/>
      <c r="C313" s="147">
        <v>0.4</v>
      </c>
      <c r="D313" s="139" t="s">
        <v>73</v>
      </c>
      <c r="E313" s="139" t="s">
        <v>85</v>
      </c>
      <c r="F313" s="16">
        <f t="shared" si="81"/>
        <v>0.6</v>
      </c>
      <c r="G313" s="16">
        <v>1.28</v>
      </c>
      <c r="H313" s="16">
        <v>3.5</v>
      </c>
      <c r="I313" s="16">
        <f t="shared" si="82"/>
        <v>0.51200000000000001</v>
      </c>
      <c r="J313" s="16">
        <f t="shared" si="83"/>
        <v>2.1</v>
      </c>
      <c r="K313" s="16" t="str">
        <f t="shared" si="79"/>
        <v>T2</v>
      </c>
      <c r="L313" s="16" t="str">
        <f t="shared" si="80"/>
        <v>T2</v>
      </c>
      <c r="M313" s="105">
        <f t="shared" si="84"/>
        <v>300</v>
      </c>
      <c r="N313" s="173"/>
      <c r="P313" s="87" t="s">
        <v>52</v>
      </c>
      <c r="R313" s="88">
        <f t="shared" si="85"/>
        <v>996.5</v>
      </c>
      <c r="T313" s="89" t="str">
        <f t="shared" si="86"/>
        <v>a</v>
      </c>
      <c r="U313" s="71"/>
      <c r="V313" s="177"/>
      <c r="W313" s="29"/>
    </row>
    <row r="314" spans="1:23" ht="18.75" customHeight="1" thickBot="1" x14ac:dyDescent="0.3">
      <c r="A314" s="180"/>
      <c r="B314" s="169"/>
      <c r="C314" s="148">
        <v>0.28999999999999998</v>
      </c>
      <c r="D314" s="149" t="s">
        <v>82</v>
      </c>
      <c r="E314" s="149" t="s">
        <v>87</v>
      </c>
      <c r="F314" s="95">
        <f t="shared" si="81"/>
        <v>0.71</v>
      </c>
      <c r="G314" s="95">
        <v>1.66</v>
      </c>
      <c r="H314" s="95">
        <v>2.1</v>
      </c>
      <c r="I314" s="95">
        <f t="shared" si="82"/>
        <v>0.48139999999999994</v>
      </c>
      <c r="J314" s="95">
        <f t="shared" si="83"/>
        <v>1.4909999999999999</v>
      </c>
      <c r="K314" s="95" t="str">
        <f t="shared" si="79"/>
        <v>T2</v>
      </c>
      <c r="L314" s="95" t="str">
        <f t="shared" si="80"/>
        <v>T2</v>
      </c>
      <c r="M314" s="96">
        <f t="shared" si="84"/>
        <v>300</v>
      </c>
      <c r="N314" s="174"/>
      <c r="P314" s="97" t="s">
        <v>53</v>
      </c>
      <c r="R314" s="98">
        <f t="shared" si="85"/>
        <v>-300</v>
      </c>
      <c r="T314" s="99" t="str">
        <f t="shared" si="86"/>
        <v>r</v>
      </c>
      <c r="U314" s="29"/>
      <c r="V314" s="178"/>
      <c r="W314" s="29"/>
    </row>
    <row r="315" spans="1:23" x14ac:dyDescent="0.25">
      <c r="A315" s="29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71"/>
      <c r="R315" s="31"/>
      <c r="S315" s="29"/>
      <c r="T315" s="29"/>
      <c r="U315" s="71"/>
      <c r="V315" s="32"/>
      <c r="W315" s="29"/>
    </row>
    <row r="316" spans="1:23" x14ac:dyDescent="0.25">
      <c r="A316" s="29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31"/>
      <c r="S316" s="29"/>
      <c r="T316" s="29"/>
      <c r="U316" s="29"/>
      <c r="V316" s="32"/>
      <c r="W316" s="29"/>
    </row>
    <row r="317" spans="1:23" ht="16.5" thickBot="1" x14ac:dyDescent="0.3">
      <c r="A317" s="29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31"/>
      <c r="S317" s="29"/>
      <c r="T317" s="29"/>
      <c r="U317" s="29"/>
      <c r="V317" s="32"/>
      <c r="W317" s="29"/>
    </row>
    <row r="318" spans="1:23" ht="19.5" customHeight="1" thickBot="1" x14ac:dyDescent="0.3">
      <c r="A318" s="114" t="s">
        <v>6</v>
      </c>
      <c r="B318" s="167" t="s">
        <v>20</v>
      </c>
      <c r="C318" s="72" t="s">
        <v>49</v>
      </c>
      <c r="D318" s="72" t="s">
        <v>9</v>
      </c>
      <c r="E318" s="72" t="s">
        <v>10</v>
      </c>
      <c r="F318" s="72" t="s">
        <v>11</v>
      </c>
      <c r="G318" s="72" t="s">
        <v>12</v>
      </c>
      <c r="H318" s="72" t="s">
        <v>13</v>
      </c>
      <c r="I318" s="72" t="s">
        <v>14</v>
      </c>
      <c r="J318" s="72" t="s">
        <v>15</v>
      </c>
      <c r="K318" s="72" t="s">
        <v>34</v>
      </c>
      <c r="L318" s="72" t="s">
        <v>16</v>
      </c>
      <c r="M318" s="72" t="s">
        <v>48</v>
      </c>
      <c r="N318" s="73" t="s">
        <v>17</v>
      </c>
      <c r="O318" s="74"/>
      <c r="P318" s="75" t="s">
        <v>18</v>
      </c>
      <c r="Q318" s="71"/>
      <c r="R318" s="76" t="s">
        <v>35</v>
      </c>
      <c r="S318" s="71"/>
      <c r="T318" s="75" t="s">
        <v>36</v>
      </c>
      <c r="U318" s="71"/>
      <c r="V318" s="77" t="s">
        <v>29</v>
      </c>
      <c r="W318" s="29"/>
    </row>
    <row r="319" spans="1:23" ht="15.75" customHeight="1" x14ac:dyDescent="0.25">
      <c r="A319" s="115"/>
      <c r="B319" s="168"/>
      <c r="C319" s="145">
        <v>0.73</v>
      </c>
      <c r="D319" s="150" t="s">
        <v>75</v>
      </c>
      <c r="E319" s="150" t="s">
        <v>73</v>
      </c>
      <c r="F319" s="79">
        <f>IF(AND(C319=""),"",1-C319)</f>
        <v>0.27</v>
      </c>
      <c r="G319" s="79">
        <v>3</v>
      </c>
      <c r="H319" s="79">
        <v>1.36</v>
      </c>
      <c r="I319" s="79">
        <f>IF(AND(C319=""),"",G319*C319)</f>
        <v>2.19</v>
      </c>
      <c r="J319" s="79">
        <f>IF(AND(C319=""),"",H319*F319)</f>
        <v>0.36720000000000003</v>
      </c>
      <c r="K319" s="79" t="str">
        <f t="shared" ref="K319:K328" si="87">IF(AND(I319=""),"",IF(AND(I319&gt;J319),"T1","T2"))</f>
        <v>T1</v>
      </c>
      <c r="L319" s="79" t="str">
        <f t="shared" ref="L319:L328" si="88">IF(AND(J319=""),"",IF(AND(J319&gt;K319),"T1","T2"))</f>
        <v>T2</v>
      </c>
      <c r="M319" s="80">
        <f>IF(L319="","",IF(L319&lt;0.5,K$5*M$2,IF(L319&lt;0.75,K$5*M$3,IF(L319&lt;1,K$5*M$4,IF(L319&lt;1.25,K$5*M$5,IF(L319&lt;1.5,K$5*M$6,IF(L319&lt;2,K$5*M$7,IF(L319&lt;2.5,K$5*M$8,K$5*M$9))))))))</f>
        <v>300</v>
      </c>
      <c r="N319" s="172">
        <f>SUMIF(L319:L328,"&gt;0")</f>
        <v>0</v>
      </c>
      <c r="O319" s="74"/>
      <c r="P319" s="81" t="s">
        <v>53</v>
      </c>
      <c r="Q319" s="74"/>
      <c r="R319" s="82">
        <f>IF(OR(P319="",L319="NO BET"),0,IF(AND(K319=P319),IF(AND(K319="T2"),ROUNDUP(H319*0.95,2)-M319,ROUNDUP(G319*0.95,2)-M319),-M319))</f>
        <v>-297.14999999999998</v>
      </c>
      <c r="S319" s="71"/>
      <c r="T319" s="83" t="str">
        <f>IF(AND(P319=""),"",IF(AND(C319&gt;F319),IF(AND(P319="T1"),"a","r"),IF(AND(P319="T2"),"a","r")))</f>
        <v>a</v>
      </c>
      <c r="U319" s="71"/>
      <c r="V319" s="175">
        <f>SUM(R319:R328)</f>
        <v>-196.10000000000008</v>
      </c>
      <c r="W319" s="29"/>
    </row>
    <row r="320" spans="1:23" ht="15.75" customHeight="1" x14ac:dyDescent="0.25">
      <c r="A320" s="179" t="s">
        <v>6</v>
      </c>
      <c r="B320" s="168"/>
      <c r="C320" s="146">
        <v>0.86</v>
      </c>
      <c r="D320" s="125" t="s">
        <v>90</v>
      </c>
      <c r="E320" s="125" t="s">
        <v>85</v>
      </c>
      <c r="F320" s="85">
        <f t="shared" ref="F320:F328" si="89">IF(AND(C320=""),"",1-C320)</f>
        <v>0.14000000000000001</v>
      </c>
      <c r="G320" s="85">
        <v>1.53</v>
      </c>
      <c r="H320" s="85">
        <v>2.37</v>
      </c>
      <c r="I320" s="85">
        <f t="shared" ref="I320:I328" si="90">IF(AND(C320=""),"",G320*C320)</f>
        <v>1.3158000000000001</v>
      </c>
      <c r="J320" s="85">
        <f t="shared" ref="J320:J328" si="91">IF(AND(C320=""),"",H320*F320)</f>
        <v>0.33180000000000004</v>
      </c>
      <c r="K320" s="85" t="str">
        <f t="shared" si="87"/>
        <v>T1</v>
      </c>
      <c r="L320" s="85" t="str">
        <f t="shared" si="88"/>
        <v>T2</v>
      </c>
      <c r="M320" s="86">
        <f t="shared" ref="M320:M328" si="92">IF(L320="","",IF(L320&lt;0.5,K$5*M$2,IF(L320&lt;0.75,K$5*M$3,IF(L320&lt;1,K$5*M$4,IF(L320&lt;1.25,K$5*M$5,IF(L320&lt;1.5,K$5*M$6,IF(L320&lt;2,K$5*M$7,IF(L320&lt;2.5,K$5*M$8,K$5*M$9))))))))</f>
        <v>300</v>
      </c>
      <c r="N320" s="173"/>
      <c r="O320" s="29"/>
      <c r="P320" s="87" t="s">
        <v>52</v>
      </c>
      <c r="Q320" s="71"/>
      <c r="R320" s="88">
        <f t="shared" ref="R320:R328" si="93">IF(OR(P320="",L320="NO BET"),0,IF(AND(K320=P320),IF(AND(K320="T2"),ROUNDUP(H320*M320*0.95,2)-1,ROUNDUP(G320*M320*0.95,2)-M320),-M320))</f>
        <v>-300</v>
      </c>
      <c r="S320" s="71"/>
      <c r="T320" s="89" t="str">
        <f t="shared" ref="T320:T328" si="94">IF(AND(P320=""),"",IF(AND(C320&gt;F320),IF(AND(P320="T1"),"a","r"),IF(AND(P320="T2"),"a","r")))</f>
        <v>r</v>
      </c>
      <c r="U320" s="71"/>
      <c r="V320" s="175"/>
      <c r="W320" s="29"/>
    </row>
    <row r="321" spans="1:23" ht="15.75" customHeight="1" x14ac:dyDescent="0.25">
      <c r="A321" s="179"/>
      <c r="B321" s="168"/>
      <c r="C321" s="147">
        <v>0.09</v>
      </c>
      <c r="D321" s="116" t="s">
        <v>82</v>
      </c>
      <c r="E321" s="116" t="s">
        <v>76</v>
      </c>
      <c r="F321" s="16">
        <f t="shared" si="89"/>
        <v>0.91</v>
      </c>
      <c r="G321" s="16">
        <v>1.36</v>
      </c>
      <c r="H321" s="16">
        <v>3</v>
      </c>
      <c r="I321" s="16">
        <f t="shared" si="90"/>
        <v>0.12240000000000001</v>
      </c>
      <c r="J321" s="16">
        <f t="shared" si="91"/>
        <v>2.73</v>
      </c>
      <c r="K321" s="16" t="str">
        <f t="shared" si="87"/>
        <v>T2</v>
      </c>
      <c r="L321" s="16" t="str">
        <f t="shared" si="88"/>
        <v>T2</v>
      </c>
      <c r="M321" s="91">
        <f t="shared" si="92"/>
        <v>300</v>
      </c>
      <c r="N321" s="173"/>
      <c r="O321" s="74"/>
      <c r="P321" s="87" t="s">
        <v>53</v>
      </c>
      <c r="Q321" s="71"/>
      <c r="R321" s="88">
        <f t="shared" si="93"/>
        <v>-300</v>
      </c>
      <c r="S321" s="71"/>
      <c r="T321" s="89" t="str">
        <f t="shared" si="94"/>
        <v>r</v>
      </c>
      <c r="U321" s="71"/>
      <c r="V321" s="175"/>
      <c r="W321" s="29"/>
    </row>
    <row r="322" spans="1:23" ht="15.75" customHeight="1" x14ac:dyDescent="0.25">
      <c r="A322" s="179"/>
      <c r="B322" s="168"/>
      <c r="C322" s="146">
        <v>0.81</v>
      </c>
      <c r="D322" s="125" t="s">
        <v>71</v>
      </c>
      <c r="E322" s="125" t="s">
        <v>94</v>
      </c>
      <c r="F322" s="85">
        <f t="shared" si="89"/>
        <v>0.18999999999999995</v>
      </c>
      <c r="G322" s="85">
        <v>2.75</v>
      </c>
      <c r="H322" s="85">
        <v>1.4</v>
      </c>
      <c r="I322" s="85">
        <f t="shared" si="90"/>
        <v>2.2275</v>
      </c>
      <c r="J322" s="85">
        <f t="shared" si="91"/>
        <v>0.2659999999999999</v>
      </c>
      <c r="K322" s="85" t="str">
        <f t="shared" si="87"/>
        <v>T1</v>
      </c>
      <c r="L322" s="85" t="str">
        <f t="shared" si="88"/>
        <v>T2</v>
      </c>
      <c r="M322" s="86">
        <f t="shared" si="92"/>
        <v>300</v>
      </c>
      <c r="N322" s="173"/>
      <c r="O322" s="92"/>
      <c r="P322" s="87" t="s">
        <v>52</v>
      </c>
      <c r="Q322" s="71"/>
      <c r="R322" s="88">
        <f t="shared" si="93"/>
        <v>-300</v>
      </c>
      <c r="S322" s="71"/>
      <c r="T322" s="89" t="str">
        <f t="shared" si="94"/>
        <v>r</v>
      </c>
      <c r="U322" s="71"/>
      <c r="V322" s="175"/>
      <c r="W322" s="29"/>
    </row>
    <row r="323" spans="1:23" ht="15.75" customHeight="1" x14ac:dyDescent="0.25">
      <c r="A323" s="179"/>
      <c r="B323" s="168"/>
      <c r="C323" s="147">
        <v>0.26</v>
      </c>
      <c r="D323" s="116" t="s">
        <v>93</v>
      </c>
      <c r="E323" s="116" t="s">
        <v>87</v>
      </c>
      <c r="F323" s="16">
        <f t="shared" si="89"/>
        <v>0.74</v>
      </c>
      <c r="G323" s="16">
        <v>1.5</v>
      </c>
      <c r="H323" s="16">
        <v>2.5</v>
      </c>
      <c r="I323" s="16">
        <f t="shared" si="90"/>
        <v>0.39</v>
      </c>
      <c r="J323" s="16">
        <f t="shared" si="91"/>
        <v>1.85</v>
      </c>
      <c r="K323" s="16" t="str">
        <f t="shared" si="87"/>
        <v>T2</v>
      </c>
      <c r="L323" s="16" t="str">
        <f t="shared" si="88"/>
        <v>T2</v>
      </c>
      <c r="M323" s="105">
        <f t="shared" si="92"/>
        <v>300</v>
      </c>
      <c r="N323" s="173"/>
      <c r="O323" s="92"/>
      <c r="P323" s="87" t="s">
        <v>52</v>
      </c>
      <c r="Q323" s="71"/>
      <c r="R323" s="88">
        <f t="shared" si="93"/>
        <v>711.5</v>
      </c>
      <c r="S323" s="71"/>
      <c r="T323" s="89" t="str">
        <f t="shared" si="94"/>
        <v>a</v>
      </c>
      <c r="U323" s="71"/>
      <c r="V323" s="175"/>
      <c r="W323" s="29"/>
    </row>
    <row r="324" spans="1:23" ht="15.75" customHeight="1" x14ac:dyDescent="0.25">
      <c r="A324" s="179"/>
      <c r="B324" s="168"/>
      <c r="C324" s="146">
        <v>0.65</v>
      </c>
      <c r="D324" s="125" t="s">
        <v>75</v>
      </c>
      <c r="E324" s="125" t="s">
        <v>76</v>
      </c>
      <c r="F324" s="85">
        <f t="shared" si="89"/>
        <v>0.35</v>
      </c>
      <c r="G324" s="85">
        <v>2</v>
      </c>
      <c r="H324" s="85">
        <v>1.72</v>
      </c>
      <c r="I324" s="85">
        <f t="shared" si="90"/>
        <v>1.3</v>
      </c>
      <c r="J324" s="85">
        <f t="shared" si="91"/>
        <v>0.60199999999999998</v>
      </c>
      <c r="K324" s="85" t="str">
        <f t="shared" si="87"/>
        <v>T1</v>
      </c>
      <c r="L324" s="85" t="str">
        <f t="shared" si="88"/>
        <v>T2</v>
      </c>
      <c r="M324" s="86">
        <f t="shared" si="92"/>
        <v>300</v>
      </c>
      <c r="N324" s="173"/>
      <c r="O324" s="92"/>
      <c r="P324" s="87" t="s">
        <v>95</v>
      </c>
      <c r="Q324" s="71"/>
      <c r="R324" s="88">
        <f t="shared" si="93"/>
        <v>270</v>
      </c>
      <c r="S324" s="71"/>
      <c r="T324" s="89" t="str">
        <f t="shared" si="94"/>
        <v>a</v>
      </c>
      <c r="U324" s="71"/>
      <c r="V324" s="175"/>
      <c r="W324" s="29"/>
    </row>
    <row r="325" spans="1:23" ht="18.75" thickBot="1" x14ac:dyDescent="0.3">
      <c r="A325" s="179"/>
      <c r="B325" s="168"/>
      <c r="C325" s="147">
        <v>0.33</v>
      </c>
      <c r="D325" s="116" t="s">
        <v>85</v>
      </c>
      <c r="E325" s="116" t="s">
        <v>93</v>
      </c>
      <c r="F325" s="16">
        <f t="shared" si="89"/>
        <v>0.66999999999999993</v>
      </c>
      <c r="G325" s="16">
        <v>1.83</v>
      </c>
      <c r="H325" s="16">
        <v>1.83</v>
      </c>
      <c r="I325" s="16">
        <f t="shared" si="90"/>
        <v>0.6039000000000001</v>
      </c>
      <c r="J325" s="16">
        <f t="shared" si="91"/>
        <v>1.2261</v>
      </c>
      <c r="K325" s="16" t="str">
        <f t="shared" si="87"/>
        <v>T2</v>
      </c>
      <c r="L325" s="16" t="str">
        <f t="shared" si="88"/>
        <v>T2</v>
      </c>
      <c r="M325" s="91">
        <f t="shared" si="92"/>
        <v>300</v>
      </c>
      <c r="N325" s="173"/>
      <c r="O325" s="29"/>
      <c r="P325" s="87" t="s">
        <v>95</v>
      </c>
      <c r="Q325" s="71"/>
      <c r="R325" s="88">
        <f t="shared" si="93"/>
        <v>-300</v>
      </c>
      <c r="S325" s="71"/>
      <c r="T325" s="89" t="str">
        <f t="shared" si="94"/>
        <v>r</v>
      </c>
      <c r="U325" s="71"/>
      <c r="V325" s="93" t="s">
        <v>31</v>
      </c>
      <c r="W325" s="29"/>
    </row>
    <row r="326" spans="1:23" ht="18" x14ac:dyDescent="0.25">
      <c r="A326" s="179"/>
      <c r="B326" s="168"/>
      <c r="C326" s="146">
        <v>0.3</v>
      </c>
      <c r="D326" s="125" t="s">
        <v>82</v>
      </c>
      <c r="E326" s="125" t="s">
        <v>94</v>
      </c>
      <c r="F326" s="85">
        <f t="shared" si="89"/>
        <v>0.7</v>
      </c>
      <c r="G326" s="85">
        <v>2.5</v>
      </c>
      <c r="H326" s="85">
        <v>1.5</v>
      </c>
      <c r="I326" s="85">
        <f t="shared" si="90"/>
        <v>0.75</v>
      </c>
      <c r="J326" s="85">
        <f t="shared" si="91"/>
        <v>1.0499999999999998</v>
      </c>
      <c r="K326" s="85" t="str">
        <f t="shared" si="87"/>
        <v>T2</v>
      </c>
      <c r="L326" s="85" t="str">
        <f t="shared" si="88"/>
        <v>T2</v>
      </c>
      <c r="M326" s="106">
        <f t="shared" si="92"/>
        <v>300</v>
      </c>
      <c r="N326" s="173"/>
      <c r="O326" s="29"/>
      <c r="P326" s="87" t="s">
        <v>95</v>
      </c>
      <c r="Q326" s="71"/>
      <c r="R326" s="88">
        <f t="shared" si="93"/>
        <v>-300</v>
      </c>
      <c r="S326" s="71"/>
      <c r="T326" s="89" t="str">
        <f t="shared" si="94"/>
        <v>r</v>
      </c>
      <c r="U326" s="71"/>
      <c r="V326" s="176">
        <f>IF(AND(NOT(N319=0)),V319/N319,0)</f>
        <v>0</v>
      </c>
      <c r="W326" s="29"/>
    </row>
    <row r="327" spans="1:23" ht="18" x14ac:dyDescent="0.25">
      <c r="A327" s="179"/>
      <c r="B327" s="168"/>
      <c r="C327" s="147">
        <v>0.21</v>
      </c>
      <c r="D327" s="139" t="s">
        <v>87</v>
      </c>
      <c r="E327" s="139" t="s">
        <v>90</v>
      </c>
      <c r="F327" s="16">
        <f t="shared" si="89"/>
        <v>0.79</v>
      </c>
      <c r="G327" s="16">
        <v>2.1</v>
      </c>
      <c r="H327" s="16">
        <v>1.66</v>
      </c>
      <c r="I327" s="16">
        <f t="shared" si="90"/>
        <v>0.441</v>
      </c>
      <c r="J327" s="16">
        <f t="shared" si="91"/>
        <v>1.3113999999999999</v>
      </c>
      <c r="K327" s="16" t="str">
        <f t="shared" si="87"/>
        <v>T2</v>
      </c>
      <c r="L327" s="16" t="str">
        <f t="shared" si="88"/>
        <v>T2</v>
      </c>
      <c r="M327" s="105">
        <f t="shared" si="92"/>
        <v>300</v>
      </c>
      <c r="N327" s="173"/>
      <c r="O327" s="29"/>
      <c r="P327" s="87" t="s">
        <v>96</v>
      </c>
      <c r="Q327" s="71"/>
      <c r="R327" s="88">
        <f t="shared" si="93"/>
        <v>472.1</v>
      </c>
      <c r="S327" s="71"/>
      <c r="T327" s="89" t="str">
        <f t="shared" si="94"/>
        <v>a</v>
      </c>
      <c r="U327" s="71"/>
      <c r="V327" s="177"/>
      <c r="W327" s="29"/>
    </row>
    <row r="328" spans="1:23" ht="18.75" thickBot="1" x14ac:dyDescent="0.3">
      <c r="A328" s="180"/>
      <c r="B328" s="169"/>
      <c r="C328" s="148">
        <v>0.68</v>
      </c>
      <c r="D328" s="149" t="s">
        <v>71</v>
      </c>
      <c r="E328" s="149" t="s">
        <v>73</v>
      </c>
      <c r="F328" s="95">
        <f t="shared" si="89"/>
        <v>0.31999999999999995</v>
      </c>
      <c r="G328" s="95">
        <v>1.57</v>
      </c>
      <c r="H328" s="95">
        <v>2.25</v>
      </c>
      <c r="I328" s="95">
        <f t="shared" si="90"/>
        <v>1.0676000000000001</v>
      </c>
      <c r="J328" s="95">
        <f t="shared" si="91"/>
        <v>0.71999999999999986</v>
      </c>
      <c r="K328" s="95" t="str">
        <f t="shared" si="87"/>
        <v>T1</v>
      </c>
      <c r="L328" s="95" t="str">
        <f t="shared" si="88"/>
        <v>T2</v>
      </c>
      <c r="M328" s="96">
        <f t="shared" si="92"/>
        <v>300</v>
      </c>
      <c r="N328" s="174"/>
      <c r="O328" s="29"/>
      <c r="P328" s="97" t="s">
        <v>95</v>
      </c>
      <c r="Q328" s="29"/>
      <c r="R328" s="98">
        <f t="shared" si="93"/>
        <v>147.44999999999999</v>
      </c>
      <c r="S328" s="29"/>
      <c r="T328" s="99" t="str">
        <f t="shared" si="94"/>
        <v>a</v>
      </c>
      <c r="U328" s="29"/>
      <c r="V328" s="178"/>
      <c r="W328" s="29"/>
    </row>
    <row r="329" spans="1:23" x14ac:dyDescent="0.25">
      <c r="A329" s="29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31"/>
      <c r="S329" s="29"/>
      <c r="T329" s="29"/>
      <c r="U329" s="29"/>
      <c r="V329" s="32"/>
      <c r="W329" s="29"/>
    </row>
    <row r="330" spans="1:23" x14ac:dyDescent="0.25">
      <c r="A330" s="29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31"/>
      <c r="S330" s="29"/>
      <c r="T330" s="29"/>
      <c r="U330" s="29"/>
      <c r="V330" s="32"/>
      <c r="W330" s="29"/>
    </row>
    <row r="331" spans="1:23" ht="16.5" thickBot="1" x14ac:dyDescent="0.3">
      <c r="A331" s="29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31"/>
      <c r="S331" s="29"/>
      <c r="T331" s="29"/>
      <c r="U331" s="29"/>
      <c r="V331" s="32"/>
      <c r="W331" s="29"/>
    </row>
    <row r="332" spans="1:23" ht="19.5" customHeight="1" thickBot="1" x14ac:dyDescent="0.3">
      <c r="A332" s="114" t="s">
        <v>6</v>
      </c>
      <c r="B332" s="167" t="s">
        <v>21</v>
      </c>
      <c r="C332" s="72" t="s">
        <v>49</v>
      </c>
      <c r="D332" s="72" t="s">
        <v>9</v>
      </c>
      <c r="E332" s="72" t="s">
        <v>10</v>
      </c>
      <c r="F332" s="72" t="s">
        <v>11</v>
      </c>
      <c r="G332" s="72" t="s">
        <v>12</v>
      </c>
      <c r="H332" s="72" t="s">
        <v>13</v>
      </c>
      <c r="I332" s="72" t="s">
        <v>14</v>
      </c>
      <c r="J332" s="72" t="s">
        <v>15</v>
      </c>
      <c r="K332" s="72" t="s">
        <v>34</v>
      </c>
      <c r="L332" s="72" t="s">
        <v>16</v>
      </c>
      <c r="M332" s="72" t="s">
        <v>48</v>
      </c>
      <c r="N332" s="73" t="s">
        <v>17</v>
      </c>
      <c r="O332" s="74"/>
      <c r="P332" s="75" t="s">
        <v>18</v>
      </c>
      <c r="Q332" s="71"/>
      <c r="R332" s="76" t="s">
        <v>35</v>
      </c>
      <c r="S332" s="71"/>
      <c r="T332" s="75" t="s">
        <v>36</v>
      </c>
      <c r="U332" s="71"/>
      <c r="V332" s="77" t="s">
        <v>29</v>
      </c>
      <c r="W332" s="29"/>
    </row>
    <row r="333" spans="1:23" ht="15.75" customHeight="1" x14ac:dyDescent="0.25">
      <c r="A333" s="115"/>
      <c r="B333" s="168"/>
      <c r="C333" s="145">
        <v>0.63</v>
      </c>
      <c r="D333" s="150" t="s">
        <v>93</v>
      </c>
      <c r="E333" s="150" t="s">
        <v>76</v>
      </c>
      <c r="F333" s="79">
        <f>IF(AND(C333=""),"",1-C333)</f>
        <v>0.37</v>
      </c>
      <c r="G333" s="79">
        <v>1.8</v>
      </c>
      <c r="H333" s="79">
        <v>1.9</v>
      </c>
      <c r="I333" s="79">
        <f>IF(AND(C333=""),"",G333*C333)</f>
        <v>1.1340000000000001</v>
      </c>
      <c r="J333" s="79">
        <f>IF(AND(C333=""),"",H333*F333)</f>
        <v>0.70299999999999996</v>
      </c>
      <c r="K333" s="79" t="str">
        <f t="shared" ref="K333:K342" si="95">IF(AND(I333=""),"",IF(AND(I333&gt;J333),"T1","T2"))</f>
        <v>T1</v>
      </c>
      <c r="L333" s="79" t="str">
        <f t="shared" ref="L333:L342" si="96">IF(AND(J333=""),"",IF(AND(J333&gt;K333),"T1","T2"))</f>
        <v>T2</v>
      </c>
      <c r="M333" s="80">
        <f>IF(L333="","",IF(L333&lt;0.5,K$5*M$2,IF(L333&lt;0.75,K$5*M$3,IF(L333&lt;1,K$5*M$4,IF(L333&lt;1.25,K$5*M$5,IF(L333&lt;1.5,K$5*M$6,IF(L333&lt;2,K$5*M$7,IF(L333&lt;2.5,K$5*M$8,K$5*M$9))))))))</f>
        <v>300</v>
      </c>
      <c r="N333" s="172">
        <f>SUMIF(L333:L342,"&gt;0")</f>
        <v>0</v>
      </c>
      <c r="O333" s="74"/>
      <c r="P333" s="81" t="s">
        <v>95</v>
      </c>
      <c r="Q333" s="74"/>
      <c r="R333" s="82">
        <f>IF(OR(P333="",L333="NO BET"),0,IF(AND(K333=P333),IF(AND(K333="T2"),ROUNDUP(H333*0.95,2)-M333,ROUNDUP(G333*0.95,2)-M333),-M333))</f>
        <v>-298.29000000000002</v>
      </c>
      <c r="S333" s="71"/>
      <c r="T333" s="83" t="str">
        <f>IF(AND(P333=""),"",IF(AND(C333&gt;F333),IF(AND(P333="T1"),"a","r"),IF(AND(P333="T2"),"a","r")))</f>
        <v>a</v>
      </c>
      <c r="U333" s="71"/>
      <c r="V333" s="175">
        <f>SUM(R333:R342)</f>
        <v>93.210000000000036</v>
      </c>
      <c r="W333" s="29"/>
    </row>
    <row r="334" spans="1:23" ht="15.75" customHeight="1" x14ac:dyDescent="0.25">
      <c r="A334" s="179" t="s">
        <v>6</v>
      </c>
      <c r="B334" s="168"/>
      <c r="C334" s="146">
        <v>0.35</v>
      </c>
      <c r="D334" s="125" t="s">
        <v>75</v>
      </c>
      <c r="E334" s="125" t="s">
        <v>85</v>
      </c>
      <c r="F334" s="85">
        <f t="shared" ref="F334:F342" si="97">IF(AND(C334=""),"",1-C334)</f>
        <v>0.65</v>
      </c>
      <c r="G334" s="85">
        <v>1.9</v>
      </c>
      <c r="H334" s="85">
        <v>1.8</v>
      </c>
      <c r="I334" s="85">
        <f t="shared" ref="I334:I342" si="98">IF(AND(C334=""),"",G334*C334)</f>
        <v>0.66499999999999992</v>
      </c>
      <c r="J334" s="85">
        <f t="shared" ref="J334:J342" si="99">IF(AND(C334=""),"",H334*F334)</f>
        <v>1.1700000000000002</v>
      </c>
      <c r="K334" s="85" t="str">
        <f t="shared" si="95"/>
        <v>T2</v>
      </c>
      <c r="L334" s="85" t="str">
        <f t="shared" si="96"/>
        <v>T2</v>
      </c>
      <c r="M334" s="86">
        <f t="shared" ref="M334:M342" si="100">IF(L334="","",IF(L334&lt;0.5,K$5*M$2,IF(L334&lt;0.75,K$5*M$3,IF(L334&lt;1,K$5*M$4,IF(L334&lt;1.25,K$5*M$5,IF(L334&lt;1.5,K$5*M$6,IF(L334&lt;2,K$5*M$7,IF(L334&lt;2.5,K$5*M$8,K$5*M$9))))))))</f>
        <v>300</v>
      </c>
      <c r="N334" s="173"/>
      <c r="O334" s="29"/>
      <c r="P334" s="87" t="s">
        <v>95</v>
      </c>
      <c r="Q334" s="71"/>
      <c r="R334" s="88">
        <f t="shared" ref="R334:R342" si="101">IF(OR(P334="",L334="NO BET"),0,IF(AND(K334=P334),IF(AND(K334="T2"),ROUNDUP(H334*M334*0.95,2)-1,ROUNDUP(G334*M334*0.95,2)-M334),-M334))</f>
        <v>-300</v>
      </c>
      <c r="S334" s="71"/>
      <c r="T334" s="89" t="str">
        <f t="shared" ref="T334:T342" si="102">IF(AND(P334=""),"",IF(AND(C334&gt;F334),IF(AND(P334="T1"),"a","r"),IF(AND(P334="T2"),"a","r")))</f>
        <v>r</v>
      </c>
      <c r="U334" s="71"/>
      <c r="V334" s="175"/>
      <c r="W334" s="29"/>
    </row>
    <row r="335" spans="1:23" ht="15.75" customHeight="1" x14ac:dyDescent="0.25">
      <c r="A335" s="179"/>
      <c r="B335" s="168"/>
      <c r="C335" s="147">
        <v>0.5</v>
      </c>
      <c r="D335" s="116" t="s">
        <v>87</v>
      </c>
      <c r="E335" s="116" t="s">
        <v>94</v>
      </c>
      <c r="F335" s="16">
        <f t="shared" si="97"/>
        <v>0.5</v>
      </c>
      <c r="G335" s="16">
        <v>2.1</v>
      </c>
      <c r="H335" s="16">
        <v>1.66</v>
      </c>
      <c r="I335" s="16">
        <f t="shared" si="98"/>
        <v>1.05</v>
      </c>
      <c r="J335" s="16">
        <f t="shared" si="99"/>
        <v>0.83</v>
      </c>
      <c r="K335" s="16" t="str">
        <f t="shared" si="95"/>
        <v>T1</v>
      </c>
      <c r="L335" s="16" t="str">
        <f t="shared" si="96"/>
        <v>T2</v>
      </c>
      <c r="M335" s="91">
        <f t="shared" si="100"/>
        <v>300</v>
      </c>
      <c r="N335" s="173"/>
      <c r="O335" s="74"/>
      <c r="P335" s="87" t="s">
        <v>96</v>
      </c>
      <c r="Q335" s="71"/>
      <c r="R335" s="88">
        <f t="shared" si="101"/>
        <v>-300</v>
      </c>
      <c r="S335" s="71"/>
      <c r="T335" s="89" t="str">
        <f t="shared" si="102"/>
        <v>a</v>
      </c>
      <c r="U335" s="71"/>
      <c r="V335" s="175"/>
      <c r="W335" s="29"/>
    </row>
    <row r="336" spans="1:23" ht="15.75" customHeight="1" x14ac:dyDescent="0.25">
      <c r="A336" s="179"/>
      <c r="B336" s="168"/>
      <c r="C336" s="146">
        <v>0.24</v>
      </c>
      <c r="D336" s="125" t="s">
        <v>73</v>
      </c>
      <c r="E336" s="125" t="s">
        <v>90</v>
      </c>
      <c r="F336" s="85">
        <f t="shared" si="97"/>
        <v>0.76</v>
      </c>
      <c r="G336" s="85">
        <v>1.72</v>
      </c>
      <c r="H336" s="85">
        <v>2</v>
      </c>
      <c r="I336" s="85">
        <f t="shared" si="98"/>
        <v>0.4128</v>
      </c>
      <c r="J336" s="85">
        <f t="shared" si="99"/>
        <v>1.52</v>
      </c>
      <c r="K336" s="85" t="str">
        <f t="shared" si="95"/>
        <v>T2</v>
      </c>
      <c r="L336" s="85" t="str">
        <f t="shared" si="96"/>
        <v>T2</v>
      </c>
      <c r="M336" s="86">
        <f t="shared" si="100"/>
        <v>300</v>
      </c>
      <c r="N336" s="173"/>
      <c r="O336" s="92"/>
      <c r="P336" s="87" t="s">
        <v>95</v>
      </c>
      <c r="Q336" s="71"/>
      <c r="R336" s="88">
        <f t="shared" si="101"/>
        <v>-300</v>
      </c>
      <c r="S336" s="71"/>
      <c r="T336" s="89" t="str">
        <f t="shared" si="102"/>
        <v>r</v>
      </c>
      <c r="U336" s="71"/>
      <c r="V336" s="175"/>
      <c r="W336" s="29"/>
    </row>
    <row r="337" spans="1:23" ht="15.75" customHeight="1" x14ac:dyDescent="0.25">
      <c r="A337" s="179"/>
      <c r="B337" s="168"/>
      <c r="C337" s="147">
        <v>0.49</v>
      </c>
      <c r="D337" s="116" t="s">
        <v>71</v>
      </c>
      <c r="E337" s="116" t="s">
        <v>82</v>
      </c>
      <c r="F337" s="16">
        <f t="shared" si="97"/>
        <v>0.51</v>
      </c>
      <c r="G337" s="16">
        <v>1.72</v>
      </c>
      <c r="H337" s="16">
        <v>2</v>
      </c>
      <c r="I337" s="16">
        <f t="shared" si="98"/>
        <v>0.84279999999999999</v>
      </c>
      <c r="J337" s="16">
        <f t="shared" si="99"/>
        <v>1.02</v>
      </c>
      <c r="K337" s="16" t="str">
        <f t="shared" si="95"/>
        <v>T2</v>
      </c>
      <c r="L337" s="16" t="str">
        <f t="shared" si="96"/>
        <v>T2</v>
      </c>
      <c r="M337" s="105">
        <f t="shared" si="100"/>
        <v>300</v>
      </c>
      <c r="N337" s="173"/>
      <c r="O337" s="92"/>
      <c r="P337" s="87" t="s">
        <v>96</v>
      </c>
      <c r="Q337" s="71"/>
      <c r="R337" s="88">
        <f t="shared" si="101"/>
        <v>569</v>
      </c>
      <c r="S337" s="71"/>
      <c r="T337" s="89" t="str">
        <f t="shared" si="102"/>
        <v>a</v>
      </c>
      <c r="U337" s="71"/>
      <c r="V337" s="175"/>
      <c r="W337" s="29"/>
    </row>
    <row r="338" spans="1:23" ht="15.75" customHeight="1" x14ac:dyDescent="0.25">
      <c r="A338" s="179"/>
      <c r="B338" s="168"/>
      <c r="C338" s="146">
        <v>0.68</v>
      </c>
      <c r="D338" s="125" t="s">
        <v>93</v>
      </c>
      <c r="E338" s="125" t="s">
        <v>94</v>
      </c>
      <c r="F338" s="85">
        <f t="shared" si="97"/>
        <v>0.31999999999999995</v>
      </c>
      <c r="G338" s="85">
        <v>3.5</v>
      </c>
      <c r="H338" s="85">
        <v>1.28</v>
      </c>
      <c r="I338" s="85">
        <f t="shared" si="98"/>
        <v>2.3800000000000003</v>
      </c>
      <c r="J338" s="85">
        <f t="shared" si="99"/>
        <v>0.40959999999999996</v>
      </c>
      <c r="K338" s="85" t="str">
        <f t="shared" si="95"/>
        <v>T1</v>
      </c>
      <c r="L338" s="85" t="str">
        <f t="shared" si="96"/>
        <v>T2</v>
      </c>
      <c r="M338" s="86">
        <f t="shared" si="100"/>
        <v>300</v>
      </c>
      <c r="N338" s="173"/>
      <c r="O338" s="92"/>
      <c r="P338" s="87" t="s">
        <v>96</v>
      </c>
      <c r="Q338" s="71"/>
      <c r="R338" s="88">
        <f t="shared" si="101"/>
        <v>-300</v>
      </c>
      <c r="S338" s="71"/>
      <c r="T338" s="89" t="str">
        <f t="shared" si="102"/>
        <v>r</v>
      </c>
      <c r="U338" s="71"/>
      <c r="V338" s="175"/>
      <c r="W338" s="29"/>
    </row>
    <row r="339" spans="1:23" ht="18.75" thickBot="1" x14ac:dyDescent="0.3">
      <c r="A339" s="179"/>
      <c r="B339" s="168"/>
      <c r="C339" s="147">
        <v>0.63</v>
      </c>
      <c r="D339" s="116" t="s">
        <v>87</v>
      </c>
      <c r="E339" s="116" t="s">
        <v>75</v>
      </c>
      <c r="F339" s="16">
        <f t="shared" si="97"/>
        <v>0.37</v>
      </c>
      <c r="G339" s="16">
        <v>1.83</v>
      </c>
      <c r="H339" s="16">
        <v>1.83</v>
      </c>
      <c r="I339" s="16">
        <f t="shared" si="98"/>
        <v>1.1529</v>
      </c>
      <c r="J339" s="16">
        <f t="shared" si="99"/>
        <v>0.67710000000000004</v>
      </c>
      <c r="K339" s="16" t="str">
        <f t="shared" si="95"/>
        <v>T1</v>
      </c>
      <c r="L339" s="16" t="str">
        <f t="shared" si="96"/>
        <v>T2</v>
      </c>
      <c r="M339" s="91">
        <f t="shared" si="100"/>
        <v>300</v>
      </c>
      <c r="N339" s="173"/>
      <c r="O339" s="29"/>
      <c r="P339" s="87" t="s">
        <v>95</v>
      </c>
      <c r="Q339" s="71"/>
      <c r="R339" s="88">
        <f t="shared" si="101"/>
        <v>221.54999999999995</v>
      </c>
      <c r="S339" s="71"/>
      <c r="T339" s="89" t="str">
        <f t="shared" si="102"/>
        <v>a</v>
      </c>
      <c r="U339" s="71"/>
      <c r="V339" s="93" t="s">
        <v>31</v>
      </c>
      <c r="W339" s="29"/>
    </row>
    <row r="340" spans="1:23" ht="18" x14ac:dyDescent="0.25">
      <c r="A340" s="179"/>
      <c r="B340" s="168"/>
      <c r="C340" s="146">
        <v>0.26</v>
      </c>
      <c r="D340" s="125" t="s">
        <v>85</v>
      </c>
      <c r="E340" s="125" t="s">
        <v>71</v>
      </c>
      <c r="F340" s="85">
        <f t="shared" si="97"/>
        <v>0.74</v>
      </c>
      <c r="G340" s="85">
        <v>2.5</v>
      </c>
      <c r="H340" s="85">
        <v>1.5</v>
      </c>
      <c r="I340" s="85">
        <f t="shared" si="98"/>
        <v>0.65</v>
      </c>
      <c r="J340" s="85">
        <f t="shared" si="99"/>
        <v>1.1099999999999999</v>
      </c>
      <c r="K340" s="85" t="str">
        <f t="shared" si="95"/>
        <v>T2</v>
      </c>
      <c r="L340" s="85" t="str">
        <f t="shared" si="96"/>
        <v>T2</v>
      </c>
      <c r="M340" s="106">
        <f t="shared" si="100"/>
        <v>300</v>
      </c>
      <c r="N340" s="173"/>
      <c r="O340" s="29"/>
      <c r="P340" s="87" t="s">
        <v>96</v>
      </c>
      <c r="Q340" s="71"/>
      <c r="R340" s="88">
        <f t="shared" si="101"/>
        <v>426.5</v>
      </c>
      <c r="S340" s="71"/>
      <c r="T340" s="89" t="str">
        <f t="shared" si="102"/>
        <v>a</v>
      </c>
      <c r="U340" s="71"/>
      <c r="V340" s="176">
        <f>IF(AND(NOT(N333=0)),V333/N333,0)</f>
        <v>0</v>
      </c>
      <c r="W340" s="29"/>
    </row>
    <row r="341" spans="1:23" ht="18" x14ac:dyDescent="0.25">
      <c r="A341" s="179"/>
      <c r="B341" s="168"/>
      <c r="C341" s="147">
        <v>0.53</v>
      </c>
      <c r="D341" s="116" t="s">
        <v>76</v>
      </c>
      <c r="E341" s="116" t="s">
        <v>73</v>
      </c>
      <c r="F341" s="16">
        <f t="shared" si="97"/>
        <v>0.47</v>
      </c>
      <c r="G341" s="16">
        <v>3</v>
      </c>
      <c r="H341" s="16">
        <v>1.36</v>
      </c>
      <c r="I341" s="16">
        <f t="shared" si="98"/>
        <v>1.59</v>
      </c>
      <c r="J341" s="16">
        <f t="shared" si="99"/>
        <v>0.63919999999999999</v>
      </c>
      <c r="K341" s="16" t="str">
        <f t="shared" si="95"/>
        <v>T1</v>
      </c>
      <c r="L341" s="16" t="str">
        <f t="shared" si="96"/>
        <v>T2</v>
      </c>
      <c r="M341" s="105">
        <f t="shared" si="100"/>
        <v>300</v>
      </c>
      <c r="N341" s="173"/>
      <c r="O341" s="29"/>
      <c r="P341" s="87" t="s">
        <v>96</v>
      </c>
      <c r="Q341" s="71"/>
      <c r="R341" s="88">
        <f t="shared" si="101"/>
        <v>-300</v>
      </c>
      <c r="S341" s="71"/>
      <c r="T341" s="89" t="str">
        <f t="shared" si="102"/>
        <v>r</v>
      </c>
      <c r="U341" s="71"/>
      <c r="V341" s="177"/>
      <c r="W341" s="29"/>
    </row>
    <row r="342" spans="1:23" ht="18.75" thickBot="1" x14ac:dyDescent="0.3">
      <c r="A342" s="180"/>
      <c r="B342" s="169"/>
      <c r="C342" s="148">
        <v>0.17</v>
      </c>
      <c r="D342" s="118" t="s">
        <v>82</v>
      </c>
      <c r="E342" s="118" t="s">
        <v>90</v>
      </c>
      <c r="F342" s="95">
        <f t="shared" si="97"/>
        <v>0.83</v>
      </c>
      <c r="G342" s="95">
        <v>1.53</v>
      </c>
      <c r="H342" s="95">
        <v>2.37</v>
      </c>
      <c r="I342" s="95">
        <f t="shared" si="98"/>
        <v>0.2601</v>
      </c>
      <c r="J342" s="95">
        <f t="shared" si="99"/>
        <v>1.9671000000000001</v>
      </c>
      <c r="K342" s="95" t="str">
        <f t="shared" si="95"/>
        <v>T2</v>
      </c>
      <c r="L342" s="95" t="str">
        <f t="shared" si="96"/>
        <v>T2</v>
      </c>
      <c r="M342" s="96">
        <f t="shared" si="100"/>
        <v>300</v>
      </c>
      <c r="N342" s="174"/>
      <c r="O342" s="29"/>
      <c r="P342" s="97" t="s">
        <v>96</v>
      </c>
      <c r="Q342" s="29"/>
      <c r="R342" s="98">
        <f t="shared" si="101"/>
        <v>674.45</v>
      </c>
      <c r="S342" s="29"/>
      <c r="T342" s="99" t="str">
        <f t="shared" si="102"/>
        <v>a</v>
      </c>
      <c r="U342" s="29"/>
      <c r="V342" s="178"/>
      <c r="W342" s="29"/>
    </row>
    <row r="343" spans="1:23" x14ac:dyDescent="0.25">
      <c r="A343" s="29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31"/>
      <c r="S343" s="29"/>
      <c r="T343" s="29"/>
      <c r="U343" s="29"/>
      <c r="V343" s="32"/>
      <c r="W343" s="29"/>
    </row>
    <row r="344" spans="1:23" x14ac:dyDescent="0.25">
      <c r="A344" s="29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31"/>
      <c r="S344" s="29"/>
      <c r="T344" s="29"/>
      <c r="U344" s="29"/>
      <c r="V344" s="32"/>
      <c r="W344" s="29"/>
    </row>
    <row r="345" spans="1:23" ht="16.5" thickBot="1" x14ac:dyDescent="0.3">
      <c r="A345" s="29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31"/>
      <c r="S345" s="29"/>
      <c r="T345" s="29"/>
      <c r="U345" s="29"/>
      <c r="V345" s="32"/>
      <c r="W345" s="29"/>
    </row>
    <row r="346" spans="1:23" ht="19.5" customHeight="1" thickBot="1" x14ac:dyDescent="0.3">
      <c r="A346" s="114" t="s">
        <v>6</v>
      </c>
      <c r="B346" s="167" t="s">
        <v>22</v>
      </c>
      <c r="C346" s="72" t="s">
        <v>49</v>
      </c>
      <c r="D346" s="72" t="s">
        <v>9</v>
      </c>
      <c r="E346" s="72" t="s">
        <v>10</v>
      </c>
      <c r="F346" s="72" t="s">
        <v>11</v>
      </c>
      <c r="G346" s="72" t="s">
        <v>12</v>
      </c>
      <c r="H346" s="72" t="s">
        <v>13</v>
      </c>
      <c r="I346" s="72" t="s">
        <v>14</v>
      </c>
      <c r="J346" s="72" t="s">
        <v>15</v>
      </c>
      <c r="K346" s="72" t="s">
        <v>34</v>
      </c>
      <c r="L346" s="72" t="s">
        <v>16</v>
      </c>
      <c r="M346" s="72" t="s">
        <v>48</v>
      </c>
      <c r="N346" s="73" t="s">
        <v>17</v>
      </c>
      <c r="O346" s="74"/>
      <c r="P346" s="75" t="s">
        <v>18</v>
      </c>
      <c r="Q346" s="71"/>
      <c r="R346" s="76" t="s">
        <v>35</v>
      </c>
      <c r="S346" s="71"/>
      <c r="T346" s="75" t="s">
        <v>36</v>
      </c>
      <c r="U346" s="71"/>
      <c r="V346" s="77" t="s">
        <v>29</v>
      </c>
      <c r="W346" s="29"/>
    </row>
    <row r="347" spans="1:23" ht="15.75" customHeight="1" x14ac:dyDescent="0.25">
      <c r="A347" s="115"/>
      <c r="B347" s="168"/>
      <c r="C347" s="145"/>
      <c r="D347" s="135" t="s">
        <v>76</v>
      </c>
      <c r="E347" s="135" t="s">
        <v>90</v>
      </c>
      <c r="F347" s="79" t="str">
        <f>IF(AND(C347=""),"",1-C347)</f>
        <v/>
      </c>
      <c r="G347" s="79">
        <v>3.4</v>
      </c>
      <c r="H347" s="79">
        <v>1.3</v>
      </c>
      <c r="I347" s="79" t="str">
        <f>IF(AND(C347=""),"",G347*C347)</f>
        <v/>
      </c>
      <c r="J347" s="79" t="str">
        <f>IF(AND(C347=""),"",H347*F347)</f>
        <v/>
      </c>
      <c r="K347" s="79" t="str">
        <f t="shared" ref="K347:K356" si="103">IF(AND(I347=""),"",IF(AND(I347&gt;J347),"T1","T2"))</f>
        <v/>
      </c>
      <c r="L347" s="79" t="str">
        <f t="shared" ref="L347:L356" si="104">IF(AND(J347=""),"",IF(AND(J347&gt;K347),"T1","T2"))</f>
        <v/>
      </c>
      <c r="M347" s="80" t="str">
        <f>IF(L347="","",IF(L347&lt;0.5,K$5*M$2,IF(L347&lt;0.75,K$5*M$3,IF(L347&lt;1,K$5*M$4,IF(L347&lt;1.25,K$5*M$5,IF(L347&lt;1.5,K$5*M$6,IF(L347&lt;2,K$5*M$7,IF(L347&lt;2.5,K$5*M$8,K$5*M$9))))))))</f>
        <v/>
      </c>
      <c r="N347" s="172">
        <f>SUMIF(L347:L356,"&gt;0")</f>
        <v>0</v>
      </c>
      <c r="O347" s="74"/>
      <c r="P347" s="81" t="s">
        <v>96</v>
      </c>
      <c r="Q347" s="74"/>
      <c r="R347" s="82" t="e">
        <f>IF(OR(P347="",L347="NO BET"),0,IF(AND(K347=P347),IF(AND(K347="T2"),ROUNDUP(H347*0.95,2)-M347,ROUNDUP(G347*0.95,2)-M347),-M347))</f>
        <v>#VALUE!</v>
      </c>
      <c r="S347" s="71"/>
      <c r="T347" s="83" t="str">
        <f>IF(AND(P347=""),"",IF(AND(C347&gt;F347),IF(AND(P347="T1"),"a","r"),IF(AND(P347="T2"),"a","r")))</f>
        <v>a</v>
      </c>
      <c r="U347" s="71"/>
      <c r="V347" s="175" t="e">
        <f>SUM(R347:R356)</f>
        <v>#VALUE!</v>
      </c>
      <c r="W347" s="29"/>
    </row>
    <row r="348" spans="1:23" ht="15.75" customHeight="1" x14ac:dyDescent="0.25">
      <c r="A348" s="179" t="s">
        <v>6</v>
      </c>
      <c r="B348" s="168"/>
      <c r="C348" s="146"/>
      <c r="D348" s="137" t="s">
        <v>85</v>
      </c>
      <c r="E348" s="137" t="s">
        <v>94</v>
      </c>
      <c r="F348" s="85" t="str">
        <f t="shared" ref="F348:F356" si="105">IF(AND(C348=""),"",1-C348)</f>
        <v/>
      </c>
      <c r="G348" s="85">
        <v>2.37</v>
      </c>
      <c r="H348" s="85">
        <v>1.53</v>
      </c>
      <c r="I348" s="85" t="str">
        <f t="shared" ref="I348:I356" si="106">IF(AND(C348=""),"",G348*C348)</f>
        <v/>
      </c>
      <c r="J348" s="85" t="str">
        <f t="shared" ref="J348:J356" si="107">IF(AND(C348=""),"",H348*F348)</f>
        <v/>
      </c>
      <c r="K348" s="85" t="str">
        <f t="shared" si="103"/>
        <v/>
      </c>
      <c r="L348" s="85" t="str">
        <f t="shared" si="104"/>
        <v/>
      </c>
      <c r="M348" s="86" t="str">
        <f t="shared" ref="M348:M356" si="108">IF(L348="","",IF(L348&lt;0.5,K$5*M$2,IF(L348&lt;0.75,K$5*M$3,IF(L348&lt;1,K$5*M$4,IF(L348&lt;1.25,K$5*M$5,IF(L348&lt;1.5,K$5*M$6,IF(L348&lt;2,K$5*M$7,IF(L348&lt;2.5,K$5*M$8,K$5*M$9))))))))</f>
        <v/>
      </c>
      <c r="N348" s="173"/>
      <c r="O348" s="29"/>
      <c r="P348" s="87" t="s">
        <v>96</v>
      </c>
      <c r="Q348" s="71"/>
      <c r="R348" s="88" t="e">
        <f t="shared" ref="R348:R356" si="109">IF(OR(P348="",L348="NO BET"),0,IF(AND(K348=P348),IF(AND(K348="T2"),ROUNDUP(H348*M348*0.95,2)-1,ROUNDUP(G348*M348*0.95,2)-M348),-M348))</f>
        <v>#VALUE!</v>
      </c>
      <c r="S348" s="71"/>
      <c r="T348" s="89" t="str">
        <f t="shared" ref="T348:T356" si="110">IF(AND(P348=""),"",IF(AND(C348&gt;F348),IF(AND(P348="T1"),"a","r"),IF(AND(P348="T2"),"a","r")))</f>
        <v>a</v>
      </c>
      <c r="U348" s="71"/>
      <c r="V348" s="175"/>
      <c r="W348" s="29"/>
    </row>
    <row r="349" spans="1:23" ht="15.75" customHeight="1" x14ac:dyDescent="0.25">
      <c r="A349" s="179"/>
      <c r="B349" s="168"/>
      <c r="C349" s="147"/>
      <c r="D349" s="139" t="s">
        <v>75</v>
      </c>
      <c r="E349" s="139" t="s">
        <v>82</v>
      </c>
      <c r="F349" s="16" t="str">
        <f t="shared" si="105"/>
        <v/>
      </c>
      <c r="G349" s="16">
        <v>2.25</v>
      </c>
      <c r="H349" s="16">
        <v>1.57</v>
      </c>
      <c r="I349" s="16" t="str">
        <f t="shared" si="106"/>
        <v/>
      </c>
      <c r="J349" s="16" t="str">
        <f t="shared" si="107"/>
        <v/>
      </c>
      <c r="K349" s="16" t="str">
        <f t="shared" si="103"/>
        <v/>
      </c>
      <c r="L349" s="16" t="str">
        <f t="shared" si="104"/>
        <v/>
      </c>
      <c r="M349" s="91" t="str">
        <f t="shared" si="108"/>
        <v/>
      </c>
      <c r="N349" s="173"/>
      <c r="O349" s="74"/>
      <c r="P349" s="87" t="s">
        <v>95</v>
      </c>
      <c r="Q349" s="71"/>
      <c r="R349" s="88" t="e">
        <f t="shared" si="109"/>
        <v>#VALUE!</v>
      </c>
      <c r="S349" s="71"/>
      <c r="T349" s="89" t="str">
        <f t="shared" si="110"/>
        <v>r</v>
      </c>
      <c r="U349" s="71"/>
      <c r="V349" s="175"/>
      <c r="W349" s="29"/>
    </row>
    <row r="350" spans="1:23" ht="15.75" customHeight="1" x14ac:dyDescent="0.25">
      <c r="A350" s="179"/>
      <c r="B350" s="168"/>
      <c r="C350" s="146"/>
      <c r="D350" s="137" t="s">
        <v>71</v>
      </c>
      <c r="E350" s="137" t="s">
        <v>93</v>
      </c>
      <c r="F350" s="85" t="str">
        <f t="shared" si="105"/>
        <v/>
      </c>
      <c r="G350" s="85">
        <v>1.33</v>
      </c>
      <c r="H350" s="85">
        <v>3.25</v>
      </c>
      <c r="I350" s="85" t="str">
        <f t="shared" si="106"/>
        <v/>
      </c>
      <c r="J350" s="85" t="str">
        <f t="shared" si="107"/>
        <v/>
      </c>
      <c r="K350" s="85" t="str">
        <f t="shared" si="103"/>
        <v/>
      </c>
      <c r="L350" s="85" t="str">
        <f t="shared" si="104"/>
        <v/>
      </c>
      <c r="M350" s="86" t="str">
        <f t="shared" si="108"/>
        <v/>
      </c>
      <c r="N350" s="173"/>
      <c r="O350" s="92"/>
      <c r="P350" s="87" t="s">
        <v>95</v>
      </c>
      <c r="Q350" s="71"/>
      <c r="R350" s="88" t="e">
        <f t="shared" si="109"/>
        <v>#VALUE!</v>
      </c>
      <c r="S350" s="71"/>
      <c r="T350" s="89" t="str">
        <f t="shared" si="110"/>
        <v>r</v>
      </c>
      <c r="U350" s="71"/>
      <c r="V350" s="175"/>
      <c r="W350" s="29"/>
    </row>
    <row r="351" spans="1:23" ht="15.75" customHeight="1" x14ac:dyDescent="0.25">
      <c r="A351" s="179"/>
      <c r="B351" s="168"/>
      <c r="C351" s="147"/>
      <c r="D351" s="139" t="s">
        <v>73</v>
      </c>
      <c r="E351" s="139" t="s">
        <v>87</v>
      </c>
      <c r="F351" s="16" t="str">
        <f t="shared" si="105"/>
        <v/>
      </c>
      <c r="G351" s="16">
        <v>1.72</v>
      </c>
      <c r="H351" s="16">
        <v>2</v>
      </c>
      <c r="I351" s="16" t="str">
        <f t="shared" si="106"/>
        <v/>
      </c>
      <c r="J351" s="16" t="str">
        <f t="shared" si="107"/>
        <v/>
      </c>
      <c r="K351" s="16" t="str">
        <f t="shared" si="103"/>
        <v/>
      </c>
      <c r="L351" s="16" t="str">
        <f t="shared" si="104"/>
        <v/>
      </c>
      <c r="M351" s="105" t="str">
        <f t="shared" si="108"/>
        <v/>
      </c>
      <c r="N351" s="173"/>
      <c r="O351" s="92"/>
      <c r="P351" s="87" t="s">
        <v>95</v>
      </c>
      <c r="Q351" s="71"/>
      <c r="R351" s="88" t="e">
        <f t="shared" si="109"/>
        <v>#VALUE!</v>
      </c>
      <c r="S351" s="71"/>
      <c r="T351" s="89" t="str">
        <f t="shared" si="110"/>
        <v>r</v>
      </c>
      <c r="U351" s="71"/>
      <c r="V351" s="175"/>
      <c r="W351" s="29"/>
    </row>
    <row r="352" spans="1:23" ht="15.75" customHeight="1" x14ac:dyDescent="0.25">
      <c r="A352" s="179"/>
      <c r="B352" s="168"/>
      <c r="C352" s="146"/>
      <c r="D352" s="137" t="s">
        <v>94</v>
      </c>
      <c r="E352" s="137" t="s">
        <v>90</v>
      </c>
      <c r="F352" s="85" t="str">
        <f t="shared" si="105"/>
        <v/>
      </c>
      <c r="G352" s="85">
        <v>1.66</v>
      </c>
      <c r="H352" s="85">
        <v>2.1</v>
      </c>
      <c r="I352" s="85" t="str">
        <f t="shared" si="106"/>
        <v/>
      </c>
      <c r="J352" s="85" t="str">
        <f t="shared" si="107"/>
        <v/>
      </c>
      <c r="K352" s="85" t="str">
        <f t="shared" si="103"/>
        <v/>
      </c>
      <c r="L352" s="85" t="str">
        <f t="shared" si="104"/>
        <v/>
      </c>
      <c r="M352" s="86" t="str">
        <f t="shared" si="108"/>
        <v/>
      </c>
      <c r="N352" s="173"/>
      <c r="O352" s="92"/>
      <c r="P352" s="87" t="s">
        <v>95</v>
      </c>
      <c r="Q352" s="71"/>
      <c r="R352" s="88" t="e">
        <f t="shared" si="109"/>
        <v>#VALUE!</v>
      </c>
      <c r="S352" s="71"/>
      <c r="T352" s="89" t="str">
        <f t="shared" si="110"/>
        <v>r</v>
      </c>
      <c r="U352" s="71"/>
      <c r="V352" s="175"/>
      <c r="W352" s="29"/>
    </row>
    <row r="353" spans="1:23" ht="18.75" thickBot="1" x14ac:dyDescent="0.3">
      <c r="A353" s="179"/>
      <c r="B353" s="168"/>
      <c r="C353" s="147"/>
      <c r="D353" s="139" t="s">
        <v>76</v>
      </c>
      <c r="E353" s="139" t="s">
        <v>87</v>
      </c>
      <c r="F353" s="16" t="str">
        <f t="shared" si="105"/>
        <v/>
      </c>
      <c r="G353" s="16">
        <v>3.25</v>
      </c>
      <c r="H353" s="16">
        <v>1.33</v>
      </c>
      <c r="I353" s="16" t="str">
        <f t="shared" si="106"/>
        <v/>
      </c>
      <c r="J353" s="16" t="str">
        <f t="shared" si="107"/>
        <v/>
      </c>
      <c r="K353" s="16" t="str">
        <f t="shared" si="103"/>
        <v/>
      </c>
      <c r="L353" s="16" t="str">
        <f t="shared" si="104"/>
        <v/>
      </c>
      <c r="M353" s="91" t="str">
        <f t="shared" si="108"/>
        <v/>
      </c>
      <c r="N353" s="173"/>
      <c r="O353" s="29"/>
      <c r="P353" s="87" t="s">
        <v>96</v>
      </c>
      <c r="Q353" s="71"/>
      <c r="R353" s="88" t="e">
        <f t="shared" si="109"/>
        <v>#VALUE!</v>
      </c>
      <c r="S353" s="71"/>
      <c r="T353" s="89" t="str">
        <f t="shared" si="110"/>
        <v>a</v>
      </c>
      <c r="U353" s="71"/>
      <c r="V353" s="93" t="s">
        <v>31</v>
      </c>
      <c r="W353" s="29"/>
    </row>
    <row r="354" spans="1:23" ht="18" x14ac:dyDescent="0.25">
      <c r="A354" s="179"/>
      <c r="B354" s="168"/>
      <c r="C354" s="146"/>
      <c r="D354" s="137" t="s">
        <v>85</v>
      </c>
      <c r="E354" s="137" t="s">
        <v>82</v>
      </c>
      <c r="F354" s="85" t="str">
        <f t="shared" si="105"/>
        <v/>
      </c>
      <c r="G354" s="85">
        <v>2.5</v>
      </c>
      <c r="H354" s="85">
        <v>1.5</v>
      </c>
      <c r="I354" s="85" t="str">
        <f t="shared" si="106"/>
        <v/>
      </c>
      <c r="J354" s="85" t="str">
        <f t="shared" si="107"/>
        <v/>
      </c>
      <c r="K354" s="85" t="str">
        <f t="shared" si="103"/>
        <v/>
      </c>
      <c r="L354" s="85" t="str">
        <f t="shared" si="104"/>
        <v/>
      </c>
      <c r="M354" s="106" t="str">
        <f t="shared" si="108"/>
        <v/>
      </c>
      <c r="N354" s="173"/>
      <c r="O354" s="29"/>
      <c r="P354" s="87" t="s">
        <v>95</v>
      </c>
      <c r="Q354" s="71"/>
      <c r="R354" s="88" t="e">
        <f t="shared" si="109"/>
        <v>#VALUE!</v>
      </c>
      <c r="S354" s="71"/>
      <c r="T354" s="89" t="str">
        <f t="shared" si="110"/>
        <v>r</v>
      </c>
      <c r="U354" s="71"/>
      <c r="V354" s="176">
        <f>IF(AND(NOT(N347=0)),V347/N347,0)</f>
        <v>0</v>
      </c>
      <c r="W354" s="29"/>
    </row>
    <row r="355" spans="1:23" ht="18" x14ac:dyDescent="0.25">
      <c r="A355" s="179"/>
      <c r="B355" s="168"/>
      <c r="C355" s="147"/>
      <c r="D355" s="139" t="s">
        <v>71</v>
      </c>
      <c r="E355" s="139" t="s">
        <v>75</v>
      </c>
      <c r="F355" s="16" t="str">
        <f t="shared" si="105"/>
        <v/>
      </c>
      <c r="G355" s="16">
        <v>1.57</v>
      </c>
      <c r="H355" s="16">
        <v>2.25</v>
      </c>
      <c r="I355" s="16" t="str">
        <f t="shared" si="106"/>
        <v/>
      </c>
      <c r="J355" s="16" t="str">
        <f t="shared" si="107"/>
        <v/>
      </c>
      <c r="K355" s="16" t="str">
        <f t="shared" si="103"/>
        <v/>
      </c>
      <c r="L355" s="16" t="str">
        <f t="shared" si="104"/>
        <v/>
      </c>
      <c r="M355" s="105" t="str">
        <f t="shared" si="108"/>
        <v/>
      </c>
      <c r="N355" s="173"/>
      <c r="O355" s="29"/>
      <c r="P355" s="87" t="s">
        <v>95</v>
      </c>
      <c r="Q355" s="71"/>
      <c r="R355" s="88" t="e">
        <f t="shared" si="109"/>
        <v>#VALUE!</v>
      </c>
      <c r="S355" s="71"/>
      <c r="T355" s="89" t="str">
        <f t="shared" si="110"/>
        <v>r</v>
      </c>
      <c r="U355" s="71"/>
      <c r="V355" s="177"/>
      <c r="W355" s="29"/>
    </row>
    <row r="356" spans="1:23" ht="18.75" thickBot="1" x14ac:dyDescent="0.3">
      <c r="A356" s="180"/>
      <c r="B356" s="169"/>
      <c r="C356" s="148"/>
      <c r="D356" s="149" t="s">
        <v>73</v>
      </c>
      <c r="E356" s="149" t="s">
        <v>93</v>
      </c>
      <c r="F356" s="95" t="str">
        <f t="shared" si="105"/>
        <v/>
      </c>
      <c r="G356" s="95">
        <v>1.44</v>
      </c>
      <c r="H356" s="95">
        <v>2.62</v>
      </c>
      <c r="I356" s="95" t="str">
        <f t="shared" si="106"/>
        <v/>
      </c>
      <c r="J356" s="95" t="str">
        <f t="shared" si="107"/>
        <v/>
      </c>
      <c r="K356" s="95" t="str">
        <f t="shared" si="103"/>
        <v/>
      </c>
      <c r="L356" s="95" t="str">
        <f t="shared" si="104"/>
        <v/>
      </c>
      <c r="M356" s="96" t="str">
        <f t="shared" si="108"/>
        <v/>
      </c>
      <c r="N356" s="174"/>
      <c r="O356" s="29"/>
      <c r="P356" s="97" t="s">
        <v>95</v>
      </c>
      <c r="Q356" s="29"/>
      <c r="R356" s="98" t="e">
        <f t="shared" si="109"/>
        <v>#VALUE!</v>
      </c>
      <c r="S356" s="29"/>
      <c r="T356" s="99" t="str">
        <f t="shared" si="110"/>
        <v>r</v>
      </c>
      <c r="U356" s="29"/>
      <c r="V356" s="178"/>
      <c r="W356" s="29"/>
    </row>
    <row r="357" spans="1:23" x14ac:dyDescent="0.25">
      <c r="A357" s="29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31"/>
      <c r="S357" s="29"/>
      <c r="T357" s="29"/>
      <c r="U357" s="29"/>
      <c r="V357" s="32"/>
      <c r="W357" s="29"/>
    </row>
    <row r="358" spans="1:23" x14ac:dyDescent="0.25">
      <c r="A358" s="29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31"/>
      <c r="S358" s="29"/>
      <c r="T358" s="29"/>
      <c r="U358" s="29"/>
      <c r="V358" s="32"/>
      <c r="W358" s="29"/>
    </row>
    <row r="359" spans="1:23" ht="16.5" thickBot="1" x14ac:dyDescent="0.3">
      <c r="A359" s="29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31"/>
      <c r="S359" s="29"/>
      <c r="T359" s="29"/>
      <c r="U359" s="29"/>
      <c r="V359" s="32"/>
      <c r="W359" s="29"/>
    </row>
    <row r="360" spans="1:23" ht="19.5" customHeight="1" thickBot="1" x14ac:dyDescent="0.3">
      <c r="A360" s="114" t="s">
        <v>6</v>
      </c>
      <c r="B360" s="167" t="s">
        <v>23</v>
      </c>
      <c r="C360" s="72" t="s">
        <v>49</v>
      </c>
      <c r="D360" s="72" t="s">
        <v>9</v>
      </c>
      <c r="E360" s="72" t="s">
        <v>10</v>
      </c>
      <c r="F360" s="72" t="s">
        <v>11</v>
      </c>
      <c r="G360" s="72" t="s">
        <v>12</v>
      </c>
      <c r="H360" s="72" t="s">
        <v>13</v>
      </c>
      <c r="I360" s="72" t="s">
        <v>14</v>
      </c>
      <c r="J360" s="72" t="s">
        <v>15</v>
      </c>
      <c r="K360" s="72" t="s">
        <v>34</v>
      </c>
      <c r="L360" s="72" t="s">
        <v>16</v>
      </c>
      <c r="M360" s="72" t="s">
        <v>48</v>
      </c>
      <c r="N360" s="73" t="s">
        <v>17</v>
      </c>
      <c r="O360" s="74"/>
      <c r="P360" s="75" t="s">
        <v>18</v>
      </c>
      <c r="Q360" s="71"/>
      <c r="R360" s="76" t="s">
        <v>35</v>
      </c>
      <c r="S360" s="71"/>
      <c r="T360" s="75" t="s">
        <v>36</v>
      </c>
      <c r="U360" s="71"/>
      <c r="V360" s="77" t="s">
        <v>29</v>
      </c>
      <c r="W360" s="29"/>
    </row>
    <row r="361" spans="1:23" ht="15.75" customHeight="1" x14ac:dyDescent="0.25">
      <c r="A361" s="115"/>
      <c r="B361" s="168"/>
      <c r="C361" s="145"/>
      <c r="D361" s="135" t="s">
        <v>90</v>
      </c>
      <c r="E361" s="135" t="s">
        <v>75</v>
      </c>
      <c r="F361" s="79" t="str">
        <f t="shared" ref="F361:F370" si="111">IF(AND(C361=""),"",1-C361)</f>
        <v/>
      </c>
      <c r="G361" s="79">
        <v>1.66</v>
      </c>
      <c r="H361" s="79">
        <v>2.1</v>
      </c>
      <c r="I361" s="79" t="str">
        <f t="shared" ref="I361:I370" si="112">IF(AND(C361=""),"",G361*C361)</f>
        <v/>
      </c>
      <c r="J361" s="79" t="str">
        <f t="shared" ref="J361:J370" si="113">IF(AND(C361=""),"",H361*F361)</f>
        <v/>
      </c>
      <c r="K361" s="79" t="str">
        <f t="shared" ref="K361:K366" si="114">IF(AND(I361=""),"",IF(AND(I361&gt;J361),"T1","T2"))</f>
        <v/>
      </c>
      <c r="L361" s="79" t="str">
        <f t="shared" ref="L361:L370" si="115">IF(AND(J361=""),"",IF(AND(J361&gt;K361),"T1","T2"))</f>
        <v/>
      </c>
      <c r="M361" s="80" t="str">
        <f>IF(L361="","",IF(L361&lt;0.5,K$5*M$2,IF(L361&lt;0.75,K$5*M$3,IF(L361&lt;1,K$5*M$4,IF(L361&lt;1.25,K$5*M$5,IF(L361&lt;1.5,K$5*M$6,IF(L361&lt;2,K$5*M$7,IF(L361&lt;2.5,K$5*M$8,K$5*M$9))))))))</f>
        <v/>
      </c>
      <c r="N361" s="172">
        <f>SUMIF(L361:L370,"&gt;0")</f>
        <v>0</v>
      </c>
      <c r="O361" s="74"/>
      <c r="P361" s="81" t="s">
        <v>95</v>
      </c>
      <c r="Q361" s="74"/>
      <c r="R361" s="82" t="e">
        <f>IF(OR(P361="",L361="NO BET"),0,IF(AND(K361=P361),IF(AND(K361="T2"),ROUNDUP(H361*0.95,2)-M361,ROUNDUP(G361*0.95,2)-M361),-M361))</f>
        <v>#VALUE!</v>
      </c>
      <c r="S361" s="71"/>
      <c r="T361" s="83" t="str">
        <f>IF(AND(P361=""),"",IF(AND(C361&gt;F361),IF(AND(P361="T1"),"a","r"),IF(AND(P361="T2"),"a","r")))</f>
        <v>r</v>
      </c>
      <c r="U361" s="71"/>
      <c r="V361" s="175" t="e">
        <f>SUM(R361:R370)</f>
        <v>#VALUE!</v>
      </c>
      <c r="W361" s="29"/>
    </row>
    <row r="362" spans="1:23" ht="15.75" customHeight="1" x14ac:dyDescent="0.25">
      <c r="A362" s="179" t="s">
        <v>6</v>
      </c>
      <c r="B362" s="168"/>
      <c r="C362" s="146"/>
      <c r="D362" s="137" t="s">
        <v>85</v>
      </c>
      <c r="E362" s="137" t="s">
        <v>76</v>
      </c>
      <c r="F362" s="85" t="str">
        <f t="shared" si="111"/>
        <v/>
      </c>
      <c r="G362" s="85">
        <v>1.28</v>
      </c>
      <c r="H362" s="85">
        <v>3.5</v>
      </c>
      <c r="I362" s="85" t="str">
        <f t="shared" si="112"/>
        <v/>
      </c>
      <c r="J362" s="85" t="str">
        <f t="shared" si="113"/>
        <v/>
      </c>
      <c r="K362" s="85" t="str">
        <f t="shared" si="114"/>
        <v/>
      </c>
      <c r="L362" s="85" t="str">
        <f t="shared" si="115"/>
        <v/>
      </c>
      <c r="M362" s="86" t="str">
        <f t="shared" ref="M362:M370" si="116">IF(L362="","",IF(L362&lt;0.5,K$5*M$2,IF(L362&lt;0.75,K$5*M$3,IF(L362&lt;1,K$5*M$4,IF(L362&lt;1.25,K$5*M$5,IF(L362&lt;1.5,K$5*M$6,IF(L362&lt;2,K$5*M$7,IF(L362&lt;2.5,K$5*M$8,K$5*M$9))))))))</f>
        <v/>
      </c>
      <c r="N362" s="173"/>
      <c r="O362" s="29"/>
      <c r="P362" s="87" t="s">
        <v>96</v>
      </c>
      <c r="Q362" s="71"/>
      <c r="R362" s="88" t="e">
        <f t="shared" ref="R362:R370" si="117">IF(OR(P362="",L362="NO BET"),0,IF(AND(K362=P362),IF(AND(K362="T2"),ROUNDUP(H362*M362*0.95,2)-1,ROUNDUP(G362*M362*0.95,2)-M362),-M362))</f>
        <v>#VALUE!</v>
      </c>
      <c r="S362" s="71"/>
      <c r="T362" s="89" t="str">
        <f t="shared" ref="T362:T370" si="118">IF(AND(P362=""),"",IF(AND(C362&gt;F362),IF(AND(P362="T1"),"a","r"),IF(AND(P362="T2"),"a","r")))</f>
        <v>a</v>
      </c>
      <c r="U362" s="71"/>
      <c r="V362" s="175"/>
      <c r="W362" s="29"/>
    </row>
    <row r="363" spans="1:23" ht="15.75" customHeight="1" x14ac:dyDescent="0.25">
      <c r="A363" s="179"/>
      <c r="B363" s="168"/>
      <c r="C363" s="147"/>
      <c r="D363" s="139" t="s">
        <v>94</v>
      </c>
      <c r="E363" s="139" t="s">
        <v>73</v>
      </c>
      <c r="F363" s="16" t="str">
        <f t="shared" si="111"/>
        <v/>
      </c>
      <c r="G363" s="16">
        <v>1.83</v>
      </c>
      <c r="H363" s="16">
        <v>1.83</v>
      </c>
      <c r="I363" s="16" t="str">
        <f t="shared" si="112"/>
        <v/>
      </c>
      <c r="J363" s="16" t="str">
        <f t="shared" si="113"/>
        <v/>
      </c>
      <c r="K363" s="16" t="str">
        <f t="shared" si="114"/>
        <v/>
      </c>
      <c r="L363" s="16" t="str">
        <f t="shared" si="115"/>
        <v/>
      </c>
      <c r="M363" s="91" t="str">
        <f t="shared" si="116"/>
        <v/>
      </c>
      <c r="N363" s="173"/>
      <c r="O363" s="74"/>
      <c r="P363" s="87" t="s">
        <v>96</v>
      </c>
      <c r="Q363" s="71"/>
      <c r="R363" s="88" t="e">
        <f t="shared" si="117"/>
        <v>#VALUE!</v>
      </c>
      <c r="S363" s="71"/>
      <c r="T363" s="89" t="str">
        <f t="shared" si="118"/>
        <v>a</v>
      </c>
      <c r="U363" s="71"/>
      <c r="V363" s="175"/>
      <c r="W363" s="29"/>
    </row>
    <row r="364" spans="1:23" ht="15.75" customHeight="1" x14ac:dyDescent="0.25">
      <c r="A364" s="179"/>
      <c r="B364" s="168"/>
      <c r="C364" s="146"/>
      <c r="D364" s="137" t="s">
        <v>82</v>
      </c>
      <c r="E364" s="137" t="s">
        <v>93</v>
      </c>
      <c r="F364" s="85" t="str">
        <f t="shared" si="111"/>
        <v/>
      </c>
      <c r="G364" s="85">
        <v>1.28</v>
      </c>
      <c r="H364" s="85">
        <v>3.5</v>
      </c>
      <c r="I364" s="85" t="str">
        <f t="shared" si="112"/>
        <v/>
      </c>
      <c r="J364" s="85" t="str">
        <f t="shared" si="113"/>
        <v/>
      </c>
      <c r="K364" s="85" t="str">
        <f t="shared" si="114"/>
        <v/>
      </c>
      <c r="L364" s="85" t="str">
        <f t="shared" si="115"/>
        <v/>
      </c>
      <c r="M364" s="86" t="str">
        <f t="shared" si="116"/>
        <v/>
      </c>
      <c r="N364" s="173"/>
      <c r="O364" s="92"/>
      <c r="P364" s="87" t="s">
        <v>95</v>
      </c>
      <c r="Q364" s="71"/>
      <c r="R364" s="88" t="e">
        <f t="shared" si="117"/>
        <v>#VALUE!</v>
      </c>
      <c r="S364" s="71"/>
      <c r="T364" s="89" t="str">
        <f t="shared" si="118"/>
        <v>r</v>
      </c>
      <c r="U364" s="71"/>
      <c r="V364" s="175"/>
      <c r="W364" s="29"/>
    </row>
    <row r="365" spans="1:23" ht="15.75" customHeight="1" x14ac:dyDescent="0.25">
      <c r="A365" s="179"/>
      <c r="B365" s="168"/>
      <c r="C365" s="147"/>
      <c r="D365" s="139" t="s">
        <v>87</v>
      </c>
      <c r="E365" s="139" t="s">
        <v>71</v>
      </c>
      <c r="F365" s="16" t="str">
        <f t="shared" si="111"/>
        <v/>
      </c>
      <c r="G365" s="16">
        <v>2.25</v>
      </c>
      <c r="H365" s="16">
        <v>1.57</v>
      </c>
      <c r="I365" s="16" t="str">
        <f t="shared" si="112"/>
        <v/>
      </c>
      <c r="J365" s="16" t="str">
        <f t="shared" si="113"/>
        <v/>
      </c>
      <c r="K365" s="16" t="str">
        <f t="shared" si="114"/>
        <v/>
      </c>
      <c r="L365" s="16" t="str">
        <f t="shared" si="115"/>
        <v/>
      </c>
      <c r="M365" s="105" t="str">
        <f t="shared" si="116"/>
        <v/>
      </c>
      <c r="N365" s="173"/>
      <c r="O365" s="92"/>
      <c r="P365" s="87" t="s">
        <v>96</v>
      </c>
      <c r="Q365" s="71"/>
      <c r="R365" s="88" t="e">
        <f t="shared" si="117"/>
        <v>#VALUE!</v>
      </c>
      <c r="S365" s="71"/>
      <c r="T365" s="89" t="str">
        <f t="shared" si="118"/>
        <v>a</v>
      </c>
      <c r="U365" s="71"/>
      <c r="V365" s="175"/>
      <c r="W365" s="29"/>
    </row>
    <row r="366" spans="1:23" ht="15.75" customHeight="1" x14ac:dyDescent="0.25">
      <c r="A366" s="179"/>
      <c r="B366" s="168"/>
      <c r="C366" s="146"/>
      <c r="D366" s="137" t="s">
        <v>76</v>
      </c>
      <c r="E366" s="137" t="s">
        <v>94</v>
      </c>
      <c r="F366" s="85" t="str">
        <f t="shared" si="111"/>
        <v/>
      </c>
      <c r="G366" s="85">
        <v>4.33</v>
      </c>
      <c r="H366" s="85">
        <v>1.2</v>
      </c>
      <c r="I366" s="85" t="str">
        <f t="shared" si="112"/>
        <v/>
      </c>
      <c r="J366" s="85" t="str">
        <f t="shared" si="113"/>
        <v/>
      </c>
      <c r="K366" s="85" t="str">
        <f t="shared" si="114"/>
        <v/>
      </c>
      <c r="L366" s="85" t="str">
        <f t="shared" si="115"/>
        <v/>
      </c>
      <c r="M366" s="86" t="str">
        <f t="shared" si="116"/>
        <v/>
      </c>
      <c r="N366" s="173"/>
      <c r="O366" s="92"/>
      <c r="P366" s="87" t="s">
        <v>95</v>
      </c>
      <c r="Q366" s="71"/>
      <c r="R366" s="88" t="e">
        <f t="shared" si="117"/>
        <v>#VALUE!</v>
      </c>
      <c r="S366" s="71"/>
      <c r="T366" s="89" t="str">
        <f t="shared" si="118"/>
        <v>r</v>
      </c>
      <c r="U366" s="71"/>
      <c r="V366" s="175"/>
      <c r="W366" s="29"/>
    </row>
    <row r="367" spans="1:23" ht="18.75" thickBot="1" x14ac:dyDescent="0.3">
      <c r="A367" s="179"/>
      <c r="B367" s="168"/>
      <c r="C367" s="147"/>
      <c r="D367" s="139" t="s">
        <v>75</v>
      </c>
      <c r="E367" s="139" t="s">
        <v>93</v>
      </c>
      <c r="F367" s="16" t="str">
        <f t="shared" si="111"/>
        <v/>
      </c>
      <c r="G367" s="16">
        <v>1.4</v>
      </c>
      <c r="H367" s="16">
        <v>2.75</v>
      </c>
      <c r="I367" s="16" t="str">
        <f t="shared" si="112"/>
        <v/>
      </c>
      <c r="J367" s="16" t="str">
        <f t="shared" si="113"/>
        <v/>
      </c>
      <c r="K367" s="16" t="str">
        <f>IF(AND(I367=""),"",IF(AND(I367&gt;J367),"T1","T2"))</f>
        <v/>
      </c>
      <c r="L367" s="16" t="str">
        <f t="shared" si="115"/>
        <v/>
      </c>
      <c r="M367" s="91" t="str">
        <f t="shared" si="116"/>
        <v/>
      </c>
      <c r="N367" s="173"/>
      <c r="O367" s="29"/>
      <c r="P367" s="87" t="s">
        <v>96</v>
      </c>
      <c r="Q367" s="71"/>
      <c r="R367" s="88" t="e">
        <f t="shared" si="117"/>
        <v>#VALUE!</v>
      </c>
      <c r="S367" s="71"/>
      <c r="T367" s="89" t="str">
        <f t="shared" si="118"/>
        <v>a</v>
      </c>
      <c r="U367" s="71"/>
      <c r="V367" s="93" t="s">
        <v>31</v>
      </c>
      <c r="W367" s="29"/>
    </row>
    <row r="368" spans="1:23" ht="18" x14ac:dyDescent="0.25">
      <c r="A368" s="179"/>
      <c r="B368" s="168"/>
      <c r="C368" s="146"/>
      <c r="D368" s="137" t="s">
        <v>87</v>
      </c>
      <c r="E368" s="137" t="s">
        <v>85</v>
      </c>
      <c r="F368" s="85" t="str">
        <f t="shared" si="111"/>
        <v/>
      </c>
      <c r="G368" s="85">
        <v>1.72</v>
      </c>
      <c r="H368" s="85">
        <v>2</v>
      </c>
      <c r="I368" s="85" t="str">
        <f t="shared" si="112"/>
        <v/>
      </c>
      <c r="J368" s="85" t="str">
        <f t="shared" si="113"/>
        <v/>
      </c>
      <c r="K368" s="85" t="str">
        <f>IF(AND(I368=""),"",IF(AND(I368&gt;J368),"T1","T2"))</f>
        <v/>
      </c>
      <c r="L368" s="85" t="str">
        <f t="shared" si="115"/>
        <v/>
      </c>
      <c r="M368" s="106" t="str">
        <f t="shared" si="116"/>
        <v/>
      </c>
      <c r="N368" s="173"/>
      <c r="O368" s="29"/>
      <c r="P368" s="87" t="s">
        <v>96</v>
      </c>
      <c r="Q368" s="71"/>
      <c r="R368" s="88" t="e">
        <f t="shared" si="117"/>
        <v>#VALUE!</v>
      </c>
      <c r="S368" s="71"/>
      <c r="T368" s="89" t="str">
        <f t="shared" si="118"/>
        <v>a</v>
      </c>
      <c r="U368" s="71"/>
      <c r="V368" s="176">
        <f>IF(AND(NOT(N361=0)),V361/N361,0)</f>
        <v>0</v>
      </c>
      <c r="W368" s="29"/>
    </row>
    <row r="369" spans="1:23" ht="18" x14ac:dyDescent="0.25">
      <c r="A369" s="179"/>
      <c r="B369" s="168"/>
      <c r="C369" s="147"/>
      <c r="D369" s="139" t="s">
        <v>90</v>
      </c>
      <c r="E369" s="139" t="s">
        <v>71</v>
      </c>
      <c r="F369" s="16" t="str">
        <f t="shared" si="111"/>
        <v/>
      </c>
      <c r="G369" s="16">
        <v>2.25</v>
      </c>
      <c r="H369" s="16">
        <v>1.57</v>
      </c>
      <c r="I369" s="16" t="str">
        <f t="shared" si="112"/>
        <v/>
      </c>
      <c r="J369" s="16" t="str">
        <f t="shared" si="113"/>
        <v/>
      </c>
      <c r="K369" s="16" t="str">
        <f>IF(AND(I369=""),"",IF(AND(I369&gt;J369),"T1","T2"))</f>
        <v/>
      </c>
      <c r="L369" s="16" t="str">
        <f t="shared" si="115"/>
        <v/>
      </c>
      <c r="M369" s="105" t="str">
        <f t="shared" si="116"/>
        <v/>
      </c>
      <c r="N369" s="173"/>
      <c r="O369" s="29"/>
      <c r="P369" s="87" t="s">
        <v>96</v>
      </c>
      <c r="Q369" s="71"/>
      <c r="R369" s="88" t="e">
        <f t="shared" si="117"/>
        <v>#VALUE!</v>
      </c>
      <c r="S369" s="71"/>
      <c r="T369" s="89" t="str">
        <f t="shared" si="118"/>
        <v>a</v>
      </c>
      <c r="U369" s="71"/>
      <c r="V369" s="177"/>
      <c r="W369" s="29"/>
    </row>
    <row r="370" spans="1:23" ht="18.75" thickBot="1" x14ac:dyDescent="0.3">
      <c r="A370" s="180"/>
      <c r="B370" s="169"/>
      <c r="C370" s="148"/>
      <c r="D370" s="149" t="s">
        <v>82</v>
      </c>
      <c r="E370" s="149" t="s">
        <v>73</v>
      </c>
      <c r="F370" s="95" t="str">
        <f t="shared" si="111"/>
        <v/>
      </c>
      <c r="G370" s="95">
        <v>1.9</v>
      </c>
      <c r="H370" s="95">
        <v>1.8</v>
      </c>
      <c r="I370" s="95" t="str">
        <f t="shared" si="112"/>
        <v/>
      </c>
      <c r="J370" s="95" t="str">
        <f t="shared" si="113"/>
        <v/>
      </c>
      <c r="K370" s="95" t="str">
        <f>IF(AND(I370=""),"",IF(AND(I370&gt;J370),"T1","T2"))</f>
        <v/>
      </c>
      <c r="L370" s="95" t="str">
        <f t="shared" si="115"/>
        <v/>
      </c>
      <c r="M370" s="96" t="str">
        <f t="shared" si="116"/>
        <v/>
      </c>
      <c r="N370" s="174"/>
      <c r="O370" s="29"/>
      <c r="P370" s="97" t="s">
        <v>96</v>
      </c>
      <c r="Q370" s="29"/>
      <c r="R370" s="98" t="e">
        <f t="shared" si="117"/>
        <v>#VALUE!</v>
      </c>
      <c r="S370" s="29"/>
      <c r="T370" s="99" t="str">
        <f t="shared" si="118"/>
        <v>a</v>
      </c>
      <c r="U370" s="29"/>
      <c r="V370" s="178"/>
      <c r="W370" s="29"/>
    </row>
    <row r="371" spans="1:23" x14ac:dyDescent="0.25">
      <c r="A371" s="29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31"/>
      <c r="S371" s="29"/>
      <c r="T371" s="29"/>
      <c r="U371" s="29"/>
      <c r="V371" s="32"/>
      <c r="W371" s="29"/>
    </row>
    <row r="372" spans="1:23" x14ac:dyDescent="0.25">
      <c r="A372" s="29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31"/>
      <c r="S372" s="29"/>
      <c r="T372" s="29"/>
      <c r="U372" s="29"/>
      <c r="V372" s="32"/>
      <c r="W372" s="29"/>
    </row>
    <row r="373" spans="1:23" ht="16.5" thickBot="1" x14ac:dyDescent="0.3">
      <c r="A373" s="29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31"/>
      <c r="S373" s="29"/>
      <c r="T373" s="29"/>
      <c r="U373" s="29"/>
      <c r="V373" s="32"/>
      <c r="W373" s="29"/>
    </row>
    <row r="374" spans="1:23" ht="19.5" customHeight="1" thickBot="1" x14ac:dyDescent="0.3">
      <c r="A374" s="114" t="s">
        <v>6</v>
      </c>
      <c r="B374" s="167" t="s">
        <v>24</v>
      </c>
      <c r="C374" s="72" t="s">
        <v>49</v>
      </c>
      <c r="D374" s="72" t="s">
        <v>9</v>
      </c>
      <c r="E374" s="72" t="s">
        <v>10</v>
      </c>
      <c r="F374" s="72" t="s">
        <v>11</v>
      </c>
      <c r="G374" s="72" t="s">
        <v>12</v>
      </c>
      <c r="H374" s="72" t="s">
        <v>13</v>
      </c>
      <c r="I374" s="72" t="s">
        <v>14</v>
      </c>
      <c r="J374" s="72" t="s">
        <v>15</v>
      </c>
      <c r="K374" s="72" t="s">
        <v>34</v>
      </c>
      <c r="L374" s="72" t="s">
        <v>16</v>
      </c>
      <c r="M374" s="72" t="s">
        <v>48</v>
      </c>
      <c r="N374" s="73" t="s">
        <v>17</v>
      </c>
      <c r="O374" s="74"/>
      <c r="P374" s="75" t="s">
        <v>18</v>
      </c>
      <c r="Q374" s="71"/>
      <c r="R374" s="76" t="s">
        <v>35</v>
      </c>
      <c r="S374" s="71"/>
      <c r="T374" s="75" t="s">
        <v>36</v>
      </c>
      <c r="U374" s="71"/>
      <c r="V374" s="77" t="s">
        <v>29</v>
      </c>
      <c r="W374" s="29"/>
    </row>
    <row r="375" spans="1:23" ht="15.75" customHeight="1" x14ac:dyDescent="0.25">
      <c r="A375" s="115"/>
      <c r="B375" s="168"/>
      <c r="C375" s="145"/>
      <c r="D375" s="135" t="s">
        <v>93</v>
      </c>
      <c r="E375" s="135" t="s">
        <v>90</v>
      </c>
      <c r="F375" s="79" t="str">
        <f>IF(AND(C375=""),"",1-C375)</f>
        <v/>
      </c>
      <c r="G375" s="79">
        <v>1.66</v>
      </c>
      <c r="H375" s="79">
        <v>2.1</v>
      </c>
      <c r="I375" s="79" t="str">
        <f>IF(AND(C375=""),"",G375*C375)</f>
        <v/>
      </c>
      <c r="J375" s="79" t="str">
        <f>IF(AND(C375=""),"",H375*F375)</f>
        <v/>
      </c>
      <c r="K375" s="79" t="str">
        <f t="shared" ref="K375:K384" si="119">IF(AND(I375=""),"",IF(AND(I375&gt;J375),"T1","T2"))</f>
        <v/>
      </c>
      <c r="L375" s="79" t="str">
        <f t="shared" ref="L375:L384" si="120">IF(AND(J375=""),"",IF(AND(J375&gt;K375),"T1","T2"))</f>
        <v/>
      </c>
      <c r="M375" s="80" t="str">
        <f>IF(L375="","",IF(L375&lt;0.5,K$5*M$2,IF(L375&lt;0.75,K$5*M$3,IF(L375&lt;1,K$5*M$4,IF(L375&lt;1.25,K$5*M$5,IF(L375&lt;1.5,K$5*M$6,IF(L375&lt;2,K$5*M$7,IF(L375&lt;2.5,K$5*M$8,K$5*M$9))))))))</f>
        <v/>
      </c>
      <c r="N375" s="172">
        <f>SUMIF(L375:L384,"&gt;0")</f>
        <v>0</v>
      </c>
      <c r="O375" s="74"/>
      <c r="P375" s="81" t="s">
        <v>95</v>
      </c>
      <c r="Q375" s="74"/>
      <c r="R375" s="82" t="e">
        <f>IF(OR(P375="",L375="NO BET"),0,IF(AND(K375=P375),IF(AND(K375="T2"),ROUNDUP(H375*0.95,2)-M375,ROUNDUP(G375*0.95,2)-M375),-M375))</f>
        <v>#VALUE!</v>
      </c>
      <c r="S375" s="71"/>
      <c r="T375" s="83" t="str">
        <f>IF(AND(P375=""),"",IF(AND(C375&gt;F375),IF(AND(P375="T1"),"a","r"),IF(AND(P375="T2"),"a","r")))</f>
        <v>r</v>
      </c>
      <c r="U375" s="71"/>
      <c r="V375" s="175" t="e">
        <f>SUM(R375:R384)</f>
        <v>#VALUE!</v>
      </c>
      <c r="W375" s="29"/>
    </row>
    <row r="376" spans="1:23" ht="15.75" customHeight="1" x14ac:dyDescent="0.25">
      <c r="A376" s="179" t="s">
        <v>6</v>
      </c>
      <c r="B376" s="168"/>
      <c r="C376" s="146"/>
      <c r="D376" s="137" t="s">
        <v>85</v>
      </c>
      <c r="E376" s="137" t="s">
        <v>73</v>
      </c>
      <c r="F376" s="85" t="str">
        <f t="shared" ref="F376:F384" si="121">IF(AND(C376=""),"",1-C376)</f>
        <v/>
      </c>
      <c r="G376" s="85">
        <v>2.75</v>
      </c>
      <c r="H376" s="85">
        <v>1.4</v>
      </c>
      <c r="I376" s="85" t="str">
        <f t="shared" ref="I376:I384" si="122">IF(AND(C376=""),"",G376*C376)</f>
        <v/>
      </c>
      <c r="J376" s="85" t="str">
        <f t="shared" ref="J376:J384" si="123">IF(AND(C376=""),"",H376*F376)</f>
        <v/>
      </c>
      <c r="K376" s="85" t="str">
        <f t="shared" si="119"/>
        <v/>
      </c>
      <c r="L376" s="85" t="str">
        <f t="shared" si="120"/>
        <v/>
      </c>
      <c r="M376" s="86" t="str">
        <f t="shared" ref="M376:M384" si="124">IF(L376="","",IF(L376&lt;0.5,K$5*M$2,IF(L376&lt;0.75,K$5*M$3,IF(L376&lt;1,K$5*M$4,IF(L376&lt;1.25,K$5*M$5,IF(L376&lt;1.5,K$5*M$6,IF(L376&lt;2,K$5*M$7,IF(L376&lt;2.5,K$5*M$8,K$5*M$9))))))))</f>
        <v/>
      </c>
      <c r="N376" s="173"/>
      <c r="O376" s="29"/>
      <c r="P376" s="87" t="s">
        <v>96</v>
      </c>
      <c r="Q376" s="71"/>
      <c r="R376" s="88" t="e">
        <f t="shared" ref="R376:R384" si="125">IF(OR(P376="",L376="NO BET"),0,IF(AND(K376=P376),IF(AND(K376="T2"),ROUNDUP(H376*M376*0.95,2)-1,ROUNDUP(G376*M376*0.95,2)-M376),-M376))</f>
        <v>#VALUE!</v>
      </c>
      <c r="S376" s="71"/>
      <c r="T376" s="89" t="str">
        <f t="shared" ref="T376:T384" si="126">IF(AND(P376=""),"",IF(AND(C376&gt;F376),IF(AND(P376="T1"),"a","r"),IF(AND(P376="T2"),"a","r")))</f>
        <v>a</v>
      </c>
      <c r="U376" s="71"/>
      <c r="V376" s="175"/>
      <c r="W376" s="29"/>
    </row>
    <row r="377" spans="1:23" ht="15.75" customHeight="1" x14ac:dyDescent="0.25">
      <c r="A377" s="179"/>
      <c r="B377" s="168"/>
      <c r="C377" s="147"/>
      <c r="D377" s="139" t="s">
        <v>71</v>
      </c>
      <c r="E377" s="139" t="s">
        <v>76</v>
      </c>
      <c r="F377" s="16" t="str">
        <f t="shared" si="121"/>
        <v/>
      </c>
      <c r="G377" s="16">
        <v>1.3</v>
      </c>
      <c r="H377" s="16">
        <v>3.4</v>
      </c>
      <c r="I377" s="16" t="str">
        <f t="shared" si="122"/>
        <v/>
      </c>
      <c r="J377" s="16" t="str">
        <f t="shared" si="123"/>
        <v/>
      </c>
      <c r="K377" s="16" t="str">
        <f t="shared" si="119"/>
        <v/>
      </c>
      <c r="L377" s="16" t="str">
        <f t="shared" si="120"/>
        <v/>
      </c>
      <c r="M377" s="91" t="str">
        <f t="shared" si="124"/>
        <v/>
      </c>
      <c r="N377" s="173"/>
      <c r="O377" s="74"/>
      <c r="P377" s="87" t="s">
        <v>95</v>
      </c>
      <c r="Q377" s="71"/>
      <c r="R377" s="88" t="e">
        <f t="shared" si="125"/>
        <v>#VALUE!</v>
      </c>
      <c r="S377" s="71"/>
      <c r="T377" s="89" t="str">
        <f t="shared" si="126"/>
        <v>r</v>
      </c>
      <c r="U377" s="71"/>
      <c r="V377" s="175"/>
      <c r="W377" s="29"/>
    </row>
    <row r="378" spans="1:23" ht="15.75" customHeight="1" x14ac:dyDescent="0.25">
      <c r="A378" s="179"/>
      <c r="B378" s="168"/>
      <c r="C378" s="146"/>
      <c r="D378" s="137" t="s">
        <v>94</v>
      </c>
      <c r="E378" s="137" t="s">
        <v>75</v>
      </c>
      <c r="F378" s="85" t="str">
        <f t="shared" si="121"/>
        <v/>
      </c>
      <c r="G378" s="85">
        <v>1.53</v>
      </c>
      <c r="H378" s="85">
        <v>2.37</v>
      </c>
      <c r="I378" s="85" t="str">
        <f t="shared" si="122"/>
        <v/>
      </c>
      <c r="J378" s="85" t="str">
        <f t="shared" si="123"/>
        <v/>
      </c>
      <c r="K378" s="85" t="str">
        <f t="shared" si="119"/>
        <v/>
      </c>
      <c r="L378" s="85" t="str">
        <f t="shared" si="120"/>
        <v/>
      </c>
      <c r="M378" s="86" t="str">
        <f t="shared" si="124"/>
        <v/>
      </c>
      <c r="N378" s="173"/>
      <c r="O378" s="92"/>
      <c r="P378" s="87" t="s">
        <v>96</v>
      </c>
      <c r="Q378" s="71"/>
      <c r="R378" s="88" t="e">
        <f t="shared" si="125"/>
        <v>#VALUE!</v>
      </c>
      <c r="S378" s="71"/>
      <c r="T378" s="89" t="str">
        <f t="shared" si="126"/>
        <v>a</v>
      </c>
      <c r="U378" s="71"/>
      <c r="V378" s="175"/>
      <c r="W378" s="29"/>
    </row>
    <row r="379" spans="1:23" ht="15.75" customHeight="1" x14ac:dyDescent="0.25">
      <c r="A379" s="179"/>
      <c r="B379" s="168"/>
      <c r="C379" s="147"/>
      <c r="D379" s="139" t="s">
        <v>87</v>
      </c>
      <c r="E379" s="139" t="s">
        <v>82</v>
      </c>
      <c r="F379" s="16" t="str">
        <f t="shared" si="121"/>
        <v/>
      </c>
      <c r="G379" s="16">
        <v>2.2000000000000002</v>
      </c>
      <c r="H379" s="16">
        <v>1.61</v>
      </c>
      <c r="I379" s="16" t="str">
        <f t="shared" si="122"/>
        <v/>
      </c>
      <c r="J379" s="16" t="str">
        <f t="shared" si="123"/>
        <v/>
      </c>
      <c r="K379" s="16" t="str">
        <f t="shared" si="119"/>
        <v/>
      </c>
      <c r="L379" s="16" t="str">
        <f t="shared" si="120"/>
        <v/>
      </c>
      <c r="M379" s="105" t="str">
        <f t="shared" si="124"/>
        <v/>
      </c>
      <c r="N379" s="173"/>
      <c r="O379" s="92"/>
      <c r="P379" s="87" t="s">
        <v>95</v>
      </c>
      <c r="Q379" s="71"/>
      <c r="R379" s="88" t="e">
        <f t="shared" si="125"/>
        <v>#VALUE!</v>
      </c>
      <c r="S379" s="71"/>
      <c r="T379" s="89" t="str">
        <f t="shared" si="126"/>
        <v>r</v>
      </c>
      <c r="U379" s="71"/>
      <c r="V379" s="175"/>
      <c r="W379" s="29"/>
    </row>
    <row r="380" spans="1:23" ht="15.75" customHeight="1" x14ac:dyDescent="0.25">
      <c r="A380" s="179"/>
      <c r="B380" s="168"/>
      <c r="C380" s="146"/>
      <c r="D380" s="137" t="s">
        <v>85</v>
      </c>
      <c r="E380" s="137" t="s">
        <v>93</v>
      </c>
      <c r="F380" s="85" t="str">
        <f t="shared" si="121"/>
        <v/>
      </c>
      <c r="G380" s="85">
        <v>1.5</v>
      </c>
      <c r="H380" s="85">
        <v>2.5</v>
      </c>
      <c r="I380" s="85" t="str">
        <f t="shared" si="122"/>
        <v/>
      </c>
      <c r="J380" s="85" t="str">
        <f t="shared" si="123"/>
        <v/>
      </c>
      <c r="K380" s="85" t="str">
        <f t="shared" si="119"/>
        <v/>
      </c>
      <c r="L380" s="85" t="str">
        <f t="shared" si="120"/>
        <v/>
      </c>
      <c r="M380" s="86" t="str">
        <f t="shared" si="124"/>
        <v/>
      </c>
      <c r="N380" s="173"/>
      <c r="O380" s="92"/>
      <c r="P380" s="87" t="s">
        <v>96</v>
      </c>
      <c r="Q380" s="71"/>
      <c r="R380" s="88" t="e">
        <f t="shared" si="125"/>
        <v>#VALUE!</v>
      </c>
      <c r="S380" s="71"/>
      <c r="T380" s="89" t="str">
        <f t="shared" si="126"/>
        <v>a</v>
      </c>
      <c r="U380" s="71"/>
      <c r="V380" s="175"/>
      <c r="W380" s="29"/>
    </row>
    <row r="381" spans="1:23" ht="18.75" thickBot="1" x14ac:dyDescent="0.3">
      <c r="A381" s="179"/>
      <c r="B381" s="168"/>
      <c r="C381" s="147"/>
      <c r="D381" s="139" t="s">
        <v>75</v>
      </c>
      <c r="E381" s="139" t="s">
        <v>76</v>
      </c>
      <c r="F381" s="16" t="str">
        <f t="shared" si="121"/>
        <v/>
      </c>
      <c r="G381" s="16">
        <v>1.57</v>
      </c>
      <c r="H381" s="16">
        <v>2.25</v>
      </c>
      <c r="I381" s="16" t="str">
        <f t="shared" si="122"/>
        <v/>
      </c>
      <c r="J381" s="16" t="str">
        <f t="shared" si="123"/>
        <v/>
      </c>
      <c r="K381" s="16" t="str">
        <f t="shared" si="119"/>
        <v/>
      </c>
      <c r="L381" s="16" t="str">
        <f t="shared" si="120"/>
        <v/>
      </c>
      <c r="M381" s="91" t="str">
        <f t="shared" si="124"/>
        <v/>
      </c>
      <c r="N381" s="173"/>
      <c r="O381" s="29"/>
      <c r="P381" s="87" t="s">
        <v>96</v>
      </c>
      <c r="Q381" s="71"/>
      <c r="R381" s="88" t="e">
        <f t="shared" si="125"/>
        <v>#VALUE!</v>
      </c>
      <c r="S381" s="71"/>
      <c r="T381" s="89" t="str">
        <f t="shared" si="126"/>
        <v>a</v>
      </c>
      <c r="U381" s="71"/>
      <c r="V381" s="93" t="s">
        <v>31</v>
      </c>
      <c r="W381" s="29"/>
    </row>
    <row r="382" spans="1:23" ht="18" x14ac:dyDescent="0.25">
      <c r="A382" s="179"/>
      <c r="B382" s="168"/>
      <c r="C382" s="146"/>
      <c r="D382" s="137" t="s">
        <v>87</v>
      </c>
      <c r="E382" s="137" t="s">
        <v>90</v>
      </c>
      <c r="F382" s="85" t="str">
        <f t="shared" si="121"/>
        <v/>
      </c>
      <c r="G382" s="85">
        <v>1.9</v>
      </c>
      <c r="H382" s="85">
        <v>1.8</v>
      </c>
      <c r="I382" s="85" t="str">
        <f t="shared" si="122"/>
        <v/>
      </c>
      <c r="J382" s="85" t="str">
        <f t="shared" si="123"/>
        <v/>
      </c>
      <c r="K382" s="85" t="str">
        <f t="shared" si="119"/>
        <v/>
      </c>
      <c r="L382" s="85" t="str">
        <f t="shared" si="120"/>
        <v/>
      </c>
      <c r="M382" s="106" t="str">
        <f t="shared" si="124"/>
        <v/>
      </c>
      <c r="N382" s="173"/>
      <c r="O382" s="29"/>
      <c r="P382" s="87" t="s">
        <v>96</v>
      </c>
      <c r="Q382" s="71"/>
      <c r="R382" s="88" t="e">
        <f t="shared" si="125"/>
        <v>#VALUE!</v>
      </c>
      <c r="S382" s="71"/>
      <c r="T382" s="89" t="str">
        <f t="shared" si="126"/>
        <v>a</v>
      </c>
      <c r="U382" s="71"/>
      <c r="V382" s="176">
        <f>IF(AND(NOT(N375=0)),V375/N375,0)</f>
        <v>0</v>
      </c>
      <c r="W382" s="29"/>
    </row>
    <row r="383" spans="1:23" ht="18" x14ac:dyDescent="0.25">
      <c r="A383" s="179"/>
      <c r="B383" s="168"/>
      <c r="C383" s="147"/>
      <c r="D383" s="139" t="s">
        <v>73</v>
      </c>
      <c r="E383" s="139" t="s">
        <v>71</v>
      </c>
      <c r="F383" s="16" t="str">
        <f t="shared" si="121"/>
        <v/>
      </c>
      <c r="G383" s="16">
        <v>1.83</v>
      </c>
      <c r="H383" s="16">
        <v>1.83</v>
      </c>
      <c r="I383" s="16" t="str">
        <f t="shared" si="122"/>
        <v/>
      </c>
      <c r="J383" s="16" t="str">
        <f t="shared" si="123"/>
        <v/>
      </c>
      <c r="K383" s="16" t="str">
        <f t="shared" si="119"/>
        <v/>
      </c>
      <c r="L383" s="16" t="str">
        <f t="shared" si="120"/>
        <v/>
      </c>
      <c r="M383" s="105" t="str">
        <f t="shared" si="124"/>
        <v/>
      </c>
      <c r="N383" s="173"/>
      <c r="O383" s="29"/>
      <c r="P383" s="87" t="s">
        <v>96</v>
      </c>
      <c r="Q383" s="71"/>
      <c r="R383" s="88" t="e">
        <f t="shared" si="125"/>
        <v>#VALUE!</v>
      </c>
      <c r="S383" s="71"/>
      <c r="T383" s="89" t="str">
        <f t="shared" si="126"/>
        <v>a</v>
      </c>
      <c r="U383" s="71"/>
      <c r="V383" s="177"/>
      <c r="W383" s="29"/>
    </row>
    <row r="384" spans="1:23" ht="18.75" thickBot="1" x14ac:dyDescent="0.3">
      <c r="A384" s="180"/>
      <c r="B384" s="169"/>
      <c r="C384" s="148"/>
      <c r="D384" s="149" t="s">
        <v>82</v>
      </c>
      <c r="E384" s="149" t="s">
        <v>94</v>
      </c>
      <c r="F384" s="95" t="str">
        <f t="shared" si="121"/>
        <v/>
      </c>
      <c r="G384" s="95">
        <v>1.72</v>
      </c>
      <c r="H384" s="95">
        <v>2</v>
      </c>
      <c r="I384" s="95" t="str">
        <f t="shared" si="122"/>
        <v/>
      </c>
      <c r="J384" s="95" t="str">
        <f t="shared" si="123"/>
        <v/>
      </c>
      <c r="K384" s="95" t="str">
        <f t="shared" si="119"/>
        <v/>
      </c>
      <c r="L384" s="95" t="str">
        <f t="shared" si="120"/>
        <v/>
      </c>
      <c r="M384" s="96" t="str">
        <f t="shared" si="124"/>
        <v/>
      </c>
      <c r="N384" s="174"/>
      <c r="O384" s="29"/>
      <c r="P384" s="97" t="s">
        <v>95</v>
      </c>
      <c r="Q384" s="29"/>
      <c r="R384" s="98" t="e">
        <f t="shared" si="125"/>
        <v>#VALUE!</v>
      </c>
      <c r="S384" s="29"/>
      <c r="T384" s="99" t="str">
        <f t="shared" si="126"/>
        <v>r</v>
      </c>
      <c r="U384" s="29"/>
      <c r="V384" s="178"/>
      <c r="W384" s="29"/>
    </row>
    <row r="385" spans="1:23" x14ac:dyDescent="0.25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31"/>
      <c r="S385" s="29"/>
      <c r="T385" s="29"/>
      <c r="U385" s="29"/>
      <c r="V385" s="32"/>
      <c r="W385" s="29"/>
    </row>
    <row r="386" spans="1:23" x14ac:dyDescent="0.25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31"/>
      <c r="S386" s="29"/>
      <c r="T386" s="29"/>
      <c r="U386" s="29"/>
      <c r="V386" s="32"/>
      <c r="W386" s="29"/>
    </row>
    <row r="387" spans="1:23" ht="16.5" thickBot="1" x14ac:dyDescent="0.3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31"/>
      <c r="S387" s="29"/>
      <c r="T387" s="29"/>
      <c r="U387" s="29"/>
      <c r="V387" s="32"/>
      <c r="W387" s="29"/>
    </row>
    <row r="388" spans="1:23" ht="19.5" customHeight="1" thickBot="1" x14ac:dyDescent="0.3">
      <c r="A388" s="114" t="s">
        <v>6</v>
      </c>
      <c r="B388" s="249" t="s">
        <v>25</v>
      </c>
      <c r="C388" s="72" t="s">
        <v>49</v>
      </c>
      <c r="D388" s="72" t="s">
        <v>9</v>
      </c>
      <c r="E388" s="72" t="s">
        <v>10</v>
      </c>
      <c r="F388" s="72" t="s">
        <v>11</v>
      </c>
      <c r="G388" s="72" t="s">
        <v>12</v>
      </c>
      <c r="H388" s="72" t="s">
        <v>13</v>
      </c>
      <c r="I388" s="72" t="s">
        <v>14</v>
      </c>
      <c r="J388" s="72" t="s">
        <v>15</v>
      </c>
      <c r="K388" s="72" t="s">
        <v>34</v>
      </c>
      <c r="L388" s="72" t="s">
        <v>16</v>
      </c>
      <c r="M388" s="72" t="s">
        <v>48</v>
      </c>
      <c r="N388" s="73" t="s">
        <v>17</v>
      </c>
      <c r="O388" s="74"/>
      <c r="P388" s="75" t="s">
        <v>18</v>
      </c>
      <c r="Q388" s="71"/>
      <c r="R388" s="76" t="s">
        <v>35</v>
      </c>
      <c r="S388" s="71"/>
      <c r="T388" s="75" t="s">
        <v>36</v>
      </c>
      <c r="U388" s="71"/>
      <c r="V388" s="77" t="s">
        <v>29</v>
      </c>
      <c r="W388" s="29"/>
    </row>
    <row r="389" spans="1:23" ht="15.75" customHeight="1" x14ac:dyDescent="0.25">
      <c r="A389" s="115"/>
      <c r="B389" s="250"/>
      <c r="C389" s="145"/>
      <c r="D389" s="135" t="s">
        <v>85</v>
      </c>
      <c r="E389" s="135" t="s">
        <v>75</v>
      </c>
      <c r="F389" s="79" t="str">
        <f>IF(AND(C389=""),"",1-C389)</f>
        <v/>
      </c>
      <c r="G389" s="79">
        <v>2</v>
      </c>
      <c r="H389" s="79">
        <v>1.72</v>
      </c>
      <c r="I389" s="79" t="str">
        <f>IF(AND(C389=""),"",G389*C389)</f>
        <v/>
      </c>
      <c r="J389" s="79" t="str">
        <f>IF(AND(C389=""),"",H389*F389)</f>
        <v/>
      </c>
      <c r="K389" s="79" t="str">
        <f t="shared" ref="K389:K394" si="127">IF(AND(I389=""),"",IF(AND(I389&gt;J389),"T1","T2"))</f>
        <v/>
      </c>
      <c r="L389" s="79" t="str">
        <f t="shared" ref="L389:L398" si="128">IF(AND(J389=""),"",IF(AND(J389&gt;K389),"T1","T2"))</f>
        <v/>
      </c>
      <c r="M389" s="80" t="str">
        <f>IF(L389="","",IF(L389&lt;0.5,K$5*M$2,IF(L389&lt;0.75,K$5*M$3,IF(L389&lt;1,K$5*M$4,IF(L389&lt;1.25,K$5*M$5,IF(L389&lt;1.5,K$5*M$6,IF(L389&lt;2,K$5*M$7,IF(L389&lt;2.5,K$5*M$8,K$5*M$9))))))))</f>
        <v/>
      </c>
      <c r="N389" s="172">
        <f>SUMIF(L389:L398,"&gt;0")</f>
        <v>0</v>
      </c>
      <c r="O389" s="74"/>
      <c r="P389" s="81" t="s">
        <v>95</v>
      </c>
      <c r="Q389" s="74"/>
      <c r="R389" s="82" t="e">
        <f>IF(OR(P389="",L389="NO BET"),0,IF(AND(K389=P389),IF(AND(K389="T2"),ROUNDUP(H389*0.95,2)-M389,ROUNDUP(G389*0.95,2)-M389),-M389))</f>
        <v>#VALUE!</v>
      </c>
      <c r="S389" s="71"/>
      <c r="T389" s="83" t="str">
        <f>IF(AND(P389=""),"",IF(AND(C389&gt;F389),IF(AND(P389="T1"),"a","r"),IF(AND(P389="T2"),"a","r")))</f>
        <v>r</v>
      </c>
      <c r="U389" s="71"/>
      <c r="V389" s="175" t="e">
        <f>SUM(R389:R398)</f>
        <v>#VALUE!</v>
      </c>
      <c r="W389" s="29"/>
    </row>
    <row r="390" spans="1:23" ht="15.75" customHeight="1" x14ac:dyDescent="0.25">
      <c r="A390" s="179" t="s">
        <v>6</v>
      </c>
      <c r="B390" s="250"/>
      <c r="C390" s="146"/>
      <c r="D390" s="137" t="s">
        <v>76</v>
      </c>
      <c r="E390" s="137" t="s">
        <v>93</v>
      </c>
      <c r="F390" s="85" t="str">
        <f t="shared" ref="F390:F398" si="129">IF(AND(C390=""),"",1-C390)</f>
        <v/>
      </c>
      <c r="G390" s="85">
        <v>1.83</v>
      </c>
      <c r="H390" s="85">
        <v>1.83</v>
      </c>
      <c r="I390" s="85" t="str">
        <f t="shared" ref="I390:I394" si="130">IF(AND(C390=""),"",G390*C390)</f>
        <v/>
      </c>
      <c r="J390" s="85" t="str">
        <f t="shared" ref="J390:J394" si="131">IF(AND(C390=""),"",H390*F390)</f>
        <v/>
      </c>
      <c r="K390" s="85" t="str">
        <f t="shared" si="127"/>
        <v/>
      </c>
      <c r="L390" s="85" t="str">
        <f t="shared" si="128"/>
        <v/>
      </c>
      <c r="M390" s="86" t="str">
        <f t="shared" ref="M390:M398" si="132">IF(L390="","",IF(L390&lt;0.5,K$5*M$2,IF(L390&lt;0.75,K$5*M$3,IF(L390&lt;1,K$5*M$4,IF(L390&lt;1.25,K$5*M$5,IF(L390&lt;1.5,K$5*M$6,IF(L390&lt;2,K$5*M$7,IF(L390&lt;2.5,K$5*M$8,K$5*M$9))))))))</f>
        <v/>
      </c>
      <c r="N390" s="173"/>
      <c r="O390" s="29"/>
      <c r="P390" s="87" t="s">
        <v>96</v>
      </c>
      <c r="Q390" s="71"/>
      <c r="R390" s="88" t="e">
        <f t="shared" ref="R390:R398" si="133">IF(OR(P390="",L390="NO BET"),0,IF(AND(K390=P390),IF(AND(K390="T2"),ROUNDUP(H390*M390*0.95,2)-1,ROUNDUP(G390*M390*0.95,2)-M390),-M390))</f>
        <v>#VALUE!</v>
      </c>
      <c r="S390" s="71"/>
      <c r="T390" s="89" t="str">
        <f t="shared" ref="T390:T398" si="134">IF(AND(P390=""),"",IF(AND(C390&gt;F390),IF(AND(P390="T1"),"a","r"),IF(AND(P390="T2"),"a","r")))</f>
        <v>a</v>
      </c>
      <c r="U390" s="71"/>
      <c r="V390" s="175"/>
      <c r="W390" s="29"/>
    </row>
    <row r="391" spans="1:23" ht="15.75" customHeight="1" x14ac:dyDescent="0.25">
      <c r="A391" s="179"/>
      <c r="B391" s="250"/>
      <c r="C391" s="147"/>
      <c r="D391" s="139" t="s">
        <v>90</v>
      </c>
      <c r="E391" s="139" t="s">
        <v>73</v>
      </c>
      <c r="F391" s="16" t="str">
        <f t="shared" si="129"/>
        <v/>
      </c>
      <c r="G391" s="16">
        <v>2.62</v>
      </c>
      <c r="H391" s="16">
        <v>1.44</v>
      </c>
      <c r="I391" s="16" t="str">
        <f t="shared" si="130"/>
        <v/>
      </c>
      <c r="J391" s="16" t="str">
        <f t="shared" si="131"/>
        <v/>
      </c>
      <c r="K391" s="16" t="str">
        <f t="shared" si="127"/>
        <v/>
      </c>
      <c r="L391" s="16" t="str">
        <f t="shared" si="128"/>
        <v/>
      </c>
      <c r="M391" s="91" t="str">
        <f t="shared" si="132"/>
        <v/>
      </c>
      <c r="N391" s="173"/>
      <c r="O391" s="74"/>
      <c r="P391" s="87" t="s">
        <v>95</v>
      </c>
      <c r="Q391" s="71"/>
      <c r="R391" s="88" t="e">
        <f t="shared" si="133"/>
        <v>#VALUE!</v>
      </c>
      <c r="S391" s="71"/>
      <c r="T391" s="89" t="str">
        <f t="shared" si="134"/>
        <v>r</v>
      </c>
      <c r="U391" s="71"/>
      <c r="V391" s="175"/>
      <c r="W391" s="29"/>
    </row>
    <row r="392" spans="1:23" ht="15.75" customHeight="1" x14ac:dyDescent="0.25">
      <c r="A392" s="179"/>
      <c r="B392" s="250"/>
      <c r="C392" s="146"/>
      <c r="D392" s="137" t="s">
        <v>94</v>
      </c>
      <c r="E392" s="137" t="s">
        <v>87</v>
      </c>
      <c r="F392" s="85" t="str">
        <f t="shared" si="129"/>
        <v/>
      </c>
      <c r="G392" s="85">
        <v>1.66</v>
      </c>
      <c r="H392" s="85">
        <v>2.1</v>
      </c>
      <c r="I392" s="85" t="str">
        <f t="shared" si="130"/>
        <v/>
      </c>
      <c r="J392" s="85" t="str">
        <f t="shared" si="131"/>
        <v/>
      </c>
      <c r="K392" s="85" t="str">
        <f t="shared" si="127"/>
        <v/>
      </c>
      <c r="L392" s="85" t="str">
        <f t="shared" si="128"/>
        <v/>
      </c>
      <c r="M392" s="86" t="str">
        <f t="shared" si="132"/>
        <v/>
      </c>
      <c r="N392" s="173"/>
      <c r="O392" s="92"/>
      <c r="P392" s="87" t="s">
        <v>95</v>
      </c>
      <c r="Q392" s="71"/>
      <c r="R392" s="88" t="e">
        <f t="shared" si="133"/>
        <v>#VALUE!</v>
      </c>
      <c r="S392" s="71"/>
      <c r="T392" s="89" t="str">
        <f t="shared" si="134"/>
        <v>r</v>
      </c>
      <c r="U392" s="71"/>
      <c r="V392" s="175"/>
      <c r="W392" s="29"/>
    </row>
    <row r="393" spans="1:23" ht="15.75" customHeight="1" x14ac:dyDescent="0.25">
      <c r="A393" s="179"/>
      <c r="B393" s="250"/>
      <c r="C393" s="147"/>
      <c r="D393" s="139" t="s">
        <v>82</v>
      </c>
      <c r="E393" s="139" t="s">
        <v>71</v>
      </c>
      <c r="F393" s="16" t="str">
        <f t="shared" si="129"/>
        <v/>
      </c>
      <c r="G393" s="16">
        <v>2.1</v>
      </c>
      <c r="H393" s="16">
        <v>1.66</v>
      </c>
      <c r="I393" s="16" t="str">
        <f t="shared" si="130"/>
        <v/>
      </c>
      <c r="J393" s="16" t="str">
        <f t="shared" si="131"/>
        <v/>
      </c>
      <c r="K393" s="16" t="str">
        <f t="shared" si="127"/>
        <v/>
      </c>
      <c r="L393" s="16" t="str">
        <f t="shared" si="128"/>
        <v/>
      </c>
      <c r="M393" s="105" t="str">
        <f t="shared" si="132"/>
        <v/>
      </c>
      <c r="N393" s="173"/>
      <c r="O393" s="92"/>
      <c r="P393" s="87" t="s">
        <v>95</v>
      </c>
      <c r="Q393" s="71"/>
      <c r="R393" s="88" t="e">
        <f t="shared" si="133"/>
        <v>#VALUE!</v>
      </c>
      <c r="S393" s="71"/>
      <c r="T393" s="89" t="str">
        <f t="shared" si="134"/>
        <v>r</v>
      </c>
      <c r="U393" s="71"/>
      <c r="V393" s="175"/>
      <c r="W393" s="29"/>
    </row>
    <row r="394" spans="1:23" ht="15.75" customHeight="1" x14ac:dyDescent="0.25">
      <c r="A394" s="179"/>
      <c r="B394" s="250"/>
      <c r="C394" s="146"/>
      <c r="D394" s="137" t="s">
        <v>85</v>
      </c>
      <c r="E394" s="137" t="s">
        <v>90</v>
      </c>
      <c r="F394" s="85" t="str">
        <f t="shared" si="129"/>
        <v/>
      </c>
      <c r="G394" s="85">
        <v>2.1</v>
      </c>
      <c r="H394" s="85">
        <v>1.66</v>
      </c>
      <c r="I394" s="85" t="str">
        <f t="shared" si="130"/>
        <v/>
      </c>
      <c r="J394" s="85" t="str">
        <f t="shared" si="131"/>
        <v/>
      </c>
      <c r="K394" s="85" t="str">
        <f t="shared" si="127"/>
        <v/>
      </c>
      <c r="L394" s="85" t="str">
        <f t="shared" si="128"/>
        <v/>
      </c>
      <c r="M394" s="86" t="str">
        <f t="shared" si="132"/>
        <v/>
      </c>
      <c r="N394" s="173"/>
      <c r="O394" s="92"/>
      <c r="P394" s="87" t="s">
        <v>96</v>
      </c>
      <c r="Q394" s="71"/>
      <c r="R394" s="88" t="e">
        <f t="shared" si="133"/>
        <v>#VALUE!</v>
      </c>
      <c r="S394" s="71"/>
      <c r="T394" s="89" t="str">
        <f t="shared" si="134"/>
        <v>a</v>
      </c>
      <c r="U394" s="71"/>
      <c r="V394" s="175"/>
      <c r="W394" s="29"/>
    </row>
    <row r="395" spans="1:23" ht="18.75" thickBot="1" x14ac:dyDescent="0.3">
      <c r="A395" s="179"/>
      <c r="B395" s="250"/>
      <c r="C395" s="147"/>
      <c r="D395" s="139" t="s">
        <v>93</v>
      </c>
      <c r="E395" s="139" t="s">
        <v>87</v>
      </c>
      <c r="F395" s="16" t="str">
        <f t="shared" si="129"/>
        <v/>
      </c>
      <c r="G395" s="16">
        <v>2.5</v>
      </c>
      <c r="H395" s="16">
        <v>1.5</v>
      </c>
      <c r="I395" s="16" t="str">
        <f t="shared" ref="I395" si="135">IF(AND(C395=""),"",G395*C395)</f>
        <v/>
      </c>
      <c r="J395" s="16" t="str">
        <f t="shared" ref="J395" si="136">IF(AND(C395=""),"",H395*F395)</f>
        <v/>
      </c>
      <c r="K395" s="16" t="str">
        <f t="shared" ref="K395" si="137">IF(AND(I395=""),"",IF(AND(I395&gt;J395),"T1","T2"))</f>
        <v/>
      </c>
      <c r="L395" s="16" t="str">
        <f t="shared" si="128"/>
        <v/>
      </c>
      <c r="M395" s="91" t="str">
        <f t="shared" si="132"/>
        <v/>
      </c>
      <c r="N395" s="173"/>
      <c r="O395" s="29"/>
      <c r="P395" s="87" t="s">
        <v>95</v>
      </c>
      <c r="Q395" s="71"/>
      <c r="R395" s="88" t="e">
        <f t="shared" si="133"/>
        <v>#VALUE!</v>
      </c>
      <c r="S395" s="71"/>
      <c r="T395" s="89" t="str">
        <f t="shared" si="134"/>
        <v>r</v>
      </c>
      <c r="U395" s="71"/>
      <c r="V395" s="93" t="s">
        <v>31</v>
      </c>
      <c r="W395" s="29"/>
    </row>
    <row r="396" spans="1:23" ht="18" x14ac:dyDescent="0.25">
      <c r="A396" s="179"/>
      <c r="B396" s="250"/>
      <c r="C396" s="146"/>
      <c r="D396" s="137" t="s">
        <v>76</v>
      </c>
      <c r="E396" s="137" t="s">
        <v>82</v>
      </c>
      <c r="F396" s="85" t="str">
        <f t="shared" si="129"/>
        <v/>
      </c>
      <c r="G396" s="85">
        <v>3</v>
      </c>
      <c r="H396" s="85">
        <v>1.36</v>
      </c>
      <c r="I396" s="85" t="str">
        <f t="shared" ref="I396:I398" si="138">IF(AND(C396=""),"",G396*C396)</f>
        <v/>
      </c>
      <c r="J396" s="85" t="str">
        <f t="shared" ref="J396:J398" si="139">IF(AND(C396=""),"",H396*F396)</f>
        <v/>
      </c>
      <c r="K396" s="85" t="str">
        <f t="shared" ref="K396:K398" si="140">IF(AND(I396=""),"",IF(AND(I396&gt;J396),"T1","T2"))</f>
        <v/>
      </c>
      <c r="L396" s="85" t="str">
        <f t="shared" si="128"/>
        <v/>
      </c>
      <c r="M396" s="106" t="str">
        <f t="shared" si="132"/>
        <v/>
      </c>
      <c r="N396" s="173"/>
      <c r="O396" s="29"/>
      <c r="P396" s="87" t="s">
        <v>95</v>
      </c>
      <c r="Q396" s="71"/>
      <c r="R396" s="88" t="e">
        <f t="shared" si="133"/>
        <v>#VALUE!</v>
      </c>
      <c r="S396" s="71"/>
      <c r="T396" s="89" t="str">
        <f t="shared" si="134"/>
        <v>r</v>
      </c>
      <c r="U396" s="71"/>
      <c r="V396" s="176">
        <f>IF(AND(NOT(N389=0)),V389/N389,0)</f>
        <v>0</v>
      </c>
      <c r="W396" s="29"/>
    </row>
    <row r="397" spans="1:23" ht="18" x14ac:dyDescent="0.25">
      <c r="A397" s="179"/>
      <c r="B397" s="250"/>
      <c r="C397" s="147"/>
      <c r="D397" s="139" t="s">
        <v>71</v>
      </c>
      <c r="E397" s="139" t="s">
        <v>94</v>
      </c>
      <c r="F397" s="16" t="str">
        <f t="shared" si="129"/>
        <v/>
      </c>
      <c r="G397" s="16">
        <v>1.57</v>
      </c>
      <c r="H397" s="16">
        <v>2.25</v>
      </c>
      <c r="I397" s="16" t="str">
        <f t="shared" si="138"/>
        <v/>
      </c>
      <c r="J397" s="16" t="str">
        <f t="shared" si="139"/>
        <v/>
      </c>
      <c r="K397" s="16" t="str">
        <f t="shared" si="140"/>
        <v/>
      </c>
      <c r="L397" s="16" t="str">
        <f t="shared" si="128"/>
        <v/>
      </c>
      <c r="M397" s="105" t="str">
        <f t="shared" si="132"/>
        <v/>
      </c>
      <c r="N397" s="173"/>
      <c r="O397" s="29"/>
      <c r="P397" s="87" t="s">
        <v>95</v>
      </c>
      <c r="Q397" s="71"/>
      <c r="R397" s="88" t="e">
        <f t="shared" si="133"/>
        <v>#VALUE!</v>
      </c>
      <c r="S397" s="71"/>
      <c r="T397" s="89" t="str">
        <f t="shared" si="134"/>
        <v>r</v>
      </c>
      <c r="U397" s="71"/>
      <c r="V397" s="177"/>
      <c r="W397" s="29"/>
    </row>
    <row r="398" spans="1:23" ht="18.75" thickBot="1" x14ac:dyDescent="0.3">
      <c r="A398" s="180"/>
      <c r="B398" s="251"/>
      <c r="C398" s="148"/>
      <c r="D398" s="149" t="s">
        <v>73</v>
      </c>
      <c r="E398" s="149" t="s">
        <v>75</v>
      </c>
      <c r="F398" s="95" t="str">
        <f t="shared" si="129"/>
        <v/>
      </c>
      <c r="G398" s="95">
        <v>1.4</v>
      </c>
      <c r="H398" s="95">
        <v>2.75</v>
      </c>
      <c r="I398" s="95" t="str">
        <f t="shared" si="138"/>
        <v/>
      </c>
      <c r="J398" s="95" t="str">
        <f t="shared" si="139"/>
        <v/>
      </c>
      <c r="K398" s="95" t="str">
        <f t="shared" si="140"/>
        <v/>
      </c>
      <c r="L398" s="95" t="str">
        <f t="shared" si="128"/>
        <v/>
      </c>
      <c r="M398" s="96" t="str">
        <f t="shared" si="132"/>
        <v/>
      </c>
      <c r="N398" s="174"/>
      <c r="O398" s="29"/>
      <c r="P398" s="97" t="s">
        <v>95</v>
      </c>
      <c r="Q398" s="29"/>
      <c r="R398" s="98" t="e">
        <f t="shared" si="133"/>
        <v>#VALUE!</v>
      </c>
      <c r="S398" s="29"/>
      <c r="T398" s="99" t="str">
        <f t="shared" si="134"/>
        <v>r</v>
      </c>
      <c r="U398" s="29"/>
      <c r="V398" s="178"/>
      <c r="W398" s="29"/>
    </row>
    <row r="399" spans="1:23" x14ac:dyDescent="0.25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31"/>
      <c r="S399" s="29"/>
      <c r="T399" s="29"/>
      <c r="U399" s="29"/>
      <c r="V399" s="32"/>
      <c r="W399" s="29"/>
    </row>
    <row r="400" spans="1:23" x14ac:dyDescent="0.25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31"/>
      <c r="S400" s="29"/>
      <c r="T400" s="29"/>
      <c r="U400" s="29"/>
      <c r="V400" s="32"/>
      <c r="W400" s="29"/>
    </row>
    <row r="401" spans="1:23" ht="16.5" thickBot="1" x14ac:dyDescent="0.3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31"/>
      <c r="S401" s="29"/>
      <c r="T401" s="29"/>
      <c r="U401" s="29"/>
      <c r="V401" s="32"/>
      <c r="W401" s="29"/>
    </row>
    <row r="402" spans="1:23" ht="19.5" customHeight="1" thickBot="1" x14ac:dyDescent="0.3">
      <c r="A402" s="114" t="s">
        <v>6</v>
      </c>
      <c r="B402" s="167" t="s">
        <v>26</v>
      </c>
      <c r="C402" s="72" t="s">
        <v>49</v>
      </c>
      <c r="D402" s="119" t="s">
        <v>9</v>
      </c>
      <c r="E402" s="119" t="s">
        <v>10</v>
      </c>
      <c r="F402" s="119" t="s">
        <v>11</v>
      </c>
      <c r="G402" s="119" t="s">
        <v>12</v>
      </c>
      <c r="H402" s="119" t="s">
        <v>13</v>
      </c>
      <c r="I402" s="119" t="s">
        <v>14</v>
      </c>
      <c r="J402" s="119" t="s">
        <v>15</v>
      </c>
      <c r="K402" s="119" t="s">
        <v>34</v>
      </c>
      <c r="L402" s="72" t="s">
        <v>16</v>
      </c>
      <c r="M402" s="72" t="s">
        <v>48</v>
      </c>
      <c r="N402" s="73" t="s">
        <v>17</v>
      </c>
      <c r="O402" s="74"/>
      <c r="P402" s="75" t="s">
        <v>18</v>
      </c>
      <c r="Q402" s="71"/>
      <c r="R402" s="76" t="s">
        <v>35</v>
      </c>
      <c r="S402" s="71"/>
      <c r="T402" s="75" t="s">
        <v>36</v>
      </c>
      <c r="U402" s="71"/>
      <c r="V402" s="77" t="s">
        <v>29</v>
      </c>
      <c r="W402" s="29"/>
    </row>
    <row r="403" spans="1:23" ht="15.75" customHeight="1" x14ac:dyDescent="0.25">
      <c r="A403" s="115"/>
      <c r="B403" s="168"/>
      <c r="C403" s="145"/>
      <c r="D403" s="135" t="s">
        <v>75</v>
      </c>
      <c r="E403" s="135" t="s">
        <v>87</v>
      </c>
      <c r="F403" s="79" t="str">
        <f>IF(AND(C403=""),"",1-C403)</f>
        <v/>
      </c>
      <c r="G403" s="79">
        <v>1.9</v>
      </c>
      <c r="H403" s="79">
        <v>1.8</v>
      </c>
      <c r="I403" s="79" t="str">
        <f>IF(AND(C403=""),"",G403*C403)</f>
        <v/>
      </c>
      <c r="J403" s="79" t="str">
        <f>IF(AND(C403=""),"",H403*F403)</f>
        <v/>
      </c>
      <c r="K403" s="79" t="str">
        <f t="shared" ref="K403:K412" si="141">IF(AND(I403=""),"",IF(AND(I403&gt;J403),"T1","T2"))</f>
        <v/>
      </c>
      <c r="L403" s="79" t="str">
        <f t="shared" ref="L403:L412" si="142">IF(AND(J403=""),"",IF(AND(J403&gt;K403),"T1","T2"))</f>
        <v/>
      </c>
      <c r="M403" s="80" t="str">
        <f>IF(L403="","",IF(L403&lt;0.5,K$5*M$2,IF(L403&lt;0.75,K$5*M$3,IF(L403&lt;1,K$5*M$4,IF(L403&lt;1.25,K$5*M$5,IF(L403&lt;1.5,K$5*M$6,IF(L403&lt;2,K$5*M$7,IF(L403&lt;2.5,K$5*M$8,K$5*M$9))))))))</f>
        <v/>
      </c>
      <c r="N403" s="172">
        <f>SUMIF(L403:L412,"&gt;0")</f>
        <v>0</v>
      </c>
      <c r="O403" s="74"/>
      <c r="P403" s="81" t="s">
        <v>96</v>
      </c>
      <c r="Q403" s="74"/>
      <c r="R403" s="82" t="e">
        <f>IF(OR(P403="",L403="NO BET"),0,IF(AND(K403=P403),IF(AND(K403="T2"),ROUNDUP(H403*0.95,2)-M403,ROUNDUP(G403*0.95,2)-M403),-M403))</f>
        <v>#VALUE!</v>
      </c>
      <c r="S403" s="71"/>
      <c r="T403" s="83" t="str">
        <f>IF(AND(P403=""),"",IF(AND(C403&gt;F403),IF(AND(P403="T1"),"a","r"),IF(AND(P403="T2"),"a","r")))</f>
        <v>a</v>
      </c>
      <c r="U403" s="71"/>
      <c r="V403" s="175" t="e">
        <f>SUM(R403:R412)</f>
        <v>#VALUE!</v>
      </c>
      <c r="W403" s="29"/>
    </row>
    <row r="404" spans="1:23" ht="15.75" customHeight="1" x14ac:dyDescent="0.25">
      <c r="A404" s="179" t="s">
        <v>6</v>
      </c>
      <c r="B404" s="168"/>
      <c r="C404" s="146"/>
      <c r="D404" s="137" t="s">
        <v>94</v>
      </c>
      <c r="E404" s="137" t="s">
        <v>93</v>
      </c>
      <c r="F404" s="85" t="str">
        <f t="shared" ref="F404:F412" si="143">IF(AND(C404=""),"",1-C404)</f>
        <v/>
      </c>
      <c r="G404" s="85">
        <v>1.53</v>
      </c>
      <c r="H404" s="85">
        <v>2.37</v>
      </c>
      <c r="I404" s="85" t="str">
        <f t="shared" ref="I404:I412" si="144">IF(AND(C404=""),"",G404*C404)</f>
        <v/>
      </c>
      <c r="J404" s="85" t="str">
        <f t="shared" ref="J404:J412" si="145">IF(AND(C404=""),"",H404*F404)</f>
        <v/>
      </c>
      <c r="K404" s="85" t="str">
        <f t="shared" si="141"/>
        <v/>
      </c>
      <c r="L404" s="85" t="str">
        <f t="shared" si="142"/>
        <v/>
      </c>
      <c r="M404" s="86" t="str">
        <f t="shared" ref="M404:M412" si="146">IF(L404="","",IF(L404&lt;0.5,K$5*M$2,IF(L404&lt;0.75,K$5*M$3,IF(L404&lt;1,K$5*M$4,IF(L404&lt;1.25,K$5*M$5,IF(L404&lt;1.5,K$5*M$6,IF(L404&lt;2,K$5*M$7,IF(L404&lt;2.5,K$5*M$8,K$5*M$9))))))))</f>
        <v/>
      </c>
      <c r="N404" s="173"/>
      <c r="O404" s="29"/>
      <c r="P404" s="87" t="s">
        <v>95</v>
      </c>
      <c r="Q404" s="71"/>
      <c r="R404" s="88" t="e">
        <f t="shared" ref="R404:R412" si="147">IF(OR(P404="",L404="NO BET"),0,IF(AND(K404=P404),IF(AND(K404="T2"),ROUNDUP(H404*M404*0.95,2)-1,ROUNDUP(G404*M404*0.95,2)-M404),-M404))</f>
        <v>#VALUE!</v>
      </c>
      <c r="S404" s="71"/>
      <c r="T404" s="89" t="str">
        <f t="shared" ref="T404:T412" si="148">IF(AND(P404=""),"",IF(AND(C404&gt;F404),IF(AND(P404="T1"),"a","r"),IF(AND(P404="T2"),"a","r")))</f>
        <v>r</v>
      </c>
      <c r="U404" s="71"/>
      <c r="V404" s="175"/>
      <c r="W404" s="29"/>
    </row>
    <row r="405" spans="1:23" ht="15.75" customHeight="1" x14ac:dyDescent="0.25">
      <c r="A405" s="179"/>
      <c r="B405" s="168"/>
      <c r="C405" s="147"/>
      <c r="D405" s="139" t="s">
        <v>73</v>
      </c>
      <c r="E405" s="139" t="s">
        <v>76</v>
      </c>
      <c r="F405" s="16" t="str">
        <f t="shared" si="143"/>
        <v/>
      </c>
      <c r="G405" s="16">
        <v>1.33</v>
      </c>
      <c r="H405" s="16">
        <v>3.25</v>
      </c>
      <c r="I405" s="16" t="str">
        <f t="shared" si="144"/>
        <v/>
      </c>
      <c r="J405" s="16" t="str">
        <f t="shared" si="145"/>
        <v/>
      </c>
      <c r="K405" s="16" t="str">
        <f t="shared" si="141"/>
        <v/>
      </c>
      <c r="L405" s="16" t="str">
        <f t="shared" si="142"/>
        <v/>
      </c>
      <c r="M405" s="91" t="str">
        <f t="shared" si="146"/>
        <v/>
      </c>
      <c r="N405" s="173"/>
      <c r="O405" s="74"/>
      <c r="P405" s="87" t="s">
        <v>96</v>
      </c>
      <c r="Q405" s="71"/>
      <c r="R405" s="88" t="e">
        <f t="shared" si="147"/>
        <v>#VALUE!</v>
      </c>
      <c r="S405" s="71"/>
      <c r="T405" s="89" t="str">
        <f t="shared" si="148"/>
        <v>a</v>
      </c>
      <c r="U405" s="71"/>
      <c r="V405" s="175"/>
      <c r="W405" s="29"/>
    </row>
    <row r="406" spans="1:23" ht="15.75" customHeight="1" x14ac:dyDescent="0.25">
      <c r="A406" s="179"/>
      <c r="B406" s="168"/>
      <c r="C406" s="146"/>
      <c r="D406" s="137" t="s">
        <v>71</v>
      </c>
      <c r="E406" s="137" t="s">
        <v>85</v>
      </c>
      <c r="F406" s="85" t="str">
        <f t="shared" si="143"/>
        <v/>
      </c>
      <c r="G406" s="85">
        <v>1.44</v>
      </c>
      <c r="H406" s="85">
        <v>2.62</v>
      </c>
      <c r="I406" s="85" t="str">
        <f t="shared" si="144"/>
        <v/>
      </c>
      <c r="J406" s="85" t="str">
        <f t="shared" si="145"/>
        <v/>
      </c>
      <c r="K406" s="85" t="str">
        <f t="shared" si="141"/>
        <v/>
      </c>
      <c r="L406" s="85" t="str">
        <f t="shared" si="142"/>
        <v/>
      </c>
      <c r="M406" s="86" t="str">
        <f t="shared" si="146"/>
        <v/>
      </c>
      <c r="N406" s="173"/>
      <c r="O406" s="92"/>
      <c r="P406" s="87" t="s">
        <v>95</v>
      </c>
      <c r="Q406" s="71"/>
      <c r="R406" s="88" t="e">
        <f t="shared" si="147"/>
        <v>#VALUE!</v>
      </c>
      <c r="S406" s="71"/>
      <c r="T406" s="89" t="str">
        <f t="shared" si="148"/>
        <v>r</v>
      </c>
      <c r="U406" s="71"/>
      <c r="V406" s="175"/>
      <c r="W406" s="29"/>
    </row>
    <row r="407" spans="1:23" ht="15.75" customHeight="1" x14ac:dyDescent="0.25">
      <c r="A407" s="179"/>
      <c r="B407" s="168"/>
      <c r="C407" s="147"/>
      <c r="D407" s="139" t="s">
        <v>90</v>
      </c>
      <c r="E407" s="139" t="s">
        <v>82</v>
      </c>
      <c r="F407" s="16" t="str">
        <f t="shared" si="143"/>
        <v/>
      </c>
      <c r="G407" s="16">
        <v>1.9</v>
      </c>
      <c r="H407" s="16">
        <v>1.8</v>
      </c>
      <c r="I407" s="16" t="str">
        <f>IF(AND(C407=""),"",G407*C407)</f>
        <v/>
      </c>
      <c r="J407" s="16" t="str">
        <f>IF(AND(C407=""),"",H407*F407)</f>
        <v/>
      </c>
      <c r="K407" s="16" t="str">
        <f t="shared" si="141"/>
        <v/>
      </c>
      <c r="L407" s="16" t="str">
        <f t="shared" si="142"/>
        <v/>
      </c>
      <c r="M407" s="105" t="str">
        <f t="shared" si="146"/>
        <v/>
      </c>
      <c r="N407" s="173"/>
      <c r="O407" s="92"/>
      <c r="P407" s="87" t="s">
        <v>95</v>
      </c>
      <c r="Q407" s="71"/>
      <c r="R407" s="88" t="e">
        <f t="shared" si="147"/>
        <v>#VALUE!</v>
      </c>
      <c r="S407" s="71"/>
      <c r="T407" s="89" t="str">
        <f t="shared" si="148"/>
        <v>r</v>
      </c>
      <c r="U407" s="71"/>
      <c r="V407" s="175"/>
      <c r="W407" s="29"/>
    </row>
    <row r="408" spans="1:23" ht="15.75" customHeight="1" x14ac:dyDescent="0.25">
      <c r="A408" s="179"/>
      <c r="B408" s="168"/>
      <c r="C408" s="146"/>
      <c r="D408" s="137" t="s">
        <v>94</v>
      </c>
      <c r="E408" s="137" t="s">
        <v>85</v>
      </c>
      <c r="F408" s="85" t="str">
        <f t="shared" si="143"/>
        <v/>
      </c>
      <c r="G408" s="85">
        <v>1.66</v>
      </c>
      <c r="H408" s="85">
        <v>2.1</v>
      </c>
      <c r="I408" s="85" t="str">
        <f t="shared" si="144"/>
        <v/>
      </c>
      <c r="J408" s="85" t="str">
        <f t="shared" si="145"/>
        <v/>
      </c>
      <c r="K408" s="85" t="str">
        <f t="shared" si="141"/>
        <v/>
      </c>
      <c r="L408" s="85" t="str">
        <f t="shared" si="142"/>
        <v/>
      </c>
      <c r="M408" s="86" t="str">
        <f t="shared" si="146"/>
        <v/>
      </c>
      <c r="N408" s="173"/>
      <c r="O408" s="92"/>
      <c r="P408" s="87" t="s">
        <v>96</v>
      </c>
      <c r="Q408" s="71"/>
      <c r="R408" s="88" t="e">
        <f t="shared" si="147"/>
        <v>#VALUE!</v>
      </c>
      <c r="S408" s="71"/>
      <c r="T408" s="89" t="str">
        <f t="shared" si="148"/>
        <v>a</v>
      </c>
      <c r="U408" s="71"/>
      <c r="V408" s="175"/>
      <c r="W408" s="29"/>
    </row>
    <row r="409" spans="1:23" ht="18.75" thickBot="1" x14ac:dyDescent="0.3">
      <c r="A409" s="179"/>
      <c r="B409" s="168"/>
      <c r="C409" s="147"/>
      <c r="D409" s="139" t="s">
        <v>90</v>
      </c>
      <c r="E409" s="139" t="s">
        <v>76</v>
      </c>
      <c r="F409" s="16" t="str">
        <f t="shared" si="143"/>
        <v/>
      </c>
      <c r="G409" s="16">
        <v>1.4</v>
      </c>
      <c r="H409" s="16">
        <v>2.75</v>
      </c>
      <c r="I409" s="16" t="str">
        <f t="shared" si="144"/>
        <v/>
      </c>
      <c r="J409" s="16" t="str">
        <f t="shared" si="145"/>
        <v/>
      </c>
      <c r="K409" s="16" t="str">
        <f t="shared" si="141"/>
        <v/>
      </c>
      <c r="L409" s="16" t="str">
        <f t="shared" si="142"/>
        <v/>
      </c>
      <c r="M409" s="91" t="str">
        <f t="shared" si="146"/>
        <v/>
      </c>
      <c r="N409" s="173"/>
      <c r="O409" s="29"/>
      <c r="P409" s="87" t="s">
        <v>95</v>
      </c>
      <c r="Q409" s="71"/>
      <c r="R409" s="88" t="e">
        <f t="shared" si="147"/>
        <v>#VALUE!</v>
      </c>
      <c r="S409" s="71"/>
      <c r="T409" s="89" t="str">
        <f t="shared" si="148"/>
        <v>r</v>
      </c>
      <c r="U409" s="71"/>
      <c r="V409" s="93" t="s">
        <v>31</v>
      </c>
      <c r="W409" s="29"/>
    </row>
    <row r="410" spans="1:23" ht="18" x14ac:dyDescent="0.25">
      <c r="A410" s="179"/>
      <c r="B410" s="168"/>
      <c r="C410" s="146"/>
      <c r="D410" s="137" t="s">
        <v>82</v>
      </c>
      <c r="E410" s="137" t="s">
        <v>75</v>
      </c>
      <c r="F410" s="85" t="str">
        <f t="shared" si="143"/>
        <v/>
      </c>
      <c r="G410" s="85">
        <v>1.53</v>
      </c>
      <c r="H410" s="85">
        <v>2.37</v>
      </c>
      <c r="I410" s="85" t="str">
        <f t="shared" si="144"/>
        <v/>
      </c>
      <c r="J410" s="85" t="str">
        <f t="shared" si="145"/>
        <v/>
      </c>
      <c r="K410" s="85" t="str">
        <f t="shared" si="141"/>
        <v/>
      </c>
      <c r="L410" s="85" t="str">
        <f t="shared" si="142"/>
        <v/>
      </c>
      <c r="M410" s="106" t="str">
        <f t="shared" si="146"/>
        <v/>
      </c>
      <c r="N410" s="173"/>
      <c r="O410" s="29"/>
      <c r="P410" s="87" t="s">
        <v>96</v>
      </c>
      <c r="Q410" s="71"/>
      <c r="R410" s="88" t="e">
        <f t="shared" si="147"/>
        <v>#VALUE!</v>
      </c>
      <c r="S410" s="71"/>
      <c r="T410" s="89" t="str">
        <f t="shared" si="148"/>
        <v>a</v>
      </c>
      <c r="U410" s="71"/>
      <c r="V410" s="176">
        <f>IF(AND(NOT(N403=0)),V403/N403,0)</f>
        <v>0</v>
      </c>
      <c r="W410" s="29"/>
    </row>
    <row r="411" spans="1:23" ht="18" x14ac:dyDescent="0.25">
      <c r="A411" s="179"/>
      <c r="B411" s="168"/>
      <c r="C411" s="147"/>
      <c r="D411" s="139" t="s">
        <v>93</v>
      </c>
      <c r="E411" s="139" t="s">
        <v>71</v>
      </c>
      <c r="F411" s="16" t="str">
        <f t="shared" si="143"/>
        <v/>
      </c>
      <c r="G411" s="16">
        <v>3</v>
      </c>
      <c r="H411" s="16">
        <v>1.36</v>
      </c>
      <c r="I411" s="16" t="str">
        <f t="shared" si="144"/>
        <v/>
      </c>
      <c r="J411" s="16" t="str">
        <f t="shared" si="145"/>
        <v/>
      </c>
      <c r="K411" s="16" t="str">
        <f t="shared" si="141"/>
        <v/>
      </c>
      <c r="L411" s="16" t="str">
        <f t="shared" si="142"/>
        <v/>
      </c>
      <c r="M411" s="105" t="str">
        <f t="shared" si="146"/>
        <v/>
      </c>
      <c r="N411" s="173"/>
      <c r="O411" s="29"/>
      <c r="P411" s="87" t="s">
        <v>96</v>
      </c>
      <c r="Q411" s="71"/>
      <c r="R411" s="88" t="e">
        <f t="shared" si="147"/>
        <v>#VALUE!</v>
      </c>
      <c r="S411" s="71"/>
      <c r="T411" s="89" t="str">
        <f t="shared" si="148"/>
        <v>a</v>
      </c>
      <c r="U411" s="71"/>
      <c r="V411" s="177"/>
      <c r="W411" s="29"/>
    </row>
    <row r="412" spans="1:23" ht="18.75" thickBot="1" x14ac:dyDescent="0.3">
      <c r="A412" s="180"/>
      <c r="B412" s="169"/>
      <c r="C412" s="148"/>
      <c r="D412" s="149" t="s">
        <v>87</v>
      </c>
      <c r="E412" s="149" t="s">
        <v>73</v>
      </c>
      <c r="F412" s="95" t="str">
        <f t="shared" si="143"/>
        <v/>
      </c>
      <c r="G412" s="95">
        <v>2.75</v>
      </c>
      <c r="H412" s="95">
        <v>1.4</v>
      </c>
      <c r="I412" s="95" t="str">
        <f t="shared" si="144"/>
        <v/>
      </c>
      <c r="J412" s="95" t="str">
        <f t="shared" si="145"/>
        <v/>
      </c>
      <c r="K412" s="95" t="str">
        <f t="shared" si="141"/>
        <v/>
      </c>
      <c r="L412" s="95" t="str">
        <f t="shared" si="142"/>
        <v/>
      </c>
      <c r="M412" s="96" t="str">
        <f t="shared" si="146"/>
        <v/>
      </c>
      <c r="N412" s="174"/>
      <c r="O412" s="29"/>
      <c r="P412" s="97" t="s">
        <v>95</v>
      </c>
      <c r="Q412" s="29"/>
      <c r="R412" s="98" t="e">
        <f t="shared" si="147"/>
        <v>#VALUE!</v>
      </c>
      <c r="S412" s="29"/>
      <c r="T412" s="99" t="str">
        <f t="shared" si="148"/>
        <v>r</v>
      </c>
      <c r="U412" s="29"/>
      <c r="V412" s="178"/>
      <c r="W412" s="29"/>
    </row>
    <row r="413" spans="1:23" x14ac:dyDescent="0.25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31"/>
      <c r="S413" s="29"/>
      <c r="T413" s="29"/>
      <c r="U413" s="29"/>
      <c r="V413" s="32"/>
      <c r="W413" s="29"/>
    </row>
    <row r="414" spans="1:23" x14ac:dyDescent="0.25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31"/>
      <c r="S414" s="29"/>
      <c r="T414" s="29"/>
      <c r="U414" s="29"/>
      <c r="V414" s="32"/>
      <c r="W414" s="29"/>
    </row>
    <row r="415" spans="1:23" ht="16.5" thickBot="1" x14ac:dyDescent="0.3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31"/>
      <c r="S415" s="29"/>
      <c r="T415" s="29"/>
      <c r="U415" s="29"/>
      <c r="V415" s="32"/>
      <c r="W415" s="29"/>
    </row>
    <row r="416" spans="1:23" ht="19.5" customHeight="1" thickBot="1" x14ac:dyDescent="0.3">
      <c r="A416" s="114" t="s">
        <v>6</v>
      </c>
      <c r="B416" s="167" t="s">
        <v>27</v>
      </c>
      <c r="C416" s="72" t="s">
        <v>49</v>
      </c>
      <c r="D416" s="72" t="s">
        <v>9</v>
      </c>
      <c r="E416" s="72" t="s">
        <v>10</v>
      </c>
      <c r="F416" s="72" t="s">
        <v>11</v>
      </c>
      <c r="G416" s="72" t="s">
        <v>12</v>
      </c>
      <c r="H416" s="72" t="s">
        <v>13</v>
      </c>
      <c r="I416" s="72" t="s">
        <v>14</v>
      </c>
      <c r="J416" s="72" t="s">
        <v>15</v>
      </c>
      <c r="K416" s="72" t="s">
        <v>34</v>
      </c>
      <c r="L416" s="72" t="s">
        <v>16</v>
      </c>
      <c r="M416" s="72" t="s">
        <v>48</v>
      </c>
      <c r="N416" s="73" t="s">
        <v>17</v>
      </c>
      <c r="O416" s="74"/>
      <c r="P416" s="75" t="s">
        <v>18</v>
      </c>
      <c r="Q416" s="71"/>
      <c r="R416" s="76" t="s">
        <v>35</v>
      </c>
      <c r="S416" s="71"/>
      <c r="T416" s="75" t="s">
        <v>36</v>
      </c>
      <c r="U416" s="71"/>
      <c r="V416" s="77" t="s">
        <v>29</v>
      </c>
      <c r="W416" s="29"/>
    </row>
    <row r="417" spans="1:23" ht="15.75" customHeight="1" x14ac:dyDescent="0.25">
      <c r="A417" s="115"/>
      <c r="B417" s="168"/>
      <c r="C417" s="145"/>
      <c r="D417" s="135" t="s">
        <v>87</v>
      </c>
      <c r="E417" s="135" t="s">
        <v>76</v>
      </c>
      <c r="F417" s="79" t="str">
        <f>IF(AND(C417=""),"",1-C417)</f>
        <v/>
      </c>
      <c r="G417" s="79">
        <v>1.5</v>
      </c>
      <c r="H417" s="79">
        <v>2.5</v>
      </c>
      <c r="I417" s="79" t="str">
        <f>IF(AND(C417=""),"",G417*C417)</f>
        <v/>
      </c>
      <c r="J417" s="79" t="str">
        <f>IF(AND(C417=""),"",H417*F417)</f>
        <v/>
      </c>
      <c r="K417" s="79" t="str">
        <f t="shared" ref="K417:K426" si="149">IF(AND(I417=""),"",IF(AND(I417&gt;J417),"T1","T2"))</f>
        <v/>
      </c>
      <c r="L417" s="79" t="str">
        <f t="shared" ref="L417:L426" si="150">IF(AND(J417=""),"",IF(AND(J417&gt;K417),"T1","T2"))</f>
        <v/>
      </c>
      <c r="M417" s="80" t="str">
        <f>IF(L417="","",IF(L417&lt;0.5,K$5*M$2,IF(L417&lt;0.75,K$5*M$3,IF(L417&lt;1,K$5*M$4,IF(L417&lt;1.25,K$5*M$5,IF(L417&lt;1.5,K$5*M$6,IF(L417&lt;2,K$5*M$7,IF(L417&lt;2.5,K$5*M$8,K$5*M$9))))))))</f>
        <v/>
      </c>
      <c r="N417" s="172">
        <f>SUMIF(L417:L426,"&gt;0")</f>
        <v>0</v>
      </c>
      <c r="O417" s="74"/>
      <c r="P417" s="81" t="s">
        <v>96</v>
      </c>
      <c r="Q417" s="74"/>
      <c r="R417" s="82" t="e">
        <f>IF(OR(P417="",L417="NO BET"),0,IF(AND(K417=P417),IF(AND(K417="T2"),ROUNDUP(H417*0.95,2)-M417,ROUNDUP(G417*0.95,2)-M417),-M417))</f>
        <v>#VALUE!</v>
      </c>
      <c r="S417" s="71"/>
      <c r="T417" s="83" t="str">
        <f>IF(AND(P417=""),"",IF(AND(C417&gt;F417),IF(AND(P417="T1"),"a","r"),IF(AND(P417="T2"),"a","r")))</f>
        <v>a</v>
      </c>
      <c r="U417" s="71"/>
      <c r="V417" s="175" t="e">
        <f>SUM(R417:R426)</f>
        <v>#VALUE!</v>
      </c>
      <c r="W417" s="29"/>
    </row>
    <row r="418" spans="1:23" ht="15.75" customHeight="1" x14ac:dyDescent="0.25">
      <c r="A418" s="179" t="s">
        <v>6</v>
      </c>
      <c r="B418" s="168"/>
      <c r="C418" s="146"/>
      <c r="D418" s="137" t="s">
        <v>82</v>
      </c>
      <c r="E418" s="137" t="s">
        <v>85</v>
      </c>
      <c r="F418" s="85" t="str">
        <f t="shared" ref="F418:F426" si="151">IF(AND(C418=""),"",1-C418)</f>
        <v/>
      </c>
      <c r="G418" s="85">
        <v>1.66</v>
      </c>
      <c r="H418" s="85">
        <v>2.1</v>
      </c>
      <c r="I418" s="85" t="str">
        <f t="shared" ref="I418:I426" si="152">IF(AND(C418=""),"",G418*C418)</f>
        <v/>
      </c>
      <c r="J418" s="85" t="str">
        <f t="shared" ref="J418:J426" si="153">IF(AND(C418=""),"",H418*F418)</f>
        <v/>
      </c>
      <c r="K418" s="85" t="str">
        <f t="shared" si="149"/>
        <v/>
      </c>
      <c r="L418" s="85" t="str">
        <f t="shared" si="150"/>
        <v/>
      </c>
      <c r="M418" s="86" t="str">
        <f t="shared" ref="M418:M426" si="154">IF(L418="","",IF(L418&lt;0.5,K$5*M$2,IF(L418&lt;0.75,K$5*M$3,IF(L418&lt;1,K$5*M$4,IF(L418&lt;1.25,K$5*M$5,IF(L418&lt;1.5,K$5*M$6,IF(L418&lt;2,K$5*M$7,IF(L418&lt;2.5,K$5*M$8,K$5*M$9))))))))</f>
        <v/>
      </c>
      <c r="N418" s="173"/>
      <c r="O418" s="29"/>
      <c r="P418" s="87" t="s">
        <v>96</v>
      </c>
      <c r="Q418" s="71"/>
      <c r="R418" s="88" t="e">
        <f t="shared" ref="R418:R426" si="155">IF(OR(P418="",L418="NO BET"),0,IF(AND(K418=P418),IF(AND(K418="T2"),ROUNDUP(H418*M418*0.95,2)-1,ROUNDUP(G418*M418*0.95,2)-M418),-M418))</f>
        <v>#VALUE!</v>
      </c>
      <c r="S418" s="71"/>
      <c r="T418" s="89" t="str">
        <f t="shared" ref="T418:T426" si="156">IF(AND(P418=""),"",IF(AND(C418&gt;F418),IF(AND(P418="T1"),"a","r"),IF(AND(P418="T2"),"a","r")))</f>
        <v>a</v>
      </c>
      <c r="U418" s="71"/>
      <c r="V418" s="175"/>
      <c r="W418" s="29"/>
    </row>
    <row r="419" spans="1:23" ht="15.75" customHeight="1" x14ac:dyDescent="0.25">
      <c r="A419" s="179"/>
      <c r="B419" s="168"/>
      <c r="C419" s="147"/>
      <c r="D419" s="139" t="s">
        <v>90</v>
      </c>
      <c r="E419" s="139" t="s">
        <v>94</v>
      </c>
      <c r="F419" s="16" t="str">
        <f t="shared" si="151"/>
        <v/>
      </c>
      <c r="G419" s="139">
        <v>1.72</v>
      </c>
      <c r="H419" s="16">
        <v>2</v>
      </c>
      <c r="I419" s="16" t="str">
        <f t="shared" si="152"/>
        <v/>
      </c>
      <c r="J419" s="16" t="str">
        <f t="shared" si="153"/>
        <v/>
      </c>
      <c r="K419" s="16" t="str">
        <f t="shared" si="149"/>
        <v/>
      </c>
      <c r="L419" s="16" t="str">
        <f t="shared" si="150"/>
        <v/>
      </c>
      <c r="M419" s="91" t="str">
        <f t="shared" si="154"/>
        <v/>
      </c>
      <c r="N419" s="173"/>
      <c r="O419" s="74"/>
      <c r="P419" s="87" t="s">
        <v>96</v>
      </c>
      <c r="Q419" s="71"/>
      <c r="R419" s="88" t="e">
        <f t="shared" si="155"/>
        <v>#VALUE!</v>
      </c>
      <c r="S419" s="71"/>
      <c r="T419" s="89" t="str">
        <f t="shared" si="156"/>
        <v>a</v>
      </c>
      <c r="U419" s="71"/>
      <c r="V419" s="175"/>
      <c r="W419" s="29"/>
    </row>
    <row r="420" spans="1:23" ht="15.75" customHeight="1" x14ac:dyDescent="0.25">
      <c r="A420" s="179"/>
      <c r="B420" s="168"/>
      <c r="C420" s="146"/>
      <c r="D420" s="137" t="s">
        <v>75</v>
      </c>
      <c r="E420" s="137" t="s">
        <v>71</v>
      </c>
      <c r="F420" s="85" t="str">
        <f t="shared" si="151"/>
        <v/>
      </c>
      <c r="G420" s="85">
        <v>3</v>
      </c>
      <c r="H420" s="85">
        <v>1.36</v>
      </c>
      <c r="I420" s="85" t="str">
        <f t="shared" si="152"/>
        <v/>
      </c>
      <c r="J420" s="85" t="str">
        <f t="shared" si="153"/>
        <v/>
      </c>
      <c r="K420" s="85" t="str">
        <f t="shared" si="149"/>
        <v/>
      </c>
      <c r="L420" s="85" t="str">
        <f t="shared" si="150"/>
        <v/>
      </c>
      <c r="M420" s="86" t="str">
        <f t="shared" si="154"/>
        <v/>
      </c>
      <c r="N420" s="173"/>
      <c r="O420" s="92"/>
      <c r="P420" s="87" t="s">
        <v>96</v>
      </c>
      <c r="Q420" s="71"/>
      <c r="R420" s="88" t="e">
        <f t="shared" si="155"/>
        <v>#VALUE!</v>
      </c>
      <c r="S420" s="71"/>
      <c r="T420" s="89" t="str">
        <f t="shared" si="156"/>
        <v>a</v>
      </c>
      <c r="U420" s="71"/>
      <c r="V420" s="175"/>
      <c r="W420" s="29"/>
    </row>
    <row r="421" spans="1:23" ht="15.75" customHeight="1" x14ac:dyDescent="0.25">
      <c r="A421" s="179"/>
      <c r="B421" s="168"/>
      <c r="C421" s="147"/>
      <c r="D421" s="139" t="s">
        <v>93</v>
      </c>
      <c r="E421" s="139" t="s">
        <v>73</v>
      </c>
      <c r="F421" s="16" t="str">
        <f t="shared" si="151"/>
        <v/>
      </c>
      <c r="G421" s="16">
        <v>3.4</v>
      </c>
      <c r="H421" s="16">
        <v>1.3</v>
      </c>
      <c r="I421" s="16" t="str">
        <f t="shared" si="152"/>
        <v/>
      </c>
      <c r="J421" s="16" t="str">
        <f t="shared" si="153"/>
        <v/>
      </c>
      <c r="K421" s="16" t="str">
        <f t="shared" si="149"/>
        <v/>
      </c>
      <c r="L421" s="16" t="str">
        <f t="shared" si="150"/>
        <v/>
      </c>
      <c r="M421" s="105" t="str">
        <f t="shared" si="154"/>
        <v/>
      </c>
      <c r="N421" s="173"/>
      <c r="O421" s="92"/>
      <c r="P421" s="87" t="s">
        <v>96</v>
      </c>
      <c r="Q421" s="71"/>
      <c r="R421" s="88" t="e">
        <f t="shared" si="155"/>
        <v>#VALUE!</v>
      </c>
      <c r="S421" s="71"/>
      <c r="T421" s="89" t="str">
        <f t="shared" si="156"/>
        <v>a</v>
      </c>
      <c r="U421" s="71"/>
      <c r="V421" s="175"/>
      <c r="W421" s="29"/>
    </row>
    <row r="422" spans="1:23" ht="15.75" customHeight="1" x14ac:dyDescent="0.25">
      <c r="A422" s="179"/>
      <c r="B422" s="168"/>
      <c r="C422" s="146"/>
      <c r="D422" s="137" t="s">
        <v>75</v>
      </c>
      <c r="E422" s="137" t="s">
        <v>90</v>
      </c>
      <c r="F422" s="85" t="str">
        <f t="shared" si="151"/>
        <v/>
      </c>
      <c r="G422" s="85">
        <v>2.5</v>
      </c>
      <c r="H422" s="85">
        <v>1.5</v>
      </c>
      <c r="I422" s="85" t="str">
        <f t="shared" si="152"/>
        <v/>
      </c>
      <c r="J422" s="85" t="str">
        <f t="shared" si="153"/>
        <v/>
      </c>
      <c r="K422" s="85" t="str">
        <f t="shared" si="149"/>
        <v/>
      </c>
      <c r="L422" s="85" t="str">
        <f t="shared" si="150"/>
        <v/>
      </c>
      <c r="M422" s="86" t="str">
        <f t="shared" si="154"/>
        <v/>
      </c>
      <c r="N422" s="173"/>
      <c r="O422" s="92"/>
      <c r="P422" s="87" t="s">
        <v>96</v>
      </c>
      <c r="Q422" s="71"/>
      <c r="R422" s="88" t="e">
        <f t="shared" si="155"/>
        <v>#VALUE!</v>
      </c>
      <c r="S422" s="71"/>
      <c r="T422" s="89" t="str">
        <f t="shared" si="156"/>
        <v>a</v>
      </c>
      <c r="U422" s="71"/>
      <c r="V422" s="175"/>
      <c r="W422" s="29"/>
    </row>
    <row r="423" spans="1:23" ht="18.75" thickBot="1" x14ac:dyDescent="0.3">
      <c r="A423" s="179"/>
      <c r="B423" s="168"/>
      <c r="C423" s="147"/>
      <c r="D423" s="139" t="s">
        <v>76</v>
      </c>
      <c r="E423" s="139" t="s">
        <v>85</v>
      </c>
      <c r="F423" s="16" t="str">
        <f t="shared" si="151"/>
        <v/>
      </c>
      <c r="G423" s="16">
        <v>2.62</v>
      </c>
      <c r="H423" s="16">
        <v>1.44</v>
      </c>
      <c r="I423" s="16" t="str">
        <f t="shared" si="152"/>
        <v/>
      </c>
      <c r="J423" s="16" t="str">
        <f t="shared" si="153"/>
        <v/>
      </c>
      <c r="K423" s="16" t="str">
        <f t="shared" si="149"/>
        <v/>
      </c>
      <c r="L423" s="16" t="str">
        <f t="shared" si="150"/>
        <v/>
      </c>
      <c r="M423" s="91" t="str">
        <f t="shared" si="154"/>
        <v/>
      </c>
      <c r="N423" s="173"/>
      <c r="O423" s="29"/>
      <c r="P423" s="87" t="s">
        <v>95</v>
      </c>
      <c r="Q423" s="71"/>
      <c r="R423" s="88" t="e">
        <f t="shared" si="155"/>
        <v>#VALUE!</v>
      </c>
      <c r="S423" s="71"/>
      <c r="T423" s="89" t="str">
        <f t="shared" si="156"/>
        <v>r</v>
      </c>
      <c r="U423" s="71"/>
      <c r="V423" s="93" t="s">
        <v>31</v>
      </c>
      <c r="W423" s="29"/>
    </row>
    <row r="424" spans="1:23" ht="18" x14ac:dyDescent="0.25">
      <c r="A424" s="179"/>
      <c r="B424" s="168"/>
      <c r="C424" s="146"/>
      <c r="D424" s="137" t="s">
        <v>93</v>
      </c>
      <c r="E424" s="137" t="s">
        <v>82</v>
      </c>
      <c r="F424" s="85" t="str">
        <f t="shared" si="151"/>
        <v/>
      </c>
      <c r="G424" s="85">
        <v>3.25</v>
      </c>
      <c r="H424" s="85">
        <v>1.33</v>
      </c>
      <c r="I424" s="85" t="str">
        <f t="shared" si="152"/>
        <v/>
      </c>
      <c r="J424" s="85" t="str">
        <f t="shared" si="153"/>
        <v/>
      </c>
      <c r="K424" s="85" t="str">
        <f t="shared" si="149"/>
        <v/>
      </c>
      <c r="L424" s="85" t="str">
        <f t="shared" si="150"/>
        <v/>
      </c>
      <c r="M424" s="106" t="str">
        <f t="shared" si="154"/>
        <v/>
      </c>
      <c r="N424" s="173"/>
      <c r="O424" s="29"/>
      <c r="P424" s="87" t="s">
        <v>96</v>
      </c>
      <c r="Q424" s="71"/>
      <c r="R424" s="88" t="e">
        <f t="shared" si="155"/>
        <v>#VALUE!</v>
      </c>
      <c r="S424" s="71"/>
      <c r="T424" s="89" t="str">
        <f t="shared" si="156"/>
        <v>a</v>
      </c>
      <c r="U424" s="71"/>
      <c r="V424" s="176">
        <f>IF(AND(NOT(N417=0)),V417/N417,0)</f>
        <v>0</v>
      </c>
      <c r="W424" s="29"/>
    </row>
    <row r="425" spans="1:23" ht="18" x14ac:dyDescent="0.25">
      <c r="A425" s="179"/>
      <c r="B425" s="168"/>
      <c r="C425" s="147"/>
      <c r="D425" s="139" t="s">
        <v>73</v>
      </c>
      <c r="E425" s="139" t="s">
        <v>94</v>
      </c>
      <c r="F425" s="16" t="str">
        <f t="shared" si="151"/>
        <v/>
      </c>
      <c r="G425" s="16">
        <v>1.61</v>
      </c>
      <c r="H425" s="16">
        <v>2.2000000000000002</v>
      </c>
      <c r="I425" s="16" t="str">
        <f t="shared" si="152"/>
        <v/>
      </c>
      <c r="J425" s="16" t="str">
        <f t="shared" si="153"/>
        <v/>
      </c>
      <c r="K425" s="16" t="str">
        <f t="shared" si="149"/>
        <v/>
      </c>
      <c r="L425" s="16" t="str">
        <f t="shared" si="150"/>
        <v/>
      </c>
      <c r="M425" s="105" t="str">
        <f t="shared" si="154"/>
        <v/>
      </c>
      <c r="N425" s="173"/>
      <c r="O425" s="29"/>
      <c r="P425" s="87" t="s">
        <v>95</v>
      </c>
      <c r="Q425" s="71"/>
      <c r="R425" s="88" t="e">
        <f t="shared" si="155"/>
        <v>#VALUE!</v>
      </c>
      <c r="S425" s="71"/>
      <c r="T425" s="89" t="str">
        <f t="shared" si="156"/>
        <v>r</v>
      </c>
      <c r="U425" s="71"/>
      <c r="V425" s="177"/>
      <c r="W425" s="29"/>
    </row>
    <row r="426" spans="1:23" ht="18.75" thickBot="1" x14ac:dyDescent="0.3">
      <c r="A426" s="180"/>
      <c r="B426" s="169"/>
      <c r="C426" s="148"/>
      <c r="D426" s="149" t="s">
        <v>71</v>
      </c>
      <c r="E426" s="149" t="s">
        <v>87</v>
      </c>
      <c r="F426" s="95" t="str">
        <f t="shared" si="151"/>
        <v/>
      </c>
      <c r="G426" s="95">
        <v>1.4</v>
      </c>
      <c r="H426" s="95">
        <v>2.75</v>
      </c>
      <c r="I426" s="95" t="str">
        <f t="shared" si="152"/>
        <v/>
      </c>
      <c r="J426" s="95" t="str">
        <f t="shared" si="153"/>
        <v/>
      </c>
      <c r="K426" s="95" t="str">
        <f t="shared" si="149"/>
        <v/>
      </c>
      <c r="L426" s="95" t="str">
        <f t="shared" si="150"/>
        <v/>
      </c>
      <c r="M426" s="96" t="str">
        <f t="shared" si="154"/>
        <v/>
      </c>
      <c r="N426" s="174"/>
      <c r="O426" s="29"/>
      <c r="P426" s="97" t="s">
        <v>95</v>
      </c>
      <c r="Q426" s="29"/>
      <c r="R426" s="98" t="e">
        <f t="shared" si="155"/>
        <v>#VALUE!</v>
      </c>
      <c r="S426" s="29"/>
      <c r="T426" s="99" t="str">
        <f t="shared" si="156"/>
        <v>r</v>
      </c>
      <c r="U426" s="29"/>
      <c r="V426" s="178"/>
      <c r="W426" s="29"/>
    </row>
    <row r="427" spans="1:23" x14ac:dyDescent="0.25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31"/>
      <c r="S427" s="29"/>
      <c r="T427" s="29"/>
      <c r="U427" s="29"/>
      <c r="V427" s="32"/>
      <c r="W427" s="29"/>
    </row>
    <row r="428" spans="1:23" x14ac:dyDescent="0.25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31"/>
      <c r="S428" s="29"/>
      <c r="T428" s="29"/>
      <c r="U428" s="29"/>
      <c r="V428" s="32"/>
      <c r="W428" s="29"/>
    </row>
    <row r="429" spans="1:23" ht="16.5" thickBot="1" x14ac:dyDescent="0.3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31"/>
      <c r="S429" s="29"/>
      <c r="T429" s="29"/>
      <c r="U429" s="29"/>
      <c r="V429" s="32"/>
      <c r="W429" s="29"/>
    </row>
    <row r="430" spans="1:23" ht="19.5" customHeight="1" thickBot="1" x14ac:dyDescent="0.3">
      <c r="A430" s="114" t="s">
        <v>6</v>
      </c>
      <c r="B430" s="167" t="s">
        <v>28</v>
      </c>
      <c r="C430" s="72" t="s">
        <v>49</v>
      </c>
      <c r="D430" s="72" t="s">
        <v>9</v>
      </c>
      <c r="E430" s="72" t="s">
        <v>10</v>
      </c>
      <c r="F430" s="72" t="s">
        <v>11</v>
      </c>
      <c r="G430" s="72" t="s">
        <v>12</v>
      </c>
      <c r="H430" s="72" t="s">
        <v>13</v>
      </c>
      <c r="I430" s="72" t="s">
        <v>14</v>
      </c>
      <c r="J430" s="72" t="s">
        <v>15</v>
      </c>
      <c r="K430" s="72" t="s">
        <v>34</v>
      </c>
      <c r="L430" s="72" t="s">
        <v>16</v>
      </c>
      <c r="M430" s="72" t="s">
        <v>48</v>
      </c>
      <c r="N430" s="73" t="s">
        <v>17</v>
      </c>
      <c r="O430" s="74"/>
      <c r="P430" s="75" t="s">
        <v>18</v>
      </c>
      <c r="Q430" s="71"/>
      <c r="R430" s="76" t="s">
        <v>35</v>
      </c>
      <c r="S430" s="71"/>
      <c r="T430" s="75" t="s">
        <v>36</v>
      </c>
      <c r="U430" s="71"/>
      <c r="V430" s="77" t="s">
        <v>29</v>
      </c>
      <c r="W430" s="29"/>
    </row>
    <row r="431" spans="1:23" ht="15.75" customHeight="1" x14ac:dyDescent="0.25">
      <c r="A431" s="115"/>
      <c r="B431" s="168"/>
      <c r="C431" s="78"/>
      <c r="D431" s="135"/>
      <c r="E431" s="135"/>
      <c r="F431" s="79" t="str">
        <f>IF(AND(C431=""),"",1-C431)</f>
        <v/>
      </c>
      <c r="G431" s="79"/>
      <c r="H431" s="79"/>
      <c r="I431" s="79" t="str">
        <f>IF(AND(C431=""),"",G431*C431)</f>
        <v/>
      </c>
      <c r="J431" s="79" t="str">
        <f>IF(AND(C431=""),"",H431*F431)</f>
        <v/>
      </c>
      <c r="K431" s="79" t="str">
        <f t="shared" ref="K431:K440" si="157">IF(AND(I431=""),"",IF(AND(I431&gt;J431),"T1","T2"))</f>
        <v/>
      </c>
      <c r="L431" s="79" t="str">
        <f t="shared" ref="L431:L440" si="158">IF(AND(J431=""),"",IF(AND(J431&gt;K431),"T1","T2"))</f>
        <v/>
      </c>
      <c r="M431" s="80" t="str">
        <f>IF(L431="","",IF(L431&lt;0.5,K$5*M$2,IF(L431&lt;0.75,K$5*M$3,IF(L431&lt;1,K$5*M$4,IF(L431&lt;1.25,K$5*M$5,IF(L431&lt;1.5,K$5*M$6,IF(L431&lt;2,K$5*M$7,IF(L431&lt;2.5,K$5*M$8,K$5*M$9))))))))</f>
        <v/>
      </c>
      <c r="N431" s="172">
        <f>SUMIF(L431:L440,"&gt;0")</f>
        <v>0</v>
      </c>
      <c r="O431" s="74"/>
      <c r="P431" s="81"/>
      <c r="Q431" s="74"/>
      <c r="R431" s="82">
        <f>IF(OR(P431="",L431="NO BET"),0,IF(AND(K431=P431),IF(AND(K431="T2"),ROUNDUP(H431*0.95,2)-M431,ROUNDUP(G431*0.95,2)-M431),-M431))</f>
        <v>0</v>
      </c>
      <c r="S431" s="71"/>
      <c r="T431" s="83" t="str">
        <f>IF(AND(P431=""),"",IF(AND(C431&gt;F431),IF(AND(P431="T1"),"a","r"),IF(AND(P431="T2"),"a","r")))</f>
        <v/>
      </c>
      <c r="U431" s="71"/>
      <c r="V431" s="175">
        <f>SUM(R431:R440)</f>
        <v>0</v>
      </c>
      <c r="W431" s="29"/>
    </row>
    <row r="432" spans="1:23" ht="15.75" customHeight="1" x14ac:dyDescent="0.25">
      <c r="A432" s="179" t="s">
        <v>6</v>
      </c>
      <c r="B432" s="168"/>
      <c r="C432" s="84"/>
      <c r="D432" s="137"/>
      <c r="E432" s="137"/>
      <c r="F432" s="85" t="str">
        <f t="shared" ref="F432:F440" si="159">IF(AND(C432=""),"",1-C432)</f>
        <v/>
      </c>
      <c r="G432" s="85"/>
      <c r="H432" s="85"/>
      <c r="I432" s="85" t="str">
        <f t="shared" ref="I432:I440" si="160">IF(AND(C432=""),"",G432*C432)</f>
        <v/>
      </c>
      <c r="J432" s="85" t="str">
        <f t="shared" ref="J432:J440" si="161">IF(AND(C432=""),"",H432*F432)</f>
        <v/>
      </c>
      <c r="K432" s="85" t="str">
        <f t="shared" si="157"/>
        <v/>
      </c>
      <c r="L432" s="85" t="str">
        <f t="shared" si="158"/>
        <v/>
      </c>
      <c r="M432" s="86" t="str">
        <f t="shared" ref="M432:M440" si="162">IF(L432="","",IF(L432&lt;0.5,K$5*M$2,IF(L432&lt;0.75,K$5*M$3,IF(L432&lt;1,K$5*M$4,IF(L432&lt;1.25,K$5*M$5,IF(L432&lt;1.5,K$5*M$6,IF(L432&lt;2,K$5*M$7,IF(L432&lt;2.5,K$5*M$8,K$5*M$9))))))))</f>
        <v/>
      </c>
      <c r="N432" s="173"/>
      <c r="O432" s="29"/>
      <c r="P432" s="87"/>
      <c r="Q432" s="71"/>
      <c r="R432" s="88">
        <f t="shared" ref="R432:R440" si="163">IF(OR(P432="",L432="NO BET"),0,IF(AND(K432=P432),IF(AND(K432="T2"),ROUNDUP(H432*M432*0.95,2)-1,ROUNDUP(G432*M432*0.95,2)-M432),-M432))</f>
        <v>0</v>
      </c>
      <c r="S432" s="71"/>
      <c r="T432" s="89" t="str">
        <f t="shared" ref="T432:T440" si="164">IF(AND(P432=""),"",IF(AND(C432&gt;F432),IF(AND(P432="T1"),"a","r"),IF(AND(P432="T2"),"a","r")))</f>
        <v/>
      </c>
      <c r="U432" s="71"/>
      <c r="V432" s="175"/>
      <c r="W432" s="29"/>
    </row>
    <row r="433" spans="1:23" ht="15.75" customHeight="1" x14ac:dyDescent="0.25">
      <c r="A433" s="179"/>
      <c r="B433" s="168"/>
      <c r="C433" s="90"/>
      <c r="D433" s="16"/>
      <c r="E433" s="16"/>
      <c r="F433" s="16" t="str">
        <f t="shared" si="159"/>
        <v/>
      </c>
      <c r="G433" s="16"/>
      <c r="H433" s="16"/>
      <c r="I433" s="16" t="str">
        <f t="shared" si="160"/>
        <v/>
      </c>
      <c r="J433" s="16" t="str">
        <f t="shared" si="161"/>
        <v/>
      </c>
      <c r="K433" s="16" t="str">
        <f t="shared" si="157"/>
        <v/>
      </c>
      <c r="L433" s="16" t="str">
        <f t="shared" si="158"/>
        <v/>
      </c>
      <c r="M433" s="91" t="str">
        <f t="shared" si="162"/>
        <v/>
      </c>
      <c r="N433" s="173"/>
      <c r="O433" s="74"/>
      <c r="P433" s="87"/>
      <c r="Q433" s="71"/>
      <c r="R433" s="88">
        <f t="shared" si="163"/>
        <v>0</v>
      </c>
      <c r="S433" s="71"/>
      <c r="T433" s="89" t="str">
        <f t="shared" si="164"/>
        <v/>
      </c>
      <c r="U433" s="71"/>
      <c r="V433" s="175"/>
      <c r="W433" s="29"/>
    </row>
    <row r="434" spans="1:23" ht="15.75" customHeight="1" x14ac:dyDescent="0.25">
      <c r="A434" s="179"/>
      <c r="B434" s="168"/>
      <c r="C434" s="84"/>
      <c r="D434" s="85"/>
      <c r="E434" s="85"/>
      <c r="F434" s="85" t="str">
        <f t="shared" si="159"/>
        <v/>
      </c>
      <c r="G434" s="85"/>
      <c r="H434" s="85"/>
      <c r="I434" s="85" t="str">
        <f t="shared" si="160"/>
        <v/>
      </c>
      <c r="J434" s="85" t="str">
        <f t="shared" si="161"/>
        <v/>
      </c>
      <c r="K434" s="85" t="str">
        <f t="shared" si="157"/>
        <v/>
      </c>
      <c r="L434" s="85" t="str">
        <f t="shared" si="158"/>
        <v/>
      </c>
      <c r="M434" s="86" t="str">
        <f t="shared" si="162"/>
        <v/>
      </c>
      <c r="N434" s="173"/>
      <c r="O434" s="92"/>
      <c r="P434" s="87"/>
      <c r="Q434" s="71"/>
      <c r="R434" s="88">
        <f t="shared" si="163"/>
        <v>0</v>
      </c>
      <c r="S434" s="71"/>
      <c r="T434" s="89" t="str">
        <f t="shared" si="164"/>
        <v/>
      </c>
      <c r="U434" s="71"/>
      <c r="V434" s="175"/>
      <c r="W434" s="29"/>
    </row>
    <row r="435" spans="1:23" ht="15.75" customHeight="1" x14ac:dyDescent="0.25">
      <c r="A435" s="179"/>
      <c r="B435" s="168"/>
      <c r="C435" s="90"/>
      <c r="D435" s="16"/>
      <c r="E435" s="16"/>
      <c r="F435" s="16" t="str">
        <f t="shared" si="159"/>
        <v/>
      </c>
      <c r="G435" s="16"/>
      <c r="H435" s="16"/>
      <c r="I435" s="16" t="str">
        <f t="shared" si="160"/>
        <v/>
      </c>
      <c r="J435" s="16" t="str">
        <f t="shared" si="161"/>
        <v/>
      </c>
      <c r="K435" s="16" t="str">
        <f t="shared" si="157"/>
        <v/>
      </c>
      <c r="L435" s="16" t="str">
        <f t="shared" si="158"/>
        <v/>
      </c>
      <c r="M435" s="105" t="str">
        <f t="shared" si="162"/>
        <v/>
      </c>
      <c r="N435" s="173"/>
      <c r="O435" s="92"/>
      <c r="P435" s="87"/>
      <c r="Q435" s="71"/>
      <c r="R435" s="88">
        <f t="shared" si="163"/>
        <v>0</v>
      </c>
      <c r="S435" s="71"/>
      <c r="T435" s="89" t="str">
        <f t="shared" si="164"/>
        <v/>
      </c>
      <c r="U435" s="71"/>
      <c r="V435" s="175"/>
      <c r="W435" s="29"/>
    </row>
    <row r="436" spans="1:23" ht="15.75" customHeight="1" x14ac:dyDescent="0.25">
      <c r="A436" s="179"/>
      <c r="B436" s="168"/>
      <c r="C436" s="84"/>
      <c r="D436" s="85"/>
      <c r="E436" s="85"/>
      <c r="F436" s="85" t="str">
        <f t="shared" si="159"/>
        <v/>
      </c>
      <c r="G436" s="85"/>
      <c r="H436" s="85"/>
      <c r="I436" s="85" t="str">
        <f t="shared" si="160"/>
        <v/>
      </c>
      <c r="J436" s="85" t="str">
        <f t="shared" si="161"/>
        <v/>
      </c>
      <c r="K436" s="85" t="str">
        <f t="shared" si="157"/>
        <v/>
      </c>
      <c r="L436" s="85" t="str">
        <f t="shared" si="158"/>
        <v/>
      </c>
      <c r="M436" s="86" t="str">
        <f t="shared" si="162"/>
        <v/>
      </c>
      <c r="N436" s="173"/>
      <c r="O436" s="92"/>
      <c r="P436" s="87"/>
      <c r="Q436" s="71"/>
      <c r="R436" s="88">
        <f t="shared" si="163"/>
        <v>0</v>
      </c>
      <c r="S436" s="71"/>
      <c r="T436" s="89" t="str">
        <f t="shared" si="164"/>
        <v/>
      </c>
      <c r="U436" s="71"/>
      <c r="V436" s="175"/>
      <c r="W436" s="29"/>
    </row>
    <row r="437" spans="1:23" ht="18.75" thickBot="1" x14ac:dyDescent="0.3">
      <c r="A437" s="179"/>
      <c r="B437" s="168"/>
      <c r="C437" s="90"/>
      <c r="D437" s="16"/>
      <c r="E437" s="16"/>
      <c r="F437" s="16" t="str">
        <f t="shared" si="159"/>
        <v/>
      </c>
      <c r="G437" s="16"/>
      <c r="H437" s="16"/>
      <c r="I437" s="16" t="str">
        <f t="shared" si="160"/>
        <v/>
      </c>
      <c r="J437" s="16" t="str">
        <f t="shared" si="161"/>
        <v/>
      </c>
      <c r="K437" s="16" t="str">
        <f t="shared" si="157"/>
        <v/>
      </c>
      <c r="L437" s="16" t="str">
        <f t="shared" si="158"/>
        <v/>
      </c>
      <c r="M437" s="91" t="str">
        <f t="shared" si="162"/>
        <v/>
      </c>
      <c r="N437" s="173"/>
      <c r="O437" s="29"/>
      <c r="P437" s="87"/>
      <c r="Q437" s="71"/>
      <c r="R437" s="88">
        <f t="shared" si="163"/>
        <v>0</v>
      </c>
      <c r="S437" s="71"/>
      <c r="T437" s="89" t="str">
        <f t="shared" si="164"/>
        <v/>
      </c>
      <c r="U437" s="71"/>
      <c r="V437" s="93" t="s">
        <v>31</v>
      </c>
      <c r="W437" s="29"/>
    </row>
    <row r="438" spans="1:23" ht="18" x14ac:dyDescent="0.25">
      <c r="A438" s="179"/>
      <c r="B438" s="168"/>
      <c r="C438" s="84"/>
      <c r="D438" s="85"/>
      <c r="E438" s="85"/>
      <c r="F438" s="85" t="str">
        <f t="shared" si="159"/>
        <v/>
      </c>
      <c r="G438" s="85"/>
      <c r="H438" s="85"/>
      <c r="I438" s="85" t="str">
        <f t="shared" si="160"/>
        <v/>
      </c>
      <c r="J438" s="85" t="str">
        <f t="shared" si="161"/>
        <v/>
      </c>
      <c r="K438" s="85" t="str">
        <f t="shared" si="157"/>
        <v/>
      </c>
      <c r="L438" s="85" t="str">
        <f t="shared" si="158"/>
        <v/>
      </c>
      <c r="M438" s="106" t="str">
        <f t="shared" si="162"/>
        <v/>
      </c>
      <c r="N438" s="173"/>
      <c r="O438" s="29"/>
      <c r="P438" s="87"/>
      <c r="Q438" s="71"/>
      <c r="R438" s="88">
        <f t="shared" si="163"/>
        <v>0</v>
      </c>
      <c r="S438" s="71"/>
      <c r="T438" s="89" t="str">
        <f t="shared" si="164"/>
        <v/>
      </c>
      <c r="U438" s="71"/>
      <c r="V438" s="176">
        <f>IF(AND(NOT(N431=0)),V431/N431,0)</f>
        <v>0</v>
      </c>
      <c r="W438" s="29"/>
    </row>
    <row r="439" spans="1:23" ht="18" x14ac:dyDescent="0.25">
      <c r="A439" s="179"/>
      <c r="B439" s="168"/>
      <c r="C439" s="90"/>
      <c r="D439" s="16"/>
      <c r="E439" s="16"/>
      <c r="F439" s="16" t="str">
        <f t="shared" si="159"/>
        <v/>
      </c>
      <c r="G439" s="16"/>
      <c r="H439" s="16"/>
      <c r="I439" s="16" t="str">
        <f t="shared" si="160"/>
        <v/>
      </c>
      <c r="J439" s="16" t="str">
        <f t="shared" si="161"/>
        <v/>
      </c>
      <c r="K439" s="16" t="str">
        <f t="shared" si="157"/>
        <v/>
      </c>
      <c r="L439" s="16" t="str">
        <f t="shared" si="158"/>
        <v/>
      </c>
      <c r="M439" s="105" t="str">
        <f t="shared" si="162"/>
        <v/>
      </c>
      <c r="N439" s="173"/>
      <c r="O439" s="29"/>
      <c r="P439" s="87"/>
      <c r="Q439" s="71"/>
      <c r="R439" s="88">
        <f t="shared" si="163"/>
        <v>0</v>
      </c>
      <c r="S439" s="71"/>
      <c r="T439" s="89" t="str">
        <f t="shared" si="164"/>
        <v/>
      </c>
      <c r="U439" s="71"/>
      <c r="V439" s="177"/>
      <c r="W439" s="29"/>
    </row>
    <row r="440" spans="1:23" ht="18.75" thickBot="1" x14ac:dyDescent="0.3">
      <c r="A440" s="180"/>
      <c r="B440" s="169"/>
      <c r="C440" s="94"/>
      <c r="D440" s="95"/>
      <c r="E440" s="95"/>
      <c r="F440" s="95" t="str">
        <f t="shared" si="159"/>
        <v/>
      </c>
      <c r="G440" s="95"/>
      <c r="H440" s="95"/>
      <c r="I440" s="95" t="str">
        <f t="shared" si="160"/>
        <v/>
      </c>
      <c r="J440" s="95" t="str">
        <f t="shared" si="161"/>
        <v/>
      </c>
      <c r="K440" s="95" t="str">
        <f t="shared" si="157"/>
        <v/>
      </c>
      <c r="L440" s="95" t="str">
        <f t="shared" si="158"/>
        <v/>
      </c>
      <c r="M440" s="96" t="str">
        <f t="shared" si="162"/>
        <v/>
      </c>
      <c r="N440" s="174"/>
      <c r="O440" s="29"/>
      <c r="P440" s="97"/>
      <c r="Q440" s="29"/>
      <c r="R440" s="98">
        <f t="shared" si="163"/>
        <v>0</v>
      </c>
      <c r="S440" s="29"/>
      <c r="T440" s="99" t="str">
        <f t="shared" si="164"/>
        <v/>
      </c>
      <c r="U440" s="29"/>
      <c r="V440" s="178"/>
      <c r="W440" s="29"/>
    </row>
    <row r="441" spans="1:23" x14ac:dyDescent="0.25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31"/>
      <c r="S441" s="29"/>
      <c r="T441" s="29"/>
      <c r="U441" s="29"/>
      <c r="V441" s="32"/>
      <c r="W441" s="29"/>
    </row>
    <row r="442" spans="1:23" x14ac:dyDescent="0.25">
      <c r="A442" s="111"/>
      <c r="B442" s="111"/>
      <c r="C442" s="111"/>
      <c r="D442" s="111"/>
      <c r="E442" s="111"/>
      <c r="F442" s="111"/>
      <c r="G442" s="111"/>
      <c r="H442" s="111"/>
      <c r="I442" s="111"/>
      <c r="J442" s="111"/>
      <c r="K442" s="111"/>
      <c r="L442" s="111"/>
      <c r="M442" s="111"/>
      <c r="N442" s="111"/>
      <c r="O442" s="111"/>
      <c r="P442" s="111"/>
      <c r="Q442" s="111"/>
      <c r="R442" s="112"/>
      <c r="S442" s="111"/>
      <c r="T442" s="111"/>
      <c r="U442" s="111"/>
      <c r="V442" s="113"/>
      <c r="W442" s="29"/>
    </row>
    <row r="443" spans="1:23" x14ac:dyDescent="0.25">
      <c r="A443" s="111"/>
      <c r="B443" s="111"/>
      <c r="C443" s="111"/>
      <c r="D443" s="111"/>
      <c r="E443" s="111"/>
      <c r="F443" s="111"/>
      <c r="G443" s="111"/>
      <c r="H443" s="111"/>
      <c r="I443" s="111"/>
      <c r="J443" s="111"/>
      <c r="K443" s="111"/>
      <c r="L443" s="111"/>
      <c r="M443" s="111"/>
      <c r="N443" s="111"/>
      <c r="O443" s="111"/>
      <c r="P443" s="111"/>
      <c r="Q443" s="111"/>
      <c r="R443" s="112"/>
      <c r="S443" s="111"/>
      <c r="T443" s="111"/>
      <c r="U443" s="111"/>
      <c r="V443" s="113"/>
      <c r="W443" s="29"/>
    </row>
    <row r="444" spans="1:23" x14ac:dyDescent="0.25">
      <c r="A444" s="111"/>
      <c r="B444" s="111"/>
      <c r="C444" s="111"/>
      <c r="D444" s="111"/>
      <c r="E444" s="111"/>
      <c r="F444" s="111"/>
      <c r="G444" s="111"/>
      <c r="H444" s="111"/>
      <c r="I444" s="111"/>
      <c r="J444" s="111"/>
      <c r="K444" s="111"/>
      <c r="L444" s="111"/>
      <c r="M444" s="111"/>
      <c r="N444" s="111"/>
      <c r="O444" s="111"/>
      <c r="P444" s="111"/>
      <c r="Q444" s="111"/>
      <c r="R444" s="112"/>
      <c r="S444" s="111"/>
      <c r="T444" s="111"/>
      <c r="U444" s="111"/>
      <c r="V444" s="113"/>
      <c r="W444" s="29"/>
    </row>
    <row r="445" spans="1:23" x14ac:dyDescent="0.25">
      <c r="A445" s="111"/>
      <c r="B445" s="111"/>
      <c r="C445" s="111"/>
      <c r="D445" s="111"/>
      <c r="E445" s="111"/>
      <c r="F445" s="111"/>
      <c r="G445" s="111"/>
      <c r="H445" s="111"/>
      <c r="I445" s="111"/>
      <c r="J445" s="111"/>
      <c r="K445" s="111"/>
      <c r="L445" s="111"/>
      <c r="M445" s="111"/>
      <c r="N445" s="111"/>
      <c r="O445" s="111"/>
      <c r="P445" s="111"/>
      <c r="Q445" s="111"/>
      <c r="R445" s="112"/>
      <c r="S445" s="111"/>
      <c r="T445" s="111"/>
      <c r="U445" s="111"/>
      <c r="V445" s="113"/>
      <c r="W445" s="29"/>
    </row>
    <row r="446" spans="1:23" x14ac:dyDescent="0.25">
      <c r="A446" s="111"/>
      <c r="B446" s="111"/>
      <c r="C446" s="111"/>
      <c r="D446" s="111"/>
      <c r="E446" s="111"/>
      <c r="F446" s="111"/>
      <c r="G446" s="111"/>
      <c r="H446" s="111"/>
      <c r="I446" s="111"/>
      <c r="J446" s="111"/>
      <c r="K446" s="111"/>
      <c r="L446" s="111"/>
      <c r="M446" s="111"/>
      <c r="N446" s="111"/>
      <c r="O446" s="111"/>
      <c r="P446" s="111"/>
      <c r="Q446" s="111"/>
      <c r="R446" s="112"/>
      <c r="S446" s="111"/>
      <c r="T446" s="111"/>
      <c r="U446" s="111"/>
      <c r="V446" s="113"/>
      <c r="W446" s="29"/>
    </row>
    <row r="447" spans="1:23" x14ac:dyDescent="0.25">
      <c r="A447" s="111"/>
      <c r="B447" s="111"/>
      <c r="C447" s="111"/>
      <c r="D447" s="111"/>
      <c r="E447" s="111"/>
      <c r="F447" s="111"/>
      <c r="G447" s="111"/>
      <c r="H447" s="111"/>
      <c r="I447" s="111"/>
      <c r="J447" s="111"/>
      <c r="K447" s="111"/>
      <c r="L447" s="111"/>
      <c r="M447" s="111"/>
      <c r="N447" s="111"/>
      <c r="O447" s="111"/>
      <c r="P447" s="111"/>
      <c r="Q447" s="111"/>
      <c r="R447" s="112"/>
      <c r="S447" s="111"/>
      <c r="T447" s="111"/>
      <c r="U447" s="111"/>
      <c r="V447" s="113"/>
      <c r="W447" s="29"/>
    </row>
    <row r="448" spans="1:23" x14ac:dyDescent="0.25">
      <c r="A448" s="111"/>
      <c r="B448" s="111"/>
      <c r="C448" s="111"/>
      <c r="D448" s="111"/>
      <c r="E448" s="111"/>
      <c r="F448" s="111"/>
      <c r="G448" s="111"/>
      <c r="H448" s="111"/>
      <c r="I448" s="111"/>
      <c r="J448" s="111"/>
      <c r="K448" s="111"/>
      <c r="L448" s="111"/>
      <c r="M448" s="111"/>
      <c r="N448" s="111"/>
      <c r="O448" s="111"/>
      <c r="P448" s="111"/>
      <c r="Q448" s="111"/>
      <c r="R448" s="112"/>
      <c r="S448" s="111"/>
      <c r="T448" s="111"/>
      <c r="U448" s="111"/>
      <c r="V448" s="113"/>
      <c r="W448" s="29"/>
    </row>
    <row r="449" spans="1:23" x14ac:dyDescent="0.25">
      <c r="A449" s="111"/>
      <c r="B449" s="111"/>
      <c r="C449" s="111"/>
      <c r="D449" s="111"/>
      <c r="E449" s="111"/>
      <c r="F449" s="111"/>
      <c r="G449" s="111"/>
      <c r="H449" s="111"/>
      <c r="I449" s="111"/>
      <c r="J449" s="111"/>
      <c r="K449" s="111"/>
      <c r="L449" s="111"/>
      <c r="M449" s="111"/>
      <c r="N449" s="111"/>
      <c r="O449" s="111"/>
      <c r="P449" s="111"/>
      <c r="Q449" s="111"/>
      <c r="R449" s="112"/>
      <c r="S449" s="111"/>
      <c r="T449" s="111"/>
      <c r="U449" s="111"/>
      <c r="V449" s="113"/>
      <c r="W449" s="29"/>
    </row>
    <row r="450" spans="1:23" x14ac:dyDescent="0.25">
      <c r="A450" s="111"/>
      <c r="B450" s="111"/>
      <c r="C450" s="111"/>
      <c r="D450" s="111"/>
      <c r="E450" s="111"/>
      <c r="F450" s="111"/>
      <c r="G450" s="111"/>
      <c r="H450" s="111"/>
      <c r="I450" s="111"/>
      <c r="J450" s="111"/>
      <c r="K450" s="111"/>
      <c r="L450" s="111"/>
      <c r="M450" s="111"/>
      <c r="N450" s="111"/>
      <c r="O450" s="111"/>
      <c r="P450" s="111"/>
      <c r="Q450" s="111"/>
      <c r="R450" s="112"/>
      <c r="S450" s="111"/>
      <c r="T450" s="111"/>
      <c r="U450" s="111"/>
      <c r="V450" s="113"/>
      <c r="W450" s="29"/>
    </row>
    <row r="451" spans="1:23" x14ac:dyDescent="0.25">
      <c r="A451" s="111"/>
      <c r="B451" s="111"/>
      <c r="C451" s="111"/>
      <c r="D451" s="111"/>
      <c r="E451" s="111"/>
      <c r="F451" s="111"/>
      <c r="G451" s="111"/>
      <c r="H451" s="111"/>
      <c r="I451" s="111"/>
      <c r="J451" s="111"/>
      <c r="K451" s="111"/>
      <c r="L451" s="111"/>
      <c r="M451" s="111"/>
      <c r="N451" s="111"/>
      <c r="O451" s="111"/>
      <c r="P451" s="111"/>
      <c r="Q451" s="111"/>
      <c r="R451" s="112"/>
      <c r="S451" s="111"/>
      <c r="T451" s="111"/>
      <c r="U451" s="111"/>
      <c r="V451" s="113"/>
      <c r="W451" s="29"/>
    </row>
    <row r="452" spans="1:23" x14ac:dyDescent="0.25">
      <c r="A452" s="111"/>
      <c r="B452" s="111"/>
      <c r="C452" s="111"/>
      <c r="D452" s="111"/>
      <c r="E452" s="111"/>
      <c r="F452" s="111"/>
      <c r="G452" s="111"/>
      <c r="H452" s="111"/>
      <c r="I452" s="111"/>
      <c r="J452" s="111"/>
      <c r="K452" s="111"/>
      <c r="L452" s="111"/>
      <c r="M452" s="111"/>
      <c r="N452" s="111"/>
      <c r="O452" s="111"/>
      <c r="P452" s="111"/>
      <c r="Q452" s="111"/>
      <c r="R452" s="112"/>
      <c r="S452" s="111"/>
      <c r="T452" s="111"/>
      <c r="U452" s="111"/>
      <c r="V452" s="113"/>
      <c r="W452" s="29"/>
    </row>
    <row r="453" spans="1:23" x14ac:dyDescent="0.25">
      <c r="A453" s="111"/>
      <c r="B453" s="111"/>
      <c r="C453" s="111"/>
      <c r="D453" s="111"/>
      <c r="E453" s="111"/>
      <c r="F453" s="111"/>
      <c r="G453" s="111"/>
      <c r="H453" s="111"/>
      <c r="I453" s="111"/>
      <c r="J453" s="111"/>
      <c r="K453" s="111"/>
      <c r="L453" s="111"/>
      <c r="M453" s="111"/>
      <c r="N453" s="111"/>
      <c r="O453" s="111"/>
      <c r="P453" s="111"/>
      <c r="Q453" s="111"/>
      <c r="R453" s="112"/>
      <c r="S453" s="111"/>
      <c r="T453" s="111"/>
      <c r="U453" s="111"/>
      <c r="V453" s="113"/>
      <c r="W453" s="29"/>
    </row>
    <row r="454" spans="1:23" x14ac:dyDescent="0.25">
      <c r="A454" s="111"/>
      <c r="B454" s="111"/>
      <c r="C454" s="111"/>
      <c r="D454" s="111"/>
      <c r="E454" s="111"/>
      <c r="F454" s="111"/>
      <c r="G454" s="111"/>
      <c r="H454" s="111"/>
      <c r="I454" s="111"/>
      <c r="J454" s="111"/>
      <c r="K454" s="111"/>
      <c r="L454" s="111"/>
      <c r="M454" s="111"/>
      <c r="N454" s="111"/>
      <c r="O454" s="111"/>
      <c r="P454" s="111"/>
      <c r="Q454" s="111"/>
      <c r="R454" s="112"/>
      <c r="S454" s="111"/>
      <c r="T454" s="111"/>
      <c r="U454" s="111"/>
      <c r="V454" s="113"/>
      <c r="W454" s="29"/>
    </row>
    <row r="455" spans="1:23" x14ac:dyDescent="0.25">
      <c r="A455" s="111"/>
      <c r="B455" s="111"/>
      <c r="C455" s="111"/>
      <c r="D455" s="111"/>
      <c r="E455" s="111"/>
      <c r="F455" s="111"/>
      <c r="G455" s="111"/>
      <c r="H455" s="111"/>
      <c r="I455" s="111"/>
      <c r="J455" s="111"/>
      <c r="K455" s="111"/>
      <c r="L455" s="111"/>
      <c r="M455" s="111"/>
      <c r="N455" s="111"/>
      <c r="O455" s="111"/>
      <c r="P455" s="111"/>
      <c r="Q455" s="111"/>
      <c r="R455" s="112"/>
      <c r="S455" s="111"/>
      <c r="T455" s="111"/>
      <c r="U455" s="111"/>
      <c r="V455" s="113"/>
      <c r="W455" s="29"/>
    </row>
    <row r="456" spans="1:23" x14ac:dyDescent="0.25">
      <c r="A456" s="111"/>
      <c r="B456" s="111"/>
      <c r="C456" s="111"/>
      <c r="D456" s="111"/>
      <c r="E456" s="111"/>
      <c r="F456" s="111"/>
      <c r="G456" s="111"/>
      <c r="H456" s="111"/>
      <c r="I456" s="111"/>
      <c r="J456" s="111"/>
      <c r="K456" s="111"/>
      <c r="L456" s="111"/>
      <c r="M456" s="111"/>
      <c r="N456" s="111"/>
      <c r="O456" s="111"/>
      <c r="P456" s="111"/>
      <c r="Q456" s="111"/>
      <c r="R456" s="112"/>
      <c r="S456" s="111"/>
      <c r="T456" s="111"/>
      <c r="U456" s="111"/>
      <c r="V456" s="113"/>
      <c r="W456" s="29"/>
    </row>
    <row r="457" spans="1:23" x14ac:dyDescent="0.25">
      <c r="A457" s="111"/>
      <c r="B457" s="111"/>
      <c r="C457" s="111"/>
      <c r="D457" s="111"/>
      <c r="E457" s="111"/>
      <c r="F457" s="111"/>
      <c r="G457" s="111"/>
      <c r="H457" s="111"/>
      <c r="I457" s="111"/>
      <c r="J457" s="111"/>
      <c r="K457" s="111"/>
      <c r="L457" s="111"/>
      <c r="M457" s="111"/>
      <c r="N457" s="111"/>
      <c r="O457" s="111"/>
      <c r="P457" s="111"/>
      <c r="Q457" s="111"/>
      <c r="R457" s="112"/>
      <c r="S457" s="111"/>
      <c r="T457" s="111"/>
      <c r="U457" s="111"/>
      <c r="V457" s="113"/>
      <c r="W457" s="29"/>
    </row>
    <row r="458" spans="1:23" x14ac:dyDescent="0.25">
      <c r="A458" s="111"/>
      <c r="B458" s="111"/>
      <c r="C458" s="111"/>
      <c r="D458" s="111"/>
      <c r="E458" s="111"/>
      <c r="F458" s="111"/>
      <c r="G458" s="111"/>
      <c r="H458" s="111"/>
      <c r="I458" s="111"/>
      <c r="J458" s="111"/>
      <c r="K458" s="111"/>
      <c r="L458" s="111"/>
      <c r="M458" s="111"/>
      <c r="N458" s="111"/>
      <c r="O458" s="111"/>
      <c r="P458" s="111"/>
      <c r="Q458" s="111"/>
      <c r="R458" s="112"/>
      <c r="S458" s="111"/>
      <c r="T458" s="111"/>
      <c r="U458" s="111"/>
      <c r="V458" s="113"/>
      <c r="W458" s="29"/>
    </row>
    <row r="459" spans="1:23" ht="16.5" thickBot="1" x14ac:dyDescent="0.3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31"/>
      <c r="S459" s="29"/>
      <c r="T459" s="29"/>
      <c r="U459" s="29"/>
      <c r="V459" s="32"/>
      <c r="W459" s="29"/>
    </row>
    <row r="460" spans="1:23" ht="22.5" customHeight="1" thickBot="1" x14ac:dyDescent="0.3">
      <c r="A460" s="114" t="s">
        <v>6</v>
      </c>
      <c r="B460" s="167" t="s">
        <v>8</v>
      </c>
      <c r="C460" s="72" t="s">
        <v>49</v>
      </c>
      <c r="D460" s="72" t="s">
        <v>9</v>
      </c>
      <c r="E460" s="72" t="s">
        <v>10</v>
      </c>
      <c r="F460" s="72" t="s">
        <v>11</v>
      </c>
      <c r="G460" s="72" t="s">
        <v>12</v>
      </c>
      <c r="H460" s="72" t="s">
        <v>13</v>
      </c>
      <c r="I460" s="72" t="s">
        <v>14</v>
      </c>
      <c r="J460" s="72" t="s">
        <v>15</v>
      </c>
      <c r="K460" s="72" t="s">
        <v>34</v>
      </c>
      <c r="L460" s="72" t="s">
        <v>16</v>
      </c>
      <c r="M460" s="72" t="s">
        <v>48</v>
      </c>
      <c r="N460" s="73" t="s">
        <v>17</v>
      </c>
      <c r="O460" s="74"/>
      <c r="P460" s="75" t="s">
        <v>18</v>
      </c>
      <c r="Q460" s="71"/>
      <c r="R460" s="76" t="s">
        <v>35</v>
      </c>
      <c r="S460" s="71"/>
      <c r="T460" s="75" t="s">
        <v>36</v>
      </c>
      <c r="U460" s="71"/>
      <c r="V460" s="77" t="s">
        <v>29</v>
      </c>
      <c r="W460" s="29"/>
    </row>
    <row r="461" spans="1:23" ht="15.75" customHeight="1" x14ac:dyDescent="0.25">
      <c r="A461" s="115"/>
      <c r="B461" s="168"/>
      <c r="C461" s="134">
        <v>0.28999999999999998</v>
      </c>
      <c r="D461" s="135" t="s">
        <v>91</v>
      </c>
      <c r="E461" s="135" t="s">
        <v>92</v>
      </c>
      <c r="F461" s="79">
        <f>IF(AND(C461=""),"",1-C461)</f>
        <v>0.71</v>
      </c>
      <c r="G461" s="79">
        <v>2</v>
      </c>
      <c r="H461" s="79">
        <v>1.72</v>
      </c>
      <c r="I461" s="79">
        <f>IF(AND(C461=""),"",G461*C461)</f>
        <v>0.57999999999999996</v>
      </c>
      <c r="J461" s="79">
        <f>IF(AND(C461=""),"",H461*F461)</f>
        <v>1.2211999999999998</v>
      </c>
      <c r="K461" s="79" t="str">
        <f t="shared" ref="K461:K470" si="165">IF(AND(I461=""),"",IF(AND(I461&gt;J461),"T1","T2"))</f>
        <v>T2</v>
      </c>
      <c r="L461" s="79" t="str">
        <f t="shared" ref="L461:L470" si="166">IF(AND(J461=""),"",IF(AND(J461&gt;K461),"T1","T2"))</f>
        <v>T2</v>
      </c>
      <c r="M461" s="80">
        <f>IF(L461="","",IF(L461&lt;0.5,K$5*M$2,IF(L461&lt;0.75,K$5*M$3,IF(L461&lt;1,K$5*M$4,IF(L461&lt;1.25,K$5*M$5,IF(L461&lt;1.5,K$5*M$6,IF(L461&lt;2,K$5*M$7,IF(L461&lt;2.5,K$5*M$8,K$5*M$9))))))))</f>
        <v>300</v>
      </c>
      <c r="N461" s="172">
        <f>SUMIF(L461:L470,"&gt;0")</f>
        <v>0</v>
      </c>
      <c r="O461" s="74"/>
      <c r="P461" s="81" t="s">
        <v>95</v>
      </c>
      <c r="Q461" s="74"/>
      <c r="R461" s="82">
        <f>IF(OR(P461="",L461="NO BET"),0,IF(AND(K461=P461),IF(AND(K461="T2"),ROUNDUP(H461*0.95,2)-M461,ROUNDUP(G461*0.95,2)-M461),-M461))</f>
        <v>-300</v>
      </c>
      <c r="S461" s="71"/>
      <c r="T461" s="83" t="str">
        <f>IF(AND(P461=""),"",IF(AND(C461&gt;F461),IF(AND(P461="T1"),"a","r"),IF(AND(P461="T2"),"a","r")))</f>
        <v>r</v>
      </c>
      <c r="U461" s="71"/>
      <c r="V461" s="175">
        <f>SUM(R461:R470)</f>
        <v>-164.75</v>
      </c>
      <c r="W461" s="29"/>
    </row>
    <row r="462" spans="1:23" ht="15.75" customHeight="1" x14ac:dyDescent="0.25">
      <c r="A462" s="179" t="s">
        <v>7</v>
      </c>
      <c r="B462" s="168"/>
      <c r="C462" s="136">
        <v>0.28999999999999998</v>
      </c>
      <c r="D462" s="85">
        <v>100</v>
      </c>
      <c r="E462" s="137" t="s">
        <v>84</v>
      </c>
      <c r="F462" s="85">
        <f t="shared" ref="F462:F470" si="167">IF(AND(C462=""),"",1-C462)</f>
        <v>0.71</v>
      </c>
      <c r="G462" s="85">
        <v>1.57</v>
      </c>
      <c r="H462" s="85">
        <v>2.25</v>
      </c>
      <c r="I462" s="85">
        <f t="shared" ref="I462:I470" si="168">IF(AND(C462=""),"",G462*C462)</f>
        <v>0.45529999999999998</v>
      </c>
      <c r="J462" s="85">
        <f t="shared" ref="J462:J470" si="169">IF(AND(C462=""),"",H462*F462)</f>
        <v>1.5974999999999999</v>
      </c>
      <c r="K462" s="85" t="str">
        <f t="shared" si="165"/>
        <v>T2</v>
      </c>
      <c r="L462" s="85" t="str">
        <f t="shared" si="166"/>
        <v>T2</v>
      </c>
      <c r="M462" s="86">
        <f t="shared" ref="M462:M470" si="170">IF(L462="","",IF(L462&lt;0.5,K$5*M$2,IF(L462&lt;0.75,K$5*M$3,IF(L462&lt;1,K$5*M$4,IF(L462&lt;1.25,K$5*M$5,IF(L462&lt;1.5,K$5*M$6,IF(L462&lt;2,K$5*M$7,IF(L462&lt;2.5,K$5*M$8,K$5*M$9))))))))</f>
        <v>300</v>
      </c>
      <c r="N462" s="173"/>
      <c r="O462" s="71"/>
      <c r="P462" s="87" t="s">
        <v>95</v>
      </c>
      <c r="Q462" s="71"/>
      <c r="R462" s="88">
        <f t="shared" ref="R462:R470" si="171">IF(OR(P462="",L462="NO BET"),0,IF(AND(K462=P462),IF(AND(K462="T2"),ROUNDUP(H462*M462*0.95,2)-1,ROUNDUP(G462*M462*0.95,2)-M462),-M462))</f>
        <v>-300</v>
      </c>
      <c r="S462" s="71"/>
      <c r="T462" s="89" t="str">
        <f t="shared" ref="T462:T470" si="172">IF(AND(P462=""),"",IF(AND(C462&gt;F462),IF(AND(P462="T1"),"a","r"),IF(AND(P462="T2"),"a","r")))</f>
        <v>r</v>
      </c>
      <c r="U462" s="71"/>
      <c r="V462" s="175"/>
      <c r="W462" s="29"/>
    </row>
    <row r="463" spans="1:23" ht="15.75" customHeight="1" x14ac:dyDescent="0.25">
      <c r="A463" s="179"/>
      <c r="B463" s="168"/>
      <c r="C463" s="138">
        <v>0.42</v>
      </c>
      <c r="D463" s="139" t="s">
        <v>67</v>
      </c>
      <c r="E463" s="139" t="s">
        <v>74</v>
      </c>
      <c r="F463" s="16">
        <f t="shared" si="167"/>
        <v>0.58000000000000007</v>
      </c>
      <c r="G463" s="16">
        <v>1.4</v>
      </c>
      <c r="H463" s="16">
        <v>2.75</v>
      </c>
      <c r="I463" s="16">
        <f t="shared" si="168"/>
        <v>0.58799999999999997</v>
      </c>
      <c r="J463" s="16">
        <f t="shared" si="169"/>
        <v>1.5950000000000002</v>
      </c>
      <c r="K463" s="16" t="str">
        <f t="shared" si="165"/>
        <v>T2</v>
      </c>
      <c r="L463" s="16" t="str">
        <f t="shared" si="166"/>
        <v>T2</v>
      </c>
      <c r="M463" s="91">
        <f t="shared" si="170"/>
        <v>300</v>
      </c>
      <c r="N463" s="173"/>
      <c r="O463" s="74"/>
      <c r="P463" s="87" t="s">
        <v>95</v>
      </c>
      <c r="Q463" s="71"/>
      <c r="R463" s="88">
        <f t="shared" si="171"/>
        <v>-300</v>
      </c>
      <c r="S463" s="71"/>
      <c r="T463" s="89" t="str">
        <f t="shared" si="172"/>
        <v>r</v>
      </c>
      <c r="U463" s="71"/>
      <c r="V463" s="175"/>
      <c r="W463" s="29"/>
    </row>
    <row r="464" spans="1:23" ht="15.75" customHeight="1" x14ac:dyDescent="0.25">
      <c r="A464" s="179"/>
      <c r="B464" s="168"/>
      <c r="C464" s="136">
        <v>0.28999999999999998</v>
      </c>
      <c r="D464" s="137" t="s">
        <v>72</v>
      </c>
      <c r="E464" s="137" t="s">
        <v>70</v>
      </c>
      <c r="F464" s="85">
        <f t="shared" si="167"/>
        <v>0.71</v>
      </c>
      <c r="G464" s="85">
        <v>1.57</v>
      </c>
      <c r="H464" s="85">
        <v>2.25</v>
      </c>
      <c r="I464" s="85">
        <f t="shared" si="168"/>
        <v>0.45529999999999998</v>
      </c>
      <c r="J464" s="85">
        <f t="shared" si="169"/>
        <v>1.5974999999999999</v>
      </c>
      <c r="K464" s="85" t="str">
        <f t="shared" si="165"/>
        <v>T2</v>
      </c>
      <c r="L464" s="85" t="str">
        <f t="shared" si="166"/>
        <v>T2</v>
      </c>
      <c r="M464" s="86">
        <f t="shared" si="170"/>
        <v>300</v>
      </c>
      <c r="N464" s="173"/>
      <c r="O464" s="92"/>
      <c r="P464" s="87" t="s">
        <v>95</v>
      </c>
      <c r="Q464" s="71"/>
      <c r="R464" s="88">
        <f t="shared" si="171"/>
        <v>-300</v>
      </c>
      <c r="S464" s="71"/>
      <c r="T464" s="89" t="str">
        <f t="shared" si="172"/>
        <v>r</v>
      </c>
      <c r="U464" s="71"/>
      <c r="V464" s="175"/>
      <c r="W464" s="29"/>
    </row>
    <row r="465" spans="1:23" ht="15.75" customHeight="1" x14ac:dyDescent="0.25">
      <c r="A465" s="179"/>
      <c r="B465" s="168"/>
      <c r="C465" s="138">
        <v>0.54</v>
      </c>
      <c r="D465" s="139" t="s">
        <v>69</v>
      </c>
      <c r="E465" s="139" t="s">
        <v>66</v>
      </c>
      <c r="F465" s="16">
        <f t="shared" si="167"/>
        <v>0.45999999999999996</v>
      </c>
      <c r="G465" s="16">
        <v>1.66</v>
      </c>
      <c r="H465" s="16">
        <v>2.1</v>
      </c>
      <c r="I465" s="16">
        <f t="shared" si="168"/>
        <v>0.89639999999999997</v>
      </c>
      <c r="J465" s="16">
        <f t="shared" si="169"/>
        <v>0.96599999999999997</v>
      </c>
      <c r="K465" s="16" t="str">
        <f t="shared" si="165"/>
        <v>T2</v>
      </c>
      <c r="L465" s="16" t="str">
        <f t="shared" si="166"/>
        <v>T2</v>
      </c>
      <c r="M465" s="105">
        <f t="shared" si="170"/>
        <v>300</v>
      </c>
      <c r="N465" s="173"/>
      <c r="O465" s="92"/>
      <c r="P465" s="87" t="s">
        <v>96</v>
      </c>
      <c r="Q465" s="71"/>
      <c r="R465" s="88">
        <f t="shared" si="171"/>
        <v>597.5</v>
      </c>
      <c r="S465" s="71"/>
      <c r="T465" s="89" t="str">
        <f t="shared" si="172"/>
        <v>r</v>
      </c>
      <c r="U465" s="71"/>
      <c r="V465" s="175"/>
      <c r="W465" s="29"/>
    </row>
    <row r="466" spans="1:23" ht="15.75" customHeight="1" x14ac:dyDescent="0.25">
      <c r="A466" s="179"/>
      <c r="B466" s="168"/>
      <c r="C466" s="136">
        <v>0.54</v>
      </c>
      <c r="D466" s="137" t="s">
        <v>84</v>
      </c>
      <c r="E466" s="137" t="s">
        <v>91</v>
      </c>
      <c r="F466" s="85">
        <f t="shared" si="167"/>
        <v>0.45999999999999996</v>
      </c>
      <c r="G466" s="85">
        <v>3.25</v>
      </c>
      <c r="H466" s="85">
        <v>1.33</v>
      </c>
      <c r="I466" s="85">
        <f t="shared" si="168"/>
        <v>1.7550000000000001</v>
      </c>
      <c r="J466" s="85">
        <f t="shared" si="169"/>
        <v>0.61180000000000001</v>
      </c>
      <c r="K466" s="85" t="str">
        <f t="shared" si="165"/>
        <v>T1</v>
      </c>
      <c r="L466" s="85" t="str">
        <f t="shared" si="166"/>
        <v>T2</v>
      </c>
      <c r="M466" s="86">
        <f t="shared" si="170"/>
        <v>300</v>
      </c>
      <c r="N466" s="173"/>
      <c r="O466" s="92"/>
      <c r="P466" s="87" t="s">
        <v>96</v>
      </c>
      <c r="Q466" s="71"/>
      <c r="R466" s="88">
        <f t="shared" si="171"/>
        <v>-300</v>
      </c>
      <c r="S466" s="71"/>
      <c r="T466" s="89" t="str">
        <f t="shared" si="172"/>
        <v>r</v>
      </c>
      <c r="U466" s="71"/>
      <c r="V466" s="175"/>
      <c r="W466" s="29"/>
    </row>
    <row r="467" spans="1:23" ht="18.75" thickBot="1" x14ac:dyDescent="0.3">
      <c r="A467" s="179"/>
      <c r="B467" s="168"/>
      <c r="C467" s="138">
        <v>0.42</v>
      </c>
      <c r="D467" s="139" t="s">
        <v>70</v>
      </c>
      <c r="E467" s="139" t="s">
        <v>92</v>
      </c>
      <c r="F467" s="16">
        <f t="shared" si="167"/>
        <v>0.58000000000000007</v>
      </c>
      <c r="G467" s="16">
        <v>3.25</v>
      </c>
      <c r="H467" s="16">
        <v>1.33</v>
      </c>
      <c r="I467" s="16">
        <f t="shared" si="168"/>
        <v>1.365</v>
      </c>
      <c r="J467" s="16">
        <f t="shared" si="169"/>
        <v>0.77140000000000009</v>
      </c>
      <c r="K467" s="16" t="str">
        <f t="shared" si="165"/>
        <v>T1</v>
      </c>
      <c r="L467" s="16" t="str">
        <f t="shared" si="166"/>
        <v>T2</v>
      </c>
      <c r="M467" s="91">
        <f t="shared" si="170"/>
        <v>300</v>
      </c>
      <c r="N467" s="173"/>
      <c r="O467" s="71"/>
      <c r="P467" s="87" t="s">
        <v>95</v>
      </c>
      <c r="Q467" s="71"/>
      <c r="R467" s="88">
        <f t="shared" si="171"/>
        <v>626.25</v>
      </c>
      <c r="S467" s="71"/>
      <c r="T467" s="89" t="str">
        <f t="shared" si="172"/>
        <v>r</v>
      </c>
      <c r="U467" s="71"/>
      <c r="V467" s="93" t="s">
        <v>31</v>
      </c>
      <c r="W467" s="29"/>
    </row>
    <row r="468" spans="1:23" ht="18" x14ac:dyDescent="0.25">
      <c r="A468" s="179"/>
      <c r="B468" s="168"/>
      <c r="C468" s="136">
        <v>0.54</v>
      </c>
      <c r="D468" s="137" t="s">
        <v>69</v>
      </c>
      <c r="E468" s="85">
        <v>100</v>
      </c>
      <c r="F468" s="85">
        <f t="shared" si="167"/>
        <v>0.45999999999999996</v>
      </c>
      <c r="G468" s="85">
        <v>1.5</v>
      </c>
      <c r="H468" s="85">
        <v>2.5</v>
      </c>
      <c r="I468" s="85">
        <f t="shared" si="168"/>
        <v>0.81</v>
      </c>
      <c r="J468" s="85">
        <f t="shared" si="169"/>
        <v>1.1499999999999999</v>
      </c>
      <c r="K468" s="85" t="str">
        <f t="shared" si="165"/>
        <v>T2</v>
      </c>
      <c r="L468" s="85" t="str">
        <f t="shared" si="166"/>
        <v>T2</v>
      </c>
      <c r="M468" s="106">
        <f t="shared" si="170"/>
        <v>300</v>
      </c>
      <c r="N468" s="173"/>
      <c r="O468" s="71"/>
      <c r="P468" s="87" t="s">
        <v>96</v>
      </c>
      <c r="Q468" s="71"/>
      <c r="R468" s="88">
        <f t="shared" si="171"/>
        <v>711.5</v>
      </c>
      <c r="S468" s="71"/>
      <c r="T468" s="89" t="str">
        <f t="shared" si="172"/>
        <v>r</v>
      </c>
      <c r="U468" s="71"/>
      <c r="V468" s="176">
        <f>IF(AND(NOT(N461=0)),V461/N461,0)</f>
        <v>0</v>
      </c>
      <c r="W468" s="29"/>
    </row>
    <row r="469" spans="1:23" ht="18" x14ac:dyDescent="0.25">
      <c r="A469" s="179"/>
      <c r="B469" s="168"/>
      <c r="C469" s="103">
        <v>0.54</v>
      </c>
      <c r="D469" s="139" t="s">
        <v>74</v>
      </c>
      <c r="E469" s="139" t="s">
        <v>66</v>
      </c>
      <c r="F469" s="16">
        <f t="shared" si="167"/>
        <v>0.45999999999999996</v>
      </c>
      <c r="G469" s="16">
        <v>2.75</v>
      </c>
      <c r="H469" s="16">
        <v>1.4</v>
      </c>
      <c r="I469" s="16">
        <f t="shared" si="168"/>
        <v>1.4850000000000001</v>
      </c>
      <c r="J469" s="16">
        <f t="shared" si="169"/>
        <v>0.64399999999999991</v>
      </c>
      <c r="K469" s="16" t="str">
        <f t="shared" si="165"/>
        <v>T1</v>
      </c>
      <c r="L469" s="16" t="str">
        <f t="shared" si="166"/>
        <v>T2</v>
      </c>
      <c r="M469" s="105">
        <f t="shared" si="170"/>
        <v>300</v>
      </c>
      <c r="N469" s="173"/>
      <c r="O469" s="71"/>
      <c r="P469" s="87" t="s">
        <v>96</v>
      </c>
      <c r="Q469" s="71"/>
      <c r="R469" s="88">
        <f t="shared" si="171"/>
        <v>-300</v>
      </c>
      <c r="S469" s="71"/>
      <c r="T469" s="89" t="str">
        <f t="shared" si="172"/>
        <v>r</v>
      </c>
      <c r="U469" s="71"/>
      <c r="V469" s="177"/>
      <c r="W469" s="29"/>
    </row>
    <row r="470" spans="1:23" ht="18.75" thickBot="1" x14ac:dyDescent="0.3">
      <c r="A470" s="180"/>
      <c r="B470" s="169"/>
      <c r="C470" s="107">
        <v>0.28999999999999998</v>
      </c>
      <c r="D470" s="149" t="s">
        <v>72</v>
      </c>
      <c r="E470" s="149" t="s">
        <v>67</v>
      </c>
      <c r="F470" s="95">
        <f t="shared" si="167"/>
        <v>0.71</v>
      </c>
      <c r="G470" s="95">
        <v>1.9</v>
      </c>
      <c r="H470" s="95">
        <v>1.8</v>
      </c>
      <c r="I470" s="95">
        <f t="shared" si="168"/>
        <v>0.55099999999999993</v>
      </c>
      <c r="J470" s="95">
        <f t="shared" si="169"/>
        <v>1.278</v>
      </c>
      <c r="K470" s="95" t="str">
        <f t="shared" si="165"/>
        <v>T2</v>
      </c>
      <c r="L470" s="95" t="str">
        <f t="shared" si="166"/>
        <v>T2</v>
      </c>
      <c r="M470" s="96">
        <f t="shared" si="170"/>
        <v>300</v>
      </c>
      <c r="N470" s="174"/>
      <c r="O470" s="71"/>
      <c r="P470" s="97" t="s">
        <v>95</v>
      </c>
      <c r="Q470" s="29"/>
      <c r="R470" s="98">
        <f t="shared" si="171"/>
        <v>-300</v>
      </c>
      <c r="S470" s="29"/>
      <c r="T470" s="99" t="str">
        <f t="shared" si="172"/>
        <v>r</v>
      </c>
      <c r="U470" s="29"/>
      <c r="V470" s="178"/>
      <c r="W470" s="29"/>
    </row>
    <row r="471" spans="1:23" x14ac:dyDescent="0.25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71"/>
      <c r="P471" s="71"/>
      <c r="Q471" s="71"/>
      <c r="R471" s="120"/>
      <c r="S471" s="71"/>
      <c r="T471" s="71"/>
      <c r="U471" s="71"/>
      <c r="V471" s="121"/>
      <c r="W471" s="29"/>
    </row>
    <row r="472" spans="1:23" x14ac:dyDescent="0.25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71"/>
      <c r="P472" s="71"/>
      <c r="Q472" s="71"/>
      <c r="R472" s="120"/>
      <c r="S472" s="71"/>
      <c r="T472" s="71"/>
      <c r="U472" s="71"/>
      <c r="V472" s="121"/>
      <c r="W472" s="29"/>
    </row>
    <row r="473" spans="1:23" ht="16.5" thickBot="1" x14ac:dyDescent="0.3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71"/>
      <c r="P473" s="71"/>
      <c r="Q473" s="71"/>
      <c r="R473" s="120"/>
      <c r="S473" s="71"/>
      <c r="T473" s="71"/>
      <c r="U473" s="71"/>
      <c r="V473" s="121"/>
      <c r="W473" s="29"/>
    </row>
    <row r="474" spans="1:23" ht="22.5" customHeight="1" thickBot="1" x14ac:dyDescent="0.3">
      <c r="A474" s="114" t="s">
        <v>6</v>
      </c>
      <c r="B474" s="167" t="s">
        <v>20</v>
      </c>
      <c r="C474" s="72" t="s">
        <v>49</v>
      </c>
      <c r="D474" s="72" t="s">
        <v>9</v>
      </c>
      <c r="E474" s="72" t="s">
        <v>10</v>
      </c>
      <c r="F474" s="72" t="s">
        <v>11</v>
      </c>
      <c r="G474" s="72" t="s">
        <v>12</v>
      </c>
      <c r="H474" s="72" t="s">
        <v>13</v>
      </c>
      <c r="I474" s="72" t="s">
        <v>14</v>
      </c>
      <c r="J474" s="72" t="s">
        <v>15</v>
      </c>
      <c r="K474" s="72" t="s">
        <v>34</v>
      </c>
      <c r="L474" s="72" t="s">
        <v>16</v>
      </c>
      <c r="M474" s="72" t="s">
        <v>48</v>
      </c>
      <c r="N474" s="73" t="s">
        <v>17</v>
      </c>
      <c r="O474" s="74"/>
      <c r="P474" s="75" t="s">
        <v>18</v>
      </c>
      <c r="Q474" s="71"/>
      <c r="R474" s="76" t="s">
        <v>35</v>
      </c>
      <c r="S474" s="71"/>
      <c r="T474" s="75" t="s">
        <v>36</v>
      </c>
      <c r="U474" s="71"/>
      <c r="V474" s="77" t="s">
        <v>29</v>
      </c>
      <c r="W474" s="29"/>
    </row>
    <row r="475" spans="1:23" ht="15.75" customHeight="1" x14ac:dyDescent="0.25">
      <c r="A475" s="115"/>
      <c r="B475" s="168"/>
      <c r="C475" s="101">
        <v>0.14000000000000001</v>
      </c>
      <c r="D475" s="135" t="s">
        <v>67</v>
      </c>
      <c r="E475" s="135" t="s">
        <v>69</v>
      </c>
      <c r="F475" s="79">
        <f>IF(AND(C475=""),"",1-C475)</f>
        <v>0.86</v>
      </c>
      <c r="G475" s="79">
        <v>2</v>
      </c>
      <c r="H475" s="79">
        <v>1.72</v>
      </c>
      <c r="I475" s="79">
        <f>IF(AND(C475=""),"",G475*C475)</f>
        <v>0.28000000000000003</v>
      </c>
      <c r="J475" s="79">
        <f>IF(AND(C475=""),"",H475*F475)</f>
        <v>1.4791999999999998</v>
      </c>
      <c r="K475" s="79" t="str">
        <f t="shared" ref="K475:K484" si="173">IF(AND(I475=""),"",IF(AND(I475&gt;J475),"T1","T2"))</f>
        <v>T2</v>
      </c>
      <c r="L475" s="79" t="str">
        <f t="shared" ref="L475:L484" si="174">IF(AND(J475=""),"",IF(AND(J475&gt;K475),"T1","T2"))</f>
        <v>T2</v>
      </c>
      <c r="M475" s="80">
        <f>IF(L475="","",IF(L475&lt;0.5,K$5*M$2,IF(L475&lt;0.75,K$5*M$3,IF(L475&lt;1,K$5*M$4,IF(L475&lt;1.25,K$5*M$5,IF(L475&lt;1.5,K$5*M$6,IF(L475&lt;2,K$5*M$7,IF(L475&lt;2.5,K$5*M$8,K$5*M$9))))))))</f>
        <v>300</v>
      </c>
      <c r="N475" s="172">
        <f>SUMIF(L475:L484,"&gt;0")</f>
        <v>0</v>
      </c>
      <c r="O475" s="74"/>
      <c r="P475" s="81" t="s">
        <v>96</v>
      </c>
      <c r="Q475" s="74"/>
      <c r="R475" s="82">
        <f>IF(OR(P475="",L475="NO BET"),0,IF(AND(K475=P475),IF(AND(K475="T2"),ROUNDUP(H475*0.95,2)-M475,ROUNDUP(G475*0.95,2)-M475),-M475))</f>
        <v>-298.36</v>
      </c>
      <c r="S475" s="71"/>
      <c r="T475" s="83" t="str">
        <f>IF(AND(P475=""),"",IF(AND(C475&gt;F475),IF(AND(P475="T1"),"a","r"),IF(AND(P475="T2"),"a","r")))</f>
        <v>a</v>
      </c>
      <c r="U475" s="71"/>
      <c r="V475" s="175">
        <f>SUM(R475:R484)</f>
        <v>-724.81000000000006</v>
      </c>
      <c r="W475" s="29"/>
    </row>
    <row r="476" spans="1:23" ht="15.75" customHeight="1" x14ac:dyDescent="0.25">
      <c r="A476" s="179" t="s">
        <v>7</v>
      </c>
      <c r="B476" s="168"/>
      <c r="C476" s="102">
        <v>0.11</v>
      </c>
      <c r="D476" s="137" t="s">
        <v>92</v>
      </c>
      <c r="E476" s="137" t="s">
        <v>84</v>
      </c>
      <c r="F476" s="85">
        <f t="shared" ref="F476:F484" si="175">IF(AND(C476=""),"",1-C476)</f>
        <v>0.89</v>
      </c>
      <c r="G476" s="85">
        <v>1.4</v>
      </c>
      <c r="H476" s="85">
        <v>2.75</v>
      </c>
      <c r="I476" s="85">
        <f t="shared" ref="I476:I484" si="176">IF(AND(C476=""),"",G476*C476)</f>
        <v>0.154</v>
      </c>
      <c r="J476" s="85">
        <f t="shared" ref="J476:J484" si="177">IF(AND(C476=""),"",H476*F476)</f>
        <v>2.4475000000000002</v>
      </c>
      <c r="K476" s="85" t="str">
        <f t="shared" si="173"/>
        <v>T2</v>
      </c>
      <c r="L476" s="85" t="str">
        <f t="shared" si="174"/>
        <v>T2</v>
      </c>
      <c r="M476" s="86">
        <f t="shared" ref="M476:M484" si="178">IF(L476="","",IF(L476&lt;0.5,K$5*M$2,IF(L476&lt;0.75,K$5*M$3,IF(L476&lt;1,K$5*M$4,IF(L476&lt;1.25,K$5*M$5,IF(L476&lt;1.5,K$5*M$6,IF(L476&lt;2,K$5*M$7,IF(L476&lt;2.5,K$5*M$8,K$5*M$9))))))))</f>
        <v>300</v>
      </c>
      <c r="N476" s="173"/>
      <c r="O476" s="29"/>
      <c r="P476" s="87" t="s">
        <v>95</v>
      </c>
      <c r="Q476" s="71"/>
      <c r="R476" s="88">
        <f t="shared" ref="R476:R484" si="179">IF(OR(P476="",L476="NO BET"),0,IF(AND(K476=P476),IF(AND(K476="T2"),ROUNDUP(H476*M476*0.95,2)-1,ROUNDUP(G476*M476*0.95,2)-M476),-M476))</f>
        <v>-300</v>
      </c>
      <c r="S476" s="71"/>
      <c r="T476" s="89" t="str">
        <f t="shared" ref="T476:T484" si="180">IF(AND(P476=""),"",IF(AND(C476&gt;F476),IF(AND(P476="T1"),"a","r"),IF(AND(P476="T2"),"a","r")))</f>
        <v>r</v>
      </c>
      <c r="U476" s="71"/>
      <c r="V476" s="175"/>
      <c r="W476" s="29"/>
    </row>
    <row r="477" spans="1:23" ht="15.75" customHeight="1" x14ac:dyDescent="0.25">
      <c r="A477" s="179"/>
      <c r="B477" s="168"/>
      <c r="C477" s="103">
        <v>0.19</v>
      </c>
      <c r="D477" s="139" t="s">
        <v>66</v>
      </c>
      <c r="E477" s="139" t="s">
        <v>72</v>
      </c>
      <c r="F477" s="16">
        <f t="shared" si="175"/>
        <v>0.81</v>
      </c>
      <c r="G477" s="16">
        <v>1.8</v>
      </c>
      <c r="H477" s="16">
        <v>1.9</v>
      </c>
      <c r="I477" s="16">
        <f t="shared" si="176"/>
        <v>0.34200000000000003</v>
      </c>
      <c r="J477" s="16">
        <f t="shared" si="177"/>
        <v>1.5389999999999999</v>
      </c>
      <c r="K477" s="16" t="str">
        <f t="shared" si="173"/>
        <v>T2</v>
      </c>
      <c r="L477" s="16" t="str">
        <f t="shared" si="174"/>
        <v>T2</v>
      </c>
      <c r="M477" s="91">
        <f t="shared" si="178"/>
        <v>300</v>
      </c>
      <c r="N477" s="173"/>
      <c r="O477" s="74"/>
      <c r="P477" s="87" t="s">
        <v>96</v>
      </c>
      <c r="Q477" s="71"/>
      <c r="R477" s="88">
        <f t="shared" si="179"/>
        <v>540.5</v>
      </c>
      <c r="S477" s="71"/>
      <c r="T477" s="89" t="str">
        <f t="shared" si="180"/>
        <v>a</v>
      </c>
      <c r="U477" s="71"/>
      <c r="V477" s="175"/>
      <c r="W477" s="29"/>
    </row>
    <row r="478" spans="1:23" ht="15.75" customHeight="1" x14ac:dyDescent="0.25">
      <c r="A478" s="179"/>
      <c r="B478" s="168"/>
      <c r="C478" s="102">
        <v>0.26</v>
      </c>
      <c r="D478" s="85">
        <v>100</v>
      </c>
      <c r="E478" s="137" t="s">
        <v>91</v>
      </c>
      <c r="F478" s="85">
        <f t="shared" si="175"/>
        <v>0.74</v>
      </c>
      <c r="G478" s="85">
        <v>2.25</v>
      </c>
      <c r="H478" s="85">
        <v>1.57</v>
      </c>
      <c r="I478" s="85">
        <f t="shared" si="176"/>
        <v>0.58499999999999996</v>
      </c>
      <c r="J478" s="85">
        <f t="shared" si="177"/>
        <v>1.1617999999999999</v>
      </c>
      <c r="K478" s="85" t="str">
        <f t="shared" si="173"/>
        <v>T2</v>
      </c>
      <c r="L478" s="85" t="str">
        <f t="shared" si="174"/>
        <v>T2</v>
      </c>
      <c r="M478" s="86">
        <f t="shared" si="178"/>
        <v>300</v>
      </c>
      <c r="N478" s="173"/>
      <c r="O478" s="92"/>
      <c r="P478" s="87" t="s">
        <v>95</v>
      </c>
      <c r="Q478" s="71"/>
      <c r="R478" s="88">
        <f t="shared" si="179"/>
        <v>-300</v>
      </c>
      <c r="S478" s="71"/>
      <c r="T478" s="89" t="str">
        <f t="shared" si="180"/>
        <v>r</v>
      </c>
      <c r="U478" s="71"/>
      <c r="V478" s="175"/>
      <c r="W478" s="29"/>
    </row>
    <row r="479" spans="1:23" ht="15.75" customHeight="1" x14ac:dyDescent="0.25">
      <c r="A479" s="179"/>
      <c r="B479" s="168"/>
      <c r="C479" s="103">
        <v>0.19</v>
      </c>
      <c r="D479" s="139" t="s">
        <v>74</v>
      </c>
      <c r="E479" s="139" t="s">
        <v>70</v>
      </c>
      <c r="F479" s="16">
        <f t="shared" si="175"/>
        <v>0.81</v>
      </c>
      <c r="G479" s="16">
        <v>2.25</v>
      </c>
      <c r="H479" s="16">
        <v>1.57</v>
      </c>
      <c r="I479" s="16">
        <f t="shared" si="176"/>
        <v>0.42749999999999999</v>
      </c>
      <c r="J479" s="16">
        <f t="shared" si="177"/>
        <v>1.2717000000000001</v>
      </c>
      <c r="K479" s="16" t="str">
        <f t="shared" si="173"/>
        <v>T2</v>
      </c>
      <c r="L479" s="16" t="str">
        <f t="shared" si="174"/>
        <v>T2</v>
      </c>
      <c r="M479" s="105">
        <f t="shared" si="178"/>
        <v>300</v>
      </c>
      <c r="N479" s="173"/>
      <c r="O479" s="92"/>
      <c r="P479" s="87" t="s">
        <v>96</v>
      </c>
      <c r="Q479" s="71"/>
      <c r="R479" s="88">
        <f t="shared" si="179"/>
        <v>446.45</v>
      </c>
      <c r="S479" s="71"/>
      <c r="T479" s="89" t="str">
        <f t="shared" si="180"/>
        <v>a</v>
      </c>
      <c r="U479" s="71"/>
      <c r="V479" s="175"/>
      <c r="W479" s="29"/>
    </row>
    <row r="480" spans="1:23" ht="15.75" customHeight="1" x14ac:dyDescent="0.25">
      <c r="A480" s="179"/>
      <c r="B480" s="168"/>
      <c r="C480" s="102">
        <v>0.09</v>
      </c>
      <c r="D480" s="137" t="s">
        <v>72</v>
      </c>
      <c r="E480" s="137" t="s">
        <v>92</v>
      </c>
      <c r="F480" s="85">
        <f t="shared" si="175"/>
        <v>0.91</v>
      </c>
      <c r="G480" s="85">
        <v>2.1</v>
      </c>
      <c r="H480" s="85">
        <v>1.66</v>
      </c>
      <c r="I480" s="85">
        <f t="shared" si="176"/>
        <v>0.189</v>
      </c>
      <c r="J480" s="85">
        <f t="shared" si="177"/>
        <v>1.5105999999999999</v>
      </c>
      <c r="K480" s="85" t="str">
        <f t="shared" si="173"/>
        <v>T2</v>
      </c>
      <c r="L480" s="85" t="str">
        <f t="shared" si="174"/>
        <v>T2</v>
      </c>
      <c r="M480" s="86">
        <f t="shared" si="178"/>
        <v>300</v>
      </c>
      <c r="N480" s="173"/>
      <c r="O480" s="92"/>
      <c r="P480" s="87" t="s">
        <v>95</v>
      </c>
      <c r="Q480" s="71"/>
      <c r="R480" s="88">
        <f t="shared" si="179"/>
        <v>-300</v>
      </c>
      <c r="S480" s="71"/>
      <c r="T480" s="89" t="str">
        <f t="shared" si="180"/>
        <v>r</v>
      </c>
      <c r="U480" s="71"/>
      <c r="V480" s="175"/>
      <c r="W480" s="29"/>
    </row>
    <row r="481" spans="1:23" ht="18.75" thickBot="1" x14ac:dyDescent="0.3">
      <c r="A481" s="179"/>
      <c r="B481" s="168"/>
      <c r="C481" s="103">
        <v>0.16</v>
      </c>
      <c r="D481" s="139" t="s">
        <v>66</v>
      </c>
      <c r="E481" s="16">
        <v>100</v>
      </c>
      <c r="F481" s="16">
        <f t="shared" si="175"/>
        <v>0.84</v>
      </c>
      <c r="G481" s="16">
        <v>1.66</v>
      </c>
      <c r="H481" s="16">
        <v>2.1</v>
      </c>
      <c r="I481" s="16">
        <f t="shared" si="176"/>
        <v>0.2656</v>
      </c>
      <c r="J481" s="16">
        <f t="shared" si="177"/>
        <v>1.764</v>
      </c>
      <c r="K481" s="16" t="str">
        <f t="shared" si="173"/>
        <v>T2</v>
      </c>
      <c r="L481" s="16" t="str">
        <f t="shared" si="174"/>
        <v>T2</v>
      </c>
      <c r="M481" s="91">
        <f t="shared" si="178"/>
        <v>300</v>
      </c>
      <c r="N481" s="173"/>
      <c r="O481" s="29"/>
      <c r="P481" s="87" t="s">
        <v>95</v>
      </c>
      <c r="Q481" s="71"/>
      <c r="R481" s="88">
        <f t="shared" si="179"/>
        <v>-300</v>
      </c>
      <c r="S481" s="71"/>
      <c r="T481" s="89" t="str">
        <f t="shared" si="180"/>
        <v>r</v>
      </c>
      <c r="U481" s="71"/>
      <c r="V481" s="93" t="s">
        <v>31</v>
      </c>
      <c r="W481" s="29"/>
    </row>
    <row r="482" spans="1:23" ht="16.5" customHeight="1" x14ac:dyDescent="0.25">
      <c r="A482" s="179"/>
      <c r="B482" s="168"/>
      <c r="C482" s="102">
        <v>0.19</v>
      </c>
      <c r="D482" s="137" t="s">
        <v>84</v>
      </c>
      <c r="E482" s="137" t="s">
        <v>70</v>
      </c>
      <c r="F482" s="85">
        <f t="shared" si="175"/>
        <v>0.81</v>
      </c>
      <c r="G482" s="85">
        <v>2</v>
      </c>
      <c r="H482" s="85">
        <v>1.72</v>
      </c>
      <c r="I482" s="85">
        <f t="shared" si="176"/>
        <v>0.38</v>
      </c>
      <c r="J482" s="85">
        <f t="shared" si="177"/>
        <v>1.3932</v>
      </c>
      <c r="K482" s="85" t="str">
        <f t="shared" si="173"/>
        <v>T2</v>
      </c>
      <c r="L482" s="85" t="str">
        <f t="shared" si="174"/>
        <v>T2</v>
      </c>
      <c r="M482" s="106">
        <f t="shared" si="178"/>
        <v>300</v>
      </c>
      <c r="N482" s="173"/>
      <c r="O482" s="29"/>
      <c r="P482" s="87" t="s">
        <v>95</v>
      </c>
      <c r="Q482" s="71"/>
      <c r="R482" s="88">
        <f t="shared" si="179"/>
        <v>-300</v>
      </c>
      <c r="S482" s="71"/>
      <c r="T482" s="89" t="str">
        <f t="shared" si="180"/>
        <v>r</v>
      </c>
      <c r="U482" s="71"/>
      <c r="V482" s="176">
        <f>IF(AND(NOT(N475=0)),V475/N475,0)</f>
        <v>0</v>
      </c>
      <c r="W482" s="29"/>
    </row>
    <row r="483" spans="1:23" ht="15.75" customHeight="1" x14ac:dyDescent="0.25">
      <c r="A483" s="179"/>
      <c r="B483" s="168"/>
      <c r="C483" s="103">
        <v>0.17</v>
      </c>
      <c r="D483" s="139" t="s">
        <v>74</v>
      </c>
      <c r="E483" s="139" t="s">
        <v>69</v>
      </c>
      <c r="F483" s="16">
        <f t="shared" si="175"/>
        <v>0.83</v>
      </c>
      <c r="G483" s="16">
        <v>3</v>
      </c>
      <c r="H483" s="16">
        <v>1.36</v>
      </c>
      <c r="I483" s="16">
        <f t="shared" si="176"/>
        <v>0.51</v>
      </c>
      <c r="J483" s="16">
        <f t="shared" si="177"/>
        <v>1.1288</v>
      </c>
      <c r="K483" s="16" t="str">
        <f t="shared" si="173"/>
        <v>T2</v>
      </c>
      <c r="L483" s="16" t="str">
        <f t="shared" si="174"/>
        <v>T2</v>
      </c>
      <c r="M483" s="105">
        <f t="shared" si="178"/>
        <v>300</v>
      </c>
      <c r="N483" s="173"/>
      <c r="O483" s="29"/>
      <c r="P483" s="87" t="s">
        <v>96</v>
      </c>
      <c r="Q483" s="71"/>
      <c r="R483" s="88">
        <f t="shared" si="179"/>
        <v>386.6</v>
      </c>
      <c r="S483" s="71"/>
      <c r="T483" s="89" t="str">
        <f t="shared" si="180"/>
        <v>a</v>
      </c>
      <c r="U483" s="71"/>
      <c r="V483" s="177"/>
      <c r="W483" s="29"/>
    </row>
    <row r="484" spans="1:23" ht="15.75" customHeight="1" thickBot="1" x14ac:dyDescent="0.3">
      <c r="A484" s="180"/>
      <c r="B484" s="169"/>
      <c r="C484" s="107">
        <v>0.03</v>
      </c>
      <c r="D484" s="149" t="s">
        <v>91</v>
      </c>
      <c r="E484" s="149" t="s">
        <v>67</v>
      </c>
      <c r="F484" s="95">
        <f t="shared" si="175"/>
        <v>0.97</v>
      </c>
      <c r="G484" s="95">
        <v>1.4</v>
      </c>
      <c r="H484" s="95">
        <v>2.75</v>
      </c>
      <c r="I484" s="95">
        <f t="shared" si="176"/>
        <v>4.1999999999999996E-2</v>
      </c>
      <c r="J484" s="95">
        <f t="shared" si="177"/>
        <v>2.6675</v>
      </c>
      <c r="K484" s="95" t="str">
        <f t="shared" si="173"/>
        <v>T2</v>
      </c>
      <c r="L484" s="95" t="str">
        <f t="shared" si="174"/>
        <v>T2</v>
      </c>
      <c r="M484" s="96">
        <f t="shared" si="178"/>
        <v>300</v>
      </c>
      <c r="N484" s="174"/>
      <c r="O484" s="29"/>
      <c r="P484" s="97" t="s">
        <v>95</v>
      </c>
      <c r="Q484" s="29"/>
      <c r="R484" s="98">
        <f t="shared" si="179"/>
        <v>-300</v>
      </c>
      <c r="S484" s="29"/>
      <c r="T484" s="99" t="str">
        <f t="shared" si="180"/>
        <v>r</v>
      </c>
      <c r="U484" s="29"/>
      <c r="V484" s="178"/>
      <c r="W484" s="29"/>
    </row>
    <row r="485" spans="1:23" ht="15.75" customHeight="1" x14ac:dyDescent="0.25">
      <c r="A485" s="29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31"/>
      <c r="S485" s="29"/>
      <c r="T485" s="29"/>
      <c r="U485" s="29"/>
      <c r="V485" s="32"/>
      <c r="W485" s="29"/>
    </row>
    <row r="486" spans="1:23" ht="15.75" customHeight="1" x14ac:dyDescent="0.25">
      <c r="A486" s="29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31"/>
      <c r="S486" s="29"/>
      <c r="T486" s="29"/>
      <c r="U486" s="29"/>
      <c r="V486" s="32"/>
      <c r="W486" s="29"/>
    </row>
    <row r="487" spans="1:23" ht="16.5" thickBot="1" x14ac:dyDescent="0.3">
      <c r="A487" s="29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31"/>
      <c r="S487" s="29"/>
      <c r="T487" s="29"/>
      <c r="U487" s="29"/>
      <c r="V487" s="32"/>
      <c r="W487" s="29"/>
    </row>
    <row r="488" spans="1:23" ht="22.5" customHeight="1" thickBot="1" x14ac:dyDescent="0.3">
      <c r="A488" s="114" t="s">
        <v>6</v>
      </c>
      <c r="B488" s="167" t="s">
        <v>21</v>
      </c>
      <c r="C488" s="72" t="s">
        <v>49</v>
      </c>
      <c r="D488" s="72" t="s">
        <v>9</v>
      </c>
      <c r="E488" s="72" t="s">
        <v>10</v>
      </c>
      <c r="F488" s="72" t="s">
        <v>11</v>
      </c>
      <c r="G488" s="72" t="s">
        <v>12</v>
      </c>
      <c r="H488" s="72" t="s">
        <v>13</v>
      </c>
      <c r="I488" s="72" t="s">
        <v>14</v>
      </c>
      <c r="J488" s="72" t="s">
        <v>15</v>
      </c>
      <c r="K488" s="72" t="s">
        <v>34</v>
      </c>
      <c r="L488" s="72" t="s">
        <v>16</v>
      </c>
      <c r="M488" s="72" t="s">
        <v>48</v>
      </c>
      <c r="N488" s="73" t="s">
        <v>17</v>
      </c>
      <c r="O488" s="74"/>
      <c r="P488" s="75" t="s">
        <v>18</v>
      </c>
      <c r="Q488" s="71"/>
      <c r="R488" s="76" t="s">
        <v>35</v>
      </c>
      <c r="S488" s="71"/>
      <c r="T488" s="75" t="s">
        <v>36</v>
      </c>
      <c r="U488" s="71"/>
      <c r="V488" s="77" t="s">
        <v>29</v>
      </c>
      <c r="W488" s="29"/>
    </row>
    <row r="489" spans="1:23" ht="15.75" customHeight="1" x14ac:dyDescent="0.25">
      <c r="A489" s="115"/>
      <c r="B489" s="168"/>
      <c r="C489" s="78"/>
      <c r="D489" s="135"/>
      <c r="E489" s="135"/>
      <c r="F489" s="79" t="str">
        <f>IF(AND(C489=""),"",1-C489)</f>
        <v/>
      </c>
      <c r="G489" s="79"/>
      <c r="H489" s="79"/>
      <c r="I489" s="79" t="str">
        <f>IF(AND(C489=""),"",G489*C489)</f>
        <v/>
      </c>
      <c r="J489" s="79" t="str">
        <f>IF(AND(C489=""),"",H489*F489)</f>
        <v/>
      </c>
      <c r="K489" s="79" t="str">
        <f t="shared" ref="K489:K498" si="181">IF(AND(I489=""),"",IF(AND(I489&gt;J489),"T1","T2"))</f>
        <v/>
      </c>
      <c r="L489" s="79" t="str">
        <f t="shared" ref="L489:L498" si="182">IF(AND(J489=""),"",IF(AND(J489&gt;K489),"T1","T2"))</f>
        <v/>
      </c>
      <c r="M489" s="80" t="str">
        <f>IF(L489="","",IF(L489&lt;0.5,K$5*M$2,IF(L489&lt;0.75,K$5*M$3,IF(L489&lt;1,K$5*M$4,IF(L489&lt;1.25,K$5*M$5,IF(L489&lt;1.5,K$5*M$6,IF(L489&lt;2,K$5*M$7,IF(L489&lt;2.5,K$5*M$8,K$5*M$9))))))))</f>
        <v/>
      </c>
      <c r="N489" s="172">
        <f>SUMIF(L489:L498,"&gt;0")</f>
        <v>0</v>
      </c>
      <c r="O489" s="74"/>
      <c r="P489" s="81"/>
      <c r="Q489" s="74"/>
      <c r="R489" s="82">
        <f>IF(OR(P489="",L489="NO BET"),0,IF(AND(K489=P489),IF(AND(K489="T2"),ROUNDUP(H489*0.95,2)-M489,ROUNDUP(G489*0.95,2)-M489),-M489))</f>
        <v>0</v>
      </c>
      <c r="S489" s="71"/>
      <c r="T489" s="83" t="str">
        <f>IF(AND(P489=""),"",IF(AND(C489&gt;F489),IF(AND(P489="T1"),"a","r"),IF(AND(P489="T2"),"a","r")))</f>
        <v/>
      </c>
      <c r="U489" s="71"/>
      <c r="V489" s="175">
        <f>SUM(R489:R498)</f>
        <v>0</v>
      </c>
      <c r="W489" s="29"/>
    </row>
    <row r="490" spans="1:23" ht="15.75" customHeight="1" x14ac:dyDescent="0.25">
      <c r="A490" s="179" t="s">
        <v>7</v>
      </c>
      <c r="B490" s="168"/>
      <c r="C490" s="84"/>
      <c r="D490" s="137"/>
      <c r="E490" s="137"/>
      <c r="F490" s="85" t="str">
        <f t="shared" ref="F490:F498" si="183">IF(AND(C490=""),"",1-C490)</f>
        <v/>
      </c>
      <c r="G490" s="85"/>
      <c r="H490" s="85"/>
      <c r="I490" s="85" t="str">
        <f t="shared" ref="I490:I498" si="184">IF(AND(C490=""),"",G490*C490)</f>
        <v/>
      </c>
      <c r="J490" s="85" t="str">
        <f t="shared" ref="J490:J498" si="185">IF(AND(C490=""),"",H490*F490)</f>
        <v/>
      </c>
      <c r="K490" s="85" t="str">
        <f t="shared" si="181"/>
        <v/>
      </c>
      <c r="L490" s="85" t="str">
        <f t="shared" si="182"/>
        <v/>
      </c>
      <c r="M490" s="86" t="str">
        <f t="shared" ref="M490:M498" si="186">IF(L490="","",IF(L490&lt;0.5,K$5*M$2,IF(L490&lt;0.75,K$5*M$3,IF(L490&lt;1,K$5*M$4,IF(L490&lt;1.25,K$5*M$5,IF(L490&lt;1.5,K$5*M$6,IF(L490&lt;2,K$5*M$7,IF(L490&lt;2.5,K$5*M$8,K$5*M$9))))))))</f>
        <v/>
      </c>
      <c r="N490" s="173"/>
      <c r="O490" s="29"/>
      <c r="P490" s="87"/>
      <c r="Q490" s="71"/>
      <c r="R490" s="88">
        <f t="shared" ref="R490:R498" si="187">IF(OR(P490="",L490="NO BET"),0,IF(AND(K490=P490),IF(AND(K490="T2"),ROUNDUP(H490*M490*0.95,2)-1,ROUNDUP(G490*M490*0.95,2)-M490),-M490))</f>
        <v>0</v>
      </c>
      <c r="S490" s="71"/>
      <c r="T490" s="89" t="str">
        <f t="shared" ref="T490:T498" si="188">IF(AND(P490=""),"",IF(AND(C490&gt;F490),IF(AND(P490="T1"),"a","r"),IF(AND(P490="T2"),"a","r")))</f>
        <v/>
      </c>
      <c r="U490" s="71"/>
      <c r="V490" s="175"/>
      <c r="W490" s="29"/>
    </row>
    <row r="491" spans="1:23" ht="15.75" customHeight="1" x14ac:dyDescent="0.25">
      <c r="A491" s="179"/>
      <c r="B491" s="168"/>
      <c r="C491" s="90"/>
      <c r="D491" s="139"/>
      <c r="E491" s="16"/>
      <c r="F491" s="16" t="str">
        <f t="shared" si="183"/>
        <v/>
      </c>
      <c r="G491" s="16"/>
      <c r="H491" s="16"/>
      <c r="I491" s="16" t="str">
        <f t="shared" si="184"/>
        <v/>
      </c>
      <c r="J491" s="16" t="str">
        <f t="shared" si="185"/>
        <v/>
      </c>
      <c r="K491" s="16" t="str">
        <f t="shared" si="181"/>
        <v/>
      </c>
      <c r="L491" s="16" t="str">
        <f t="shared" si="182"/>
        <v/>
      </c>
      <c r="M491" s="91" t="str">
        <f t="shared" si="186"/>
        <v/>
      </c>
      <c r="N491" s="173"/>
      <c r="O491" s="74"/>
      <c r="P491" s="87"/>
      <c r="Q491" s="71"/>
      <c r="R491" s="88">
        <f t="shared" si="187"/>
        <v>0</v>
      </c>
      <c r="S491" s="71"/>
      <c r="T491" s="89" t="str">
        <f t="shared" si="188"/>
        <v/>
      </c>
      <c r="U491" s="71"/>
      <c r="V491" s="175"/>
      <c r="W491" s="29"/>
    </row>
    <row r="492" spans="1:23" ht="15.75" customHeight="1" x14ac:dyDescent="0.25">
      <c r="A492" s="179"/>
      <c r="B492" s="168"/>
      <c r="C492" s="84"/>
      <c r="D492" s="137"/>
      <c r="E492" s="137"/>
      <c r="F492" s="85" t="str">
        <f t="shared" si="183"/>
        <v/>
      </c>
      <c r="G492" s="85"/>
      <c r="H492" s="85"/>
      <c r="I492" s="85" t="str">
        <f t="shared" si="184"/>
        <v/>
      </c>
      <c r="J492" s="85" t="str">
        <f t="shared" si="185"/>
        <v/>
      </c>
      <c r="K492" s="85" t="str">
        <f t="shared" si="181"/>
        <v/>
      </c>
      <c r="L492" s="85" t="str">
        <f t="shared" si="182"/>
        <v/>
      </c>
      <c r="M492" s="86" t="str">
        <f t="shared" si="186"/>
        <v/>
      </c>
      <c r="N492" s="173"/>
      <c r="O492" s="92"/>
      <c r="P492" s="87"/>
      <c r="Q492" s="71"/>
      <c r="R492" s="88">
        <f t="shared" si="187"/>
        <v>0</v>
      </c>
      <c r="S492" s="71"/>
      <c r="T492" s="89" t="str">
        <f t="shared" si="188"/>
        <v/>
      </c>
      <c r="U492" s="71"/>
      <c r="V492" s="175"/>
      <c r="W492" s="29"/>
    </row>
    <row r="493" spans="1:23" ht="15.75" customHeight="1" x14ac:dyDescent="0.25">
      <c r="A493" s="179"/>
      <c r="B493" s="168"/>
      <c r="C493" s="90"/>
      <c r="D493" s="139"/>
      <c r="E493" s="139"/>
      <c r="F493" s="16" t="str">
        <f t="shared" si="183"/>
        <v/>
      </c>
      <c r="G493" s="16"/>
      <c r="H493" s="16"/>
      <c r="I493" s="16" t="str">
        <f t="shared" si="184"/>
        <v/>
      </c>
      <c r="J493" s="16" t="str">
        <f t="shared" si="185"/>
        <v/>
      </c>
      <c r="K493" s="16" t="str">
        <f t="shared" si="181"/>
        <v/>
      </c>
      <c r="L493" s="16" t="str">
        <f t="shared" si="182"/>
        <v/>
      </c>
      <c r="M493" s="105" t="str">
        <f t="shared" si="186"/>
        <v/>
      </c>
      <c r="N493" s="173"/>
      <c r="O493" s="92"/>
      <c r="P493" s="87"/>
      <c r="Q493" s="71"/>
      <c r="R493" s="88">
        <f t="shared" si="187"/>
        <v>0</v>
      </c>
      <c r="S493" s="71"/>
      <c r="T493" s="89" t="str">
        <f t="shared" si="188"/>
        <v/>
      </c>
      <c r="U493" s="71"/>
      <c r="V493" s="175"/>
      <c r="W493" s="29"/>
    </row>
    <row r="494" spans="1:23" ht="15.75" customHeight="1" x14ac:dyDescent="0.25">
      <c r="A494" s="179"/>
      <c r="B494" s="168"/>
      <c r="C494" s="84"/>
      <c r="D494" s="137"/>
      <c r="E494" s="137"/>
      <c r="F494" s="85" t="str">
        <f t="shared" si="183"/>
        <v/>
      </c>
      <c r="G494" s="85"/>
      <c r="H494" s="85"/>
      <c r="I494" s="85" t="str">
        <f t="shared" si="184"/>
        <v/>
      </c>
      <c r="J494" s="85" t="str">
        <f t="shared" si="185"/>
        <v/>
      </c>
      <c r="K494" s="85" t="str">
        <f t="shared" si="181"/>
        <v/>
      </c>
      <c r="L494" s="85" t="str">
        <f t="shared" si="182"/>
        <v/>
      </c>
      <c r="M494" s="86" t="str">
        <f t="shared" si="186"/>
        <v/>
      </c>
      <c r="N494" s="173"/>
      <c r="O494" s="92"/>
      <c r="P494" s="87"/>
      <c r="Q494" s="71"/>
      <c r="R494" s="88">
        <f t="shared" si="187"/>
        <v>0</v>
      </c>
      <c r="S494" s="71"/>
      <c r="T494" s="89" t="str">
        <f t="shared" si="188"/>
        <v/>
      </c>
      <c r="U494" s="71"/>
      <c r="V494" s="175"/>
      <c r="W494" s="29"/>
    </row>
    <row r="495" spans="1:23" ht="15.75" customHeight="1" thickBot="1" x14ac:dyDescent="0.3">
      <c r="A495" s="179"/>
      <c r="B495" s="168"/>
      <c r="C495" s="90"/>
      <c r="D495" s="139"/>
      <c r="E495" s="16"/>
      <c r="F495" s="16" t="str">
        <f t="shared" si="183"/>
        <v/>
      </c>
      <c r="G495" s="16"/>
      <c r="H495" s="16"/>
      <c r="I495" s="16" t="str">
        <f t="shared" si="184"/>
        <v/>
      </c>
      <c r="J495" s="16" t="str">
        <f t="shared" si="185"/>
        <v/>
      </c>
      <c r="K495" s="16" t="str">
        <f t="shared" si="181"/>
        <v/>
      </c>
      <c r="L495" s="16" t="str">
        <f t="shared" si="182"/>
        <v/>
      </c>
      <c r="M495" s="91" t="str">
        <f t="shared" si="186"/>
        <v/>
      </c>
      <c r="N495" s="173"/>
      <c r="O495" s="29"/>
      <c r="P495" s="87"/>
      <c r="Q495" s="71"/>
      <c r="R495" s="88">
        <f t="shared" si="187"/>
        <v>0</v>
      </c>
      <c r="S495" s="71"/>
      <c r="T495" s="89" t="str">
        <f t="shared" si="188"/>
        <v/>
      </c>
      <c r="U495" s="71"/>
      <c r="V495" s="93" t="s">
        <v>31</v>
      </c>
      <c r="W495" s="29"/>
    </row>
    <row r="496" spans="1:23" ht="16.5" customHeight="1" x14ac:dyDescent="0.25">
      <c r="A496" s="179"/>
      <c r="B496" s="168"/>
      <c r="C496" s="84"/>
      <c r="D496" s="85"/>
      <c r="E496" s="85"/>
      <c r="F496" s="85" t="str">
        <f t="shared" si="183"/>
        <v/>
      </c>
      <c r="G496" s="85"/>
      <c r="H496" s="85"/>
      <c r="I496" s="85" t="str">
        <f t="shared" si="184"/>
        <v/>
      </c>
      <c r="J496" s="85" t="str">
        <f t="shared" si="185"/>
        <v/>
      </c>
      <c r="K496" s="85" t="str">
        <f t="shared" si="181"/>
        <v/>
      </c>
      <c r="L496" s="85" t="str">
        <f t="shared" si="182"/>
        <v/>
      </c>
      <c r="M496" s="106" t="str">
        <f t="shared" si="186"/>
        <v/>
      </c>
      <c r="N496" s="173"/>
      <c r="O496" s="29"/>
      <c r="P496" s="87"/>
      <c r="Q496" s="71"/>
      <c r="R496" s="88">
        <f t="shared" si="187"/>
        <v>0</v>
      </c>
      <c r="S496" s="71"/>
      <c r="T496" s="89" t="str">
        <f t="shared" si="188"/>
        <v/>
      </c>
      <c r="U496" s="71"/>
      <c r="V496" s="176">
        <f>IF(AND(NOT(N489=0)),V489/N489,0)</f>
        <v>0</v>
      </c>
      <c r="W496" s="29"/>
    </row>
    <row r="497" spans="1:23" ht="18" x14ac:dyDescent="0.25">
      <c r="A497" s="179"/>
      <c r="B497" s="168"/>
      <c r="C497" s="90"/>
      <c r="D497" s="16"/>
      <c r="E497" s="16"/>
      <c r="F497" s="16" t="str">
        <f t="shared" si="183"/>
        <v/>
      </c>
      <c r="G497" s="16"/>
      <c r="H497" s="16"/>
      <c r="I497" s="16" t="str">
        <f t="shared" si="184"/>
        <v/>
      </c>
      <c r="J497" s="16" t="str">
        <f t="shared" si="185"/>
        <v/>
      </c>
      <c r="K497" s="16" t="str">
        <f t="shared" si="181"/>
        <v/>
      </c>
      <c r="L497" s="16" t="str">
        <f t="shared" si="182"/>
        <v/>
      </c>
      <c r="M497" s="105" t="str">
        <f t="shared" si="186"/>
        <v/>
      </c>
      <c r="N497" s="173"/>
      <c r="O497" s="29"/>
      <c r="P497" s="87"/>
      <c r="Q497" s="71"/>
      <c r="R497" s="88">
        <f t="shared" si="187"/>
        <v>0</v>
      </c>
      <c r="S497" s="71"/>
      <c r="T497" s="89" t="str">
        <f t="shared" si="188"/>
        <v/>
      </c>
      <c r="U497" s="71"/>
      <c r="V497" s="177"/>
      <c r="W497" s="29"/>
    </row>
    <row r="498" spans="1:23" ht="18.75" thickBot="1" x14ac:dyDescent="0.3">
      <c r="A498" s="180"/>
      <c r="B498" s="169"/>
      <c r="C498" s="94"/>
      <c r="D498" s="95"/>
      <c r="E498" s="95"/>
      <c r="F498" s="95" t="str">
        <f t="shared" si="183"/>
        <v/>
      </c>
      <c r="G498" s="95"/>
      <c r="H498" s="95"/>
      <c r="I498" s="95" t="str">
        <f t="shared" si="184"/>
        <v/>
      </c>
      <c r="J498" s="95" t="str">
        <f t="shared" si="185"/>
        <v/>
      </c>
      <c r="K498" s="95" t="str">
        <f t="shared" si="181"/>
        <v/>
      </c>
      <c r="L498" s="95" t="str">
        <f t="shared" si="182"/>
        <v/>
      </c>
      <c r="M498" s="96" t="str">
        <f t="shared" si="186"/>
        <v/>
      </c>
      <c r="N498" s="174"/>
      <c r="O498" s="29"/>
      <c r="P498" s="97"/>
      <c r="Q498" s="29"/>
      <c r="R498" s="98">
        <f t="shared" si="187"/>
        <v>0</v>
      </c>
      <c r="S498" s="29"/>
      <c r="T498" s="99" t="str">
        <f t="shared" si="188"/>
        <v/>
      </c>
      <c r="U498" s="29"/>
      <c r="V498" s="178"/>
      <c r="W498" s="29"/>
    </row>
    <row r="499" spans="1:23" x14ac:dyDescent="0.25">
      <c r="A499" s="29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31"/>
      <c r="S499" s="29"/>
      <c r="T499" s="29"/>
      <c r="U499" s="29"/>
      <c r="V499" s="32"/>
      <c r="W499" s="29"/>
    </row>
    <row r="500" spans="1:23" ht="15.75" customHeight="1" x14ac:dyDescent="0.25">
      <c r="A500" s="29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S500" s="29"/>
      <c r="T500" s="29"/>
      <c r="U500" s="29"/>
      <c r="V500" s="32"/>
      <c r="W500" s="29"/>
    </row>
    <row r="501" spans="1:23" ht="15.75" customHeight="1" thickBot="1" x14ac:dyDescent="0.3">
      <c r="A501" s="29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31"/>
      <c r="S501" s="29"/>
      <c r="T501" s="29"/>
      <c r="U501" s="29"/>
      <c r="V501" s="32"/>
      <c r="W501" s="29"/>
    </row>
    <row r="502" spans="1:23" ht="22.5" customHeight="1" thickBot="1" x14ac:dyDescent="0.3">
      <c r="A502" s="114" t="s">
        <v>6</v>
      </c>
      <c r="B502" s="167" t="s">
        <v>22</v>
      </c>
      <c r="C502" s="72" t="s">
        <v>49</v>
      </c>
      <c r="D502" s="72" t="s">
        <v>9</v>
      </c>
      <c r="E502" s="72" t="s">
        <v>10</v>
      </c>
      <c r="F502" s="72" t="s">
        <v>11</v>
      </c>
      <c r="G502" s="72" t="s">
        <v>12</v>
      </c>
      <c r="H502" s="72" t="s">
        <v>13</v>
      </c>
      <c r="I502" s="72" t="s">
        <v>14</v>
      </c>
      <c r="J502" s="72" t="s">
        <v>15</v>
      </c>
      <c r="K502" s="72" t="s">
        <v>34</v>
      </c>
      <c r="L502" s="72" t="s">
        <v>16</v>
      </c>
      <c r="M502" s="72" t="s">
        <v>48</v>
      </c>
      <c r="N502" s="73" t="s">
        <v>17</v>
      </c>
      <c r="O502" s="74"/>
      <c r="P502" s="75" t="s">
        <v>18</v>
      </c>
      <c r="Q502" s="71"/>
      <c r="R502" s="76" t="s">
        <v>35</v>
      </c>
      <c r="S502" s="71"/>
      <c r="T502" s="75" t="s">
        <v>36</v>
      </c>
      <c r="U502" s="71"/>
      <c r="V502" s="77" t="s">
        <v>29</v>
      </c>
      <c r="W502" s="29"/>
    </row>
    <row r="503" spans="1:23" ht="15.75" customHeight="1" x14ac:dyDescent="0.25">
      <c r="A503" s="115"/>
      <c r="B503" s="168"/>
      <c r="C503" s="78"/>
      <c r="D503" s="135" t="s">
        <v>92</v>
      </c>
      <c r="E503" s="135" t="s">
        <v>67</v>
      </c>
      <c r="F503" s="79" t="str">
        <f>IF(AND(C503=""),"",1-C503)</f>
        <v/>
      </c>
      <c r="G503" s="79">
        <v>1.36</v>
      </c>
      <c r="H503" s="79">
        <v>3</v>
      </c>
      <c r="I503" s="79" t="str">
        <f>IF(AND(C503=""),"",G503*C503)</f>
        <v/>
      </c>
      <c r="J503" s="79" t="str">
        <f>IF(AND(C503=""),"",H503*F503)</f>
        <v/>
      </c>
      <c r="K503" s="79" t="str">
        <f t="shared" ref="K503:K512" si="189">IF(AND(I503=""),"",IF(AND(I503&gt;J503),"T1","T2"))</f>
        <v/>
      </c>
      <c r="L503" s="79" t="str">
        <f t="shared" ref="L503:L512" si="190">IF(AND(J503=""),"",IF(AND(J503&gt;K503),"T1","T2"))</f>
        <v/>
      </c>
      <c r="M503" s="80" t="str">
        <f>IF(L503="","",IF(L503&lt;0.5,K$5*M$2,IF(L503&lt;0.75,K$5*M$3,IF(L503&lt;1,K$5*M$4,IF(L503&lt;1.25,K$5*M$5,IF(L503&lt;1.5,K$5*M$6,IF(L503&lt;2,K$5*M$7,IF(L503&lt;2.5,K$5*M$8,K$5*M$9))))))))</f>
        <v/>
      </c>
      <c r="N503" s="172">
        <f>SUMIF(L503:L512,"&gt;0")</f>
        <v>0</v>
      </c>
      <c r="O503" s="74"/>
      <c r="P503" s="81" t="s">
        <v>96</v>
      </c>
      <c r="Q503" s="74"/>
      <c r="R503" s="82" t="e">
        <f>IF(OR(P503="",L503="NO BET"),0,IF(AND(K503=P503),IF(AND(K503="T2"),ROUNDUP(H503*0.95,2)-M503,ROUNDUP(G503*0.95,2)-M503),-M503))</f>
        <v>#VALUE!</v>
      </c>
      <c r="S503" s="71"/>
      <c r="T503" s="83" t="str">
        <f>IF(AND(P503=""),"",IF(AND(C503&gt;F503),IF(AND(P503="T1"),"a","r"),IF(AND(P503="T2"),"a","r")))</f>
        <v>a</v>
      </c>
      <c r="U503" s="71"/>
      <c r="V503" s="175" t="e">
        <f>SUM(R503:R512)</f>
        <v>#VALUE!</v>
      </c>
      <c r="W503" s="29"/>
    </row>
    <row r="504" spans="1:23" ht="15.75" customHeight="1" x14ac:dyDescent="0.25">
      <c r="A504" s="179" t="s">
        <v>7</v>
      </c>
      <c r="B504" s="168"/>
      <c r="C504" s="84"/>
      <c r="D504" s="137" t="s">
        <v>66</v>
      </c>
      <c r="E504" s="137" t="s">
        <v>91</v>
      </c>
      <c r="F504" s="85" t="str">
        <f t="shared" ref="F504:F512" si="191">IF(AND(C504=""),"",1-C504)</f>
        <v/>
      </c>
      <c r="G504" s="85">
        <v>1.9</v>
      </c>
      <c r="H504" s="85">
        <v>1.8</v>
      </c>
      <c r="I504" s="85" t="str">
        <f t="shared" ref="I504:I512" si="192">IF(AND(C504=""),"",G504*C504)</f>
        <v/>
      </c>
      <c r="J504" s="85" t="str">
        <f t="shared" ref="J504:J512" si="193">IF(AND(C504=""),"",H504*F504)</f>
        <v/>
      </c>
      <c r="K504" s="85" t="str">
        <f t="shared" si="189"/>
        <v/>
      </c>
      <c r="L504" s="85" t="str">
        <f t="shared" si="190"/>
        <v/>
      </c>
      <c r="M504" s="86" t="str">
        <f t="shared" ref="M504:M512" si="194">IF(L504="","",IF(L504&lt;0.5,K$5*M$2,IF(L504&lt;0.75,K$5*M$3,IF(L504&lt;1,K$5*M$4,IF(L504&lt;1.25,K$5*M$5,IF(L504&lt;1.5,K$5*M$6,IF(L504&lt;2,K$5*M$7,IF(L504&lt;2.5,K$5*M$8,K$5*M$9))))))))</f>
        <v/>
      </c>
      <c r="N504" s="173"/>
      <c r="O504" s="29"/>
      <c r="P504" s="87" t="s">
        <v>95</v>
      </c>
      <c r="Q504" s="71"/>
      <c r="R504" s="88" t="e">
        <f t="shared" ref="R504:R512" si="195">IF(OR(P504="",L504="NO BET"),0,IF(AND(K504=P504),IF(AND(K504="T2"),ROUNDUP(H504*M504*0.95,2)-1,ROUNDUP(G504*M504*0.95,2)-M504),-M504))</f>
        <v>#VALUE!</v>
      </c>
      <c r="S504" s="71"/>
      <c r="T504" s="89" t="str">
        <f t="shared" ref="T504:T512" si="196">IF(AND(P504=""),"",IF(AND(C504&gt;F504),IF(AND(P504="T1"),"a","r"),IF(AND(P504="T2"),"a","r")))</f>
        <v>r</v>
      </c>
      <c r="U504" s="71"/>
      <c r="V504" s="175"/>
      <c r="W504" s="29"/>
    </row>
    <row r="505" spans="1:23" ht="15.75" customHeight="1" x14ac:dyDescent="0.25">
      <c r="A505" s="179"/>
      <c r="B505" s="168"/>
      <c r="C505" s="90"/>
      <c r="D505" s="139" t="s">
        <v>84</v>
      </c>
      <c r="E505" s="139" t="s">
        <v>69</v>
      </c>
      <c r="F505" s="16" t="str">
        <f>IF(AND(C505=""),"",1-C505)</f>
        <v/>
      </c>
      <c r="G505" s="16">
        <v>2.62</v>
      </c>
      <c r="H505" s="16">
        <v>1.44</v>
      </c>
      <c r="I505" s="16" t="str">
        <f>IF(AND(C505=""),"",G505*C505)</f>
        <v/>
      </c>
      <c r="J505" s="16" t="str">
        <f>IF(AND(C505=""),"",H505*F505)</f>
        <v/>
      </c>
      <c r="K505" s="16" t="str">
        <f t="shared" si="189"/>
        <v/>
      </c>
      <c r="L505" s="16" t="str">
        <f t="shared" si="190"/>
        <v/>
      </c>
      <c r="M505" s="91" t="str">
        <f t="shared" si="194"/>
        <v/>
      </c>
      <c r="N505" s="173"/>
      <c r="O505" s="74"/>
      <c r="P505" s="87" t="s">
        <v>95</v>
      </c>
      <c r="Q505" s="71"/>
      <c r="R505" s="88" t="e">
        <f t="shared" si="195"/>
        <v>#VALUE!</v>
      </c>
      <c r="S505" s="71"/>
      <c r="T505" s="89" t="str">
        <f>IF(AND(P505=""),"",IF(AND(C505&gt;F505),IF(AND(P505="T1"),"a","r"),IF(AND(P505="T2"),"a","r")))</f>
        <v>r</v>
      </c>
      <c r="U505" s="71"/>
      <c r="V505" s="175"/>
      <c r="W505" s="29"/>
    </row>
    <row r="506" spans="1:23" ht="15.75" customHeight="1" x14ac:dyDescent="0.25">
      <c r="A506" s="179"/>
      <c r="B506" s="168"/>
      <c r="C506" s="84"/>
      <c r="D506" s="85">
        <v>100</v>
      </c>
      <c r="E506" s="137" t="s">
        <v>70</v>
      </c>
      <c r="F506" s="85" t="str">
        <f t="shared" si="191"/>
        <v/>
      </c>
      <c r="G506" s="85">
        <v>1.4</v>
      </c>
      <c r="H506" s="85">
        <v>2.75</v>
      </c>
      <c r="I506" s="85" t="str">
        <f t="shared" si="192"/>
        <v/>
      </c>
      <c r="J506" s="85" t="str">
        <f t="shared" si="193"/>
        <v/>
      </c>
      <c r="K506" s="85" t="str">
        <f t="shared" si="189"/>
        <v/>
      </c>
      <c r="L506" s="85" t="str">
        <f t="shared" si="190"/>
        <v/>
      </c>
      <c r="M506" s="86" t="str">
        <f t="shared" si="194"/>
        <v/>
      </c>
      <c r="N506" s="173"/>
      <c r="O506" s="92"/>
      <c r="P506" s="87" t="s">
        <v>96</v>
      </c>
      <c r="Q506" s="71"/>
      <c r="R506" s="88" t="e">
        <f t="shared" si="195"/>
        <v>#VALUE!</v>
      </c>
      <c r="S506" s="71"/>
      <c r="T506" s="89" t="str">
        <f t="shared" si="196"/>
        <v>a</v>
      </c>
      <c r="U506" s="71"/>
      <c r="V506" s="175"/>
      <c r="W506" s="29"/>
    </row>
    <row r="507" spans="1:23" ht="15.75" customHeight="1" x14ac:dyDescent="0.25">
      <c r="A507" s="179"/>
      <c r="B507" s="168"/>
      <c r="C507" s="90"/>
      <c r="D507" s="139" t="s">
        <v>72</v>
      </c>
      <c r="E507" s="139" t="s">
        <v>74</v>
      </c>
      <c r="F507" s="16" t="str">
        <f t="shared" si="191"/>
        <v/>
      </c>
      <c r="G507" s="16">
        <v>1.22</v>
      </c>
      <c r="H507" s="16">
        <v>4</v>
      </c>
      <c r="I507" s="16" t="str">
        <f t="shared" si="192"/>
        <v/>
      </c>
      <c r="J507" s="16" t="str">
        <f t="shared" si="193"/>
        <v/>
      </c>
      <c r="K507" s="16" t="str">
        <f t="shared" si="189"/>
        <v/>
      </c>
      <c r="L507" s="16" t="str">
        <f t="shared" si="190"/>
        <v/>
      </c>
      <c r="M507" s="105" t="str">
        <f t="shared" si="194"/>
        <v/>
      </c>
      <c r="N507" s="173"/>
      <c r="O507" s="92"/>
      <c r="P507" s="87" t="s">
        <v>95</v>
      </c>
      <c r="Q507" s="71"/>
      <c r="R507" s="88" t="e">
        <f t="shared" si="195"/>
        <v>#VALUE!</v>
      </c>
      <c r="S507" s="71"/>
      <c r="T507" s="89" t="str">
        <f t="shared" si="196"/>
        <v>r</v>
      </c>
      <c r="U507" s="71"/>
      <c r="V507" s="175"/>
      <c r="W507" s="29"/>
    </row>
    <row r="508" spans="1:23" ht="15.75" customHeight="1" x14ac:dyDescent="0.25">
      <c r="A508" s="179"/>
      <c r="B508" s="168"/>
      <c r="C508" s="84"/>
      <c r="D508" s="137" t="s">
        <v>70</v>
      </c>
      <c r="E508" s="137" t="s">
        <v>66</v>
      </c>
      <c r="F508" s="85" t="str">
        <f t="shared" si="191"/>
        <v/>
      </c>
      <c r="G508" s="85">
        <v>3.25</v>
      </c>
      <c r="H508" s="85">
        <v>1.33</v>
      </c>
      <c r="I508" s="85" t="str">
        <f t="shared" si="192"/>
        <v/>
      </c>
      <c r="J508" s="85" t="str">
        <f t="shared" si="193"/>
        <v/>
      </c>
      <c r="K508" s="85" t="str">
        <f t="shared" si="189"/>
        <v/>
      </c>
      <c r="L508" s="85" t="str">
        <f t="shared" si="190"/>
        <v/>
      </c>
      <c r="M508" s="86" t="str">
        <f t="shared" si="194"/>
        <v/>
      </c>
      <c r="N508" s="173"/>
      <c r="O508" s="92"/>
      <c r="P508" s="87" t="s">
        <v>96</v>
      </c>
      <c r="Q508" s="71"/>
      <c r="R508" s="88" t="e">
        <f t="shared" si="195"/>
        <v>#VALUE!</v>
      </c>
      <c r="S508" s="71"/>
      <c r="T508" s="89" t="str">
        <f t="shared" si="196"/>
        <v>a</v>
      </c>
      <c r="U508" s="71"/>
      <c r="V508" s="175"/>
      <c r="W508" s="29"/>
    </row>
    <row r="509" spans="1:23" ht="15.75" customHeight="1" thickBot="1" x14ac:dyDescent="0.3">
      <c r="A509" s="179"/>
      <c r="B509" s="168"/>
      <c r="C509" s="90"/>
      <c r="D509" s="139" t="s">
        <v>74</v>
      </c>
      <c r="E509" s="16">
        <v>100</v>
      </c>
      <c r="F509" s="16" t="str">
        <f>IF(AND(C509=""),"",1-C509)</f>
        <v/>
      </c>
      <c r="G509" s="16">
        <v>3.5</v>
      </c>
      <c r="H509" s="16">
        <v>1.28</v>
      </c>
      <c r="I509" s="16" t="str">
        <f>IF(AND(C509=""),"",G509*C509)</f>
        <v/>
      </c>
      <c r="J509" s="16" t="str">
        <f>IF(AND(C509=""),"",H509*F509)</f>
        <v/>
      </c>
      <c r="K509" s="16" t="str">
        <f t="shared" si="189"/>
        <v/>
      </c>
      <c r="L509" s="16" t="str">
        <f t="shared" si="190"/>
        <v/>
      </c>
      <c r="M509" s="91" t="str">
        <f t="shared" si="194"/>
        <v/>
      </c>
      <c r="N509" s="173"/>
      <c r="O509" s="29"/>
      <c r="P509" s="87" t="s">
        <v>95</v>
      </c>
      <c r="Q509" s="71"/>
      <c r="R509" s="88" t="e">
        <f t="shared" si="195"/>
        <v>#VALUE!</v>
      </c>
      <c r="S509" s="71"/>
      <c r="T509" s="89" t="str">
        <f>IF(AND(P509=""),"",IF(AND(C509&gt;F509),IF(AND(P509="T1"),"a","r"),IF(AND(P509="T2"),"a","r")))</f>
        <v>r</v>
      </c>
      <c r="U509" s="71"/>
      <c r="V509" s="93" t="s">
        <v>31</v>
      </c>
      <c r="W509" s="29"/>
    </row>
    <row r="510" spans="1:23" ht="16.5" customHeight="1" x14ac:dyDescent="0.25">
      <c r="A510" s="179"/>
      <c r="B510" s="168"/>
      <c r="C510" s="84"/>
      <c r="D510" s="137" t="s">
        <v>92</v>
      </c>
      <c r="E510" s="137" t="s">
        <v>69</v>
      </c>
      <c r="F510" s="85" t="str">
        <f t="shared" si="191"/>
        <v/>
      </c>
      <c r="G510" s="85">
        <v>1.57</v>
      </c>
      <c r="H510" s="85">
        <v>2.25</v>
      </c>
      <c r="I510" s="85" t="str">
        <f t="shared" si="192"/>
        <v/>
      </c>
      <c r="J510" s="85" t="str">
        <f t="shared" si="193"/>
        <v/>
      </c>
      <c r="K510" s="85" t="str">
        <f t="shared" si="189"/>
        <v/>
      </c>
      <c r="L510" s="85" t="str">
        <f t="shared" si="190"/>
        <v/>
      </c>
      <c r="M510" s="106" t="str">
        <f t="shared" si="194"/>
        <v/>
      </c>
      <c r="N510" s="173"/>
      <c r="O510" s="29"/>
      <c r="P510" s="87" t="s">
        <v>95</v>
      </c>
      <c r="Q510" s="71"/>
      <c r="R510" s="88" t="e">
        <f t="shared" si="195"/>
        <v>#VALUE!</v>
      </c>
      <c r="S510" s="71"/>
      <c r="T510" s="89" t="str">
        <f t="shared" si="196"/>
        <v>r</v>
      </c>
      <c r="U510" s="71"/>
      <c r="V510" s="176">
        <f>IF(AND(NOT(N503=0)),V503/N503,0)</f>
        <v>0</v>
      </c>
      <c r="W510" s="29"/>
    </row>
    <row r="511" spans="1:23" ht="15.75" customHeight="1" x14ac:dyDescent="0.25">
      <c r="A511" s="179"/>
      <c r="B511" s="168"/>
      <c r="C511" s="90"/>
      <c r="D511" s="139" t="s">
        <v>91</v>
      </c>
      <c r="E511" s="139" t="s">
        <v>72</v>
      </c>
      <c r="F511" s="16" t="str">
        <f t="shared" si="191"/>
        <v/>
      </c>
      <c r="G511" s="16">
        <v>1.8</v>
      </c>
      <c r="H511" s="16">
        <v>1.9</v>
      </c>
      <c r="I511" s="16" t="str">
        <f t="shared" si="192"/>
        <v/>
      </c>
      <c r="J511" s="16" t="str">
        <f t="shared" si="193"/>
        <v/>
      </c>
      <c r="K511" s="16" t="str">
        <f t="shared" si="189"/>
        <v/>
      </c>
      <c r="L511" s="16" t="str">
        <f t="shared" si="190"/>
        <v/>
      </c>
      <c r="M511" s="105" t="str">
        <f t="shared" si="194"/>
        <v/>
      </c>
      <c r="N511" s="173"/>
      <c r="O511" s="29"/>
      <c r="P511" s="87" t="s">
        <v>96</v>
      </c>
      <c r="Q511" s="71"/>
      <c r="R511" s="88" t="e">
        <f t="shared" si="195"/>
        <v>#VALUE!</v>
      </c>
      <c r="S511" s="71"/>
      <c r="T511" s="89" t="str">
        <f t="shared" si="196"/>
        <v>a</v>
      </c>
      <c r="U511" s="71"/>
      <c r="V511" s="177"/>
      <c r="W511" s="29"/>
    </row>
    <row r="512" spans="1:23" ht="15.75" customHeight="1" thickBot="1" x14ac:dyDescent="0.3">
      <c r="A512" s="180"/>
      <c r="B512" s="169"/>
      <c r="C512" s="94"/>
      <c r="D512" s="149" t="s">
        <v>84</v>
      </c>
      <c r="E512" s="149" t="s">
        <v>67</v>
      </c>
      <c r="F512" s="95" t="str">
        <f t="shared" si="191"/>
        <v/>
      </c>
      <c r="G512" s="95">
        <v>2.5</v>
      </c>
      <c r="H512" s="95">
        <v>1.5</v>
      </c>
      <c r="I512" s="95" t="str">
        <f t="shared" si="192"/>
        <v/>
      </c>
      <c r="J512" s="95" t="str">
        <f t="shared" si="193"/>
        <v/>
      </c>
      <c r="K512" s="95" t="str">
        <f t="shared" si="189"/>
        <v/>
      </c>
      <c r="L512" s="95" t="str">
        <f t="shared" si="190"/>
        <v/>
      </c>
      <c r="M512" s="96" t="str">
        <f t="shared" si="194"/>
        <v/>
      </c>
      <c r="N512" s="174"/>
      <c r="O512" s="29"/>
      <c r="P512" s="97" t="s">
        <v>96</v>
      </c>
      <c r="Q512" s="29"/>
      <c r="R512" s="98" t="e">
        <f t="shared" si="195"/>
        <v>#VALUE!</v>
      </c>
      <c r="S512" s="29"/>
      <c r="T512" s="99" t="str">
        <f t="shared" si="196"/>
        <v>a</v>
      </c>
      <c r="U512" s="29"/>
      <c r="V512" s="178"/>
      <c r="W512" s="29"/>
    </row>
    <row r="513" spans="1:23" ht="15.75" customHeight="1" x14ac:dyDescent="0.25">
      <c r="A513" s="29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31"/>
      <c r="S513" s="29"/>
      <c r="T513" s="29"/>
      <c r="U513" s="29"/>
      <c r="V513" s="32"/>
      <c r="W513" s="29"/>
    </row>
    <row r="514" spans="1:23" ht="15.75" customHeight="1" x14ac:dyDescent="0.25">
      <c r="A514" s="29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31"/>
      <c r="S514" s="29"/>
      <c r="T514" s="29"/>
      <c r="U514" s="29"/>
      <c r="V514" s="32"/>
      <c r="W514" s="29"/>
    </row>
    <row r="515" spans="1:23" ht="16.5" thickBot="1" x14ac:dyDescent="0.3">
      <c r="A515" s="29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31"/>
      <c r="S515" s="29"/>
      <c r="T515" s="29"/>
      <c r="U515" s="29"/>
      <c r="V515" s="32"/>
      <c r="W515" s="29"/>
    </row>
    <row r="516" spans="1:23" ht="22.5" customHeight="1" thickBot="1" x14ac:dyDescent="0.3">
      <c r="A516" s="114" t="s">
        <v>6</v>
      </c>
      <c r="B516" s="167" t="s">
        <v>23</v>
      </c>
      <c r="C516" s="72" t="s">
        <v>49</v>
      </c>
      <c r="D516" s="72" t="s">
        <v>9</v>
      </c>
      <c r="E516" s="72" t="s">
        <v>10</v>
      </c>
      <c r="F516" s="72" t="s">
        <v>11</v>
      </c>
      <c r="G516" s="72" t="s">
        <v>12</v>
      </c>
      <c r="H516" s="72" t="s">
        <v>13</v>
      </c>
      <c r="I516" s="72" t="s">
        <v>14</v>
      </c>
      <c r="J516" s="72" t="s">
        <v>15</v>
      </c>
      <c r="K516" s="72" t="s">
        <v>34</v>
      </c>
      <c r="L516" s="72" t="s">
        <v>16</v>
      </c>
      <c r="M516" s="72" t="s">
        <v>48</v>
      </c>
      <c r="N516" s="73" t="s">
        <v>17</v>
      </c>
      <c r="O516" s="74"/>
      <c r="P516" s="75" t="s">
        <v>18</v>
      </c>
      <c r="Q516" s="71"/>
      <c r="R516" s="76" t="s">
        <v>35</v>
      </c>
      <c r="S516" s="71"/>
      <c r="T516" s="75" t="s">
        <v>36</v>
      </c>
      <c r="U516" s="71"/>
      <c r="V516" s="77" t="s">
        <v>29</v>
      </c>
      <c r="W516" s="29"/>
    </row>
    <row r="517" spans="1:23" ht="15.75" customHeight="1" x14ac:dyDescent="0.25">
      <c r="A517" s="115"/>
      <c r="B517" s="168"/>
      <c r="C517" s="78"/>
      <c r="D517" s="135" t="s">
        <v>84</v>
      </c>
      <c r="E517" s="135" t="s">
        <v>74</v>
      </c>
      <c r="F517" s="79" t="str">
        <f>IF(AND(C517=""),"",1-C517)</f>
        <v/>
      </c>
      <c r="G517" s="79">
        <v>1.66</v>
      </c>
      <c r="H517" s="79">
        <v>2.1</v>
      </c>
      <c r="I517" s="79" t="str">
        <f>IF(AND(C517=""),"",G517*C517)</f>
        <v/>
      </c>
      <c r="J517" s="79" t="str">
        <f>IF(AND(C517=""),"",H517*F517)</f>
        <v/>
      </c>
      <c r="K517" s="79" t="str">
        <f t="shared" ref="K517:K526" si="197">IF(AND(I517=""),"",IF(AND(I517&gt;J517),"T1","T2"))</f>
        <v/>
      </c>
      <c r="L517" s="79" t="str">
        <f t="shared" ref="L517:L526" si="198">IF(AND(J517=""),"",IF(AND(J517&gt;K517),"T1","T2"))</f>
        <v/>
      </c>
      <c r="M517" s="80" t="str">
        <f>IF(L517="","",IF(L517&lt;0.5,K$5*M$2,IF(L517&lt;0.75,K$5*M$3,IF(L517&lt;1,K$5*M$4,IF(L517&lt;1.25,K$5*M$5,IF(L517&lt;1.5,K$5*M$6,IF(L517&lt;2,K$5*M$7,IF(L517&lt;2.5,K$5*M$8,K$5*M$9))))))))</f>
        <v/>
      </c>
      <c r="N517" s="172">
        <f>SUMIF(L517:L526,"&gt;0")</f>
        <v>0</v>
      </c>
      <c r="O517" s="74"/>
      <c r="P517" s="81" t="s">
        <v>95</v>
      </c>
      <c r="Q517" s="74"/>
      <c r="R517" s="82" t="e">
        <f>IF(OR(P517="",L517="NO BET"),0,IF(AND(K517=P517),IF(AND(K517="T2"),ROUNDUP(H517*0.95,2)-M517,ROUNDUP(G517*0.95,2)-M517),-M517))</f>
        <v>#VALUE!</v>
      </c>
      <c r="S517" s="71"/>
      <c r="T517" s="83" t="str">
        <f>IF(AND(P517=""),"",IF(AND(C517&gt;F517),IF(AND(P517="T1"),"a","r"),IF(AND(P517="T2"),"a","r")))</f>
        <v>r</v>
      </c>
      <c r="U517" s="71"/>
      <c r="V517" s="175" t="e">
        <f>SUM(R517:R526)</f>
        <v>#VALUE!</v>
      </c>
      <c r="W517" s="29"/>
    </row>
    <row r="518" spans="1:23" ht="15.75" customHeight="1" x14ac:dyDescent="0.25">
      <c r="A518" s="179" t="s">
        <v>7</v>
      </c>
      <c r="B518" s="168"/>
      <c r="C518" s="84"/>
      <c r="D518" s="137" t="s">
        <v>66</v>
      </c>
      <c r="E518" s="137" t="s">
        <v>92</v>
      </c>
      <c r="F518" s="85" t="str">
        <f t="shared" ref="F518:F526" si="199">IF(AND(C518=""),"",1-C518)</f>
        <v/>
      </c>
      <c r="G518" s="85">
        <v>1.66</v>
      </c>
      <c r="H518" s="85">
        <v>2.1</v>
      </c>
      <c r="I518" s="85" t="str">
        <f t="shared" ref="I518:I526" si="200">IF(AND(C518=""),"",G518*C518)</f>
        <v/>
      </c>
      <c r="J518" s="85" t="str">
        <f t="shared" ref="J518:J526" si="201">IF(AND(C518=""),"",H518*F518)</f>
        <v/>
      </c>
      <c r="K518" s="85" t="str">
        <f t="shared" si="197"/>
        <v/>
      </c>
      <c r="L518" s="85" t="str">
        <f t="shared" si="198"/>
        <v/>
      </c>
      <c r="M518" s="86" t="str">
        <f t="shared" ref="M518:M526" si="202">IF(L518="","",IF(L518&lt;0.5,K$5*M$2,IF(L518&lt;0.75,K$5*M$3,IF(L518&lt;1,K$5*M$4,IF(L518&lt;1.25,K$5*M$5,IF(L518&lt;1.5,K$5*M$6,IF(L518&lt;2,K$5*M$7,IF(L518&lt;2.5,K$5*M$8,K$5*M$9))))))))</f>
        <v/>
      </c>
      <c r="N518" s="173"/>
      <c r="O518" s="29"/>
      <c r="P518" s="87" t="s">
        <v>95</v>
      </c>
      <c r="Q518" s="71"/>
      <c r="R518" s="88" t="e">
        <f t="shared" ref="R518:R526" si="203">IF(OR(P518="",L518="NO BET"),0,IF(AND(K518=P518),IF(AND(K518="T2"),ROUNDUP(H518*M518*0.95,2)-1,ROUNDUP(G518*M518*0.95,2)-M518),-M518))</f>
        <v>#VALUE!</v>
      </c>
      <c r="S518" s="71"/>
      <c r="T518" s="89" t="str">
        <f t="shared" ref="T518:T526" si="204">IF(AND(P518=""),"",IF(AND(C518&gt;F518),IF(AND(P518="T1"),"a","r"),IF(AND(P518="T2"),"a","r")))</f>
        <v>r</v>
      </c>
      <c r="U518" s="71"/>
      <c r="V518" s="175"/>
      <c r="W518" s="29"/>
    </row>
    <row r="519" spans="1:23" ht="15.75" customHeight="1" x14ac:dyDescent="0.25">
      <c r="A519" s="179"/>
      <c r="B519" s="168"/>
      <c r="C519" s="90"/>
      <c r="D519" s="139" t="s">
        <v>67</v>
      </c>
      <c r="E519" s="139" t="s">
        <v>70</v>
      </c>
      <c r="F519" s="16" t="str">
        <f t="shared" si="199"/>
        <v/>
      </c>
      <c r="G519" s="16">
        <v>1.83</v>
      </c>
      <c r="H519" s="16">
        <v>1.83</v>
      </c>
      <c r="I519" s="16" t="str">
        <f t="shared" si="200"/>
        <v/>
      </c>
      <c r="J519" s="16" t="str">
        <f t="shared" si="201"/>
        <v/>
      </c>
      <c r="K519" s="16" t="str">
        <f t="shared" si="197"/>
        <v/>
      </c>
      <c r="L519" s="16" t="str">
        <f t="shared" si="198"/>
        <v/>
      </c>
      <c r="M519" s="91" t="str">
        <f t="shared" si="202"/>
        <v/>
      </c>
      <c r="N519" s="173"/>
      <c r="O519" s="74"/>
      <c r="P519" s="87" t="s">
        <v>95</v>
      </c>
      <c r="Q519" s="71"/>
      <c r="R519" s="88" t="e">
        <f t="shared" si="203"/>
        <v>#VALUE!</v>
      </c>
      <c r="S519" s="71"/>
      <c r="T519" s="89" t="str">
        <f t="shared" si="204"/>
        <v>r</v>
      </c>
      <c r="U519" s="71"/>
      <c r="V519" s="175"/>
      <c r="W519" s="29"/>
    </row>
    <row r="520" spans="1:23" ht="15.75" customHeight="1" x14ac:dyDescent="0.25">
      <c r="A520" s="179"/>
      <c r="B520" s="168"/>
      <c r="C520" s="84"/>
      <c r="D520" s="85">
        <v>100</v>
      </c>
      <c r="E520" s="137" t="s">
        <v>72</v>
      </c>
      <c r="F520" s="85" t="str">
        <f t="shared" si="199"/>
        <v/>
      </c>
      <c r="G520" s="85">
        <v>2.75</v>
      </c>
      <c r="H520" s="85">
        <v>1.4</v>
      </c>
      <c r="I520" s="85" t="str">
        <f t="shared" si="200"/>
        <v/>
      </c>
      <c r="J520" s="85" t="str">
        <f t="shared" si="201"/>
        <v/>
      </c>
      <c r="K520" s="85" t="str">
        <f t="shared" si="197"/>
        <v/>
      </c>
      <c r="L520" s="85" t="str">
        <f t="shared" si="198"/>
        <v/>
      </c>
      <c r="M520" s="86" t="str">
        <f t="shared" si="202"/>
        <v/>
      </c>
      <c r="N520" s="173"/>
      <c r="O520" s="92"/>
      <c r="P520" s="87" t="s">
        <v>96</v>
      </c>
      <c r="Q520" s="71"/>
      <c r="R520" s="88" t="e">
        <f t="shared" si="203"/>
        <v>#VALUE!</v>
      </c>
      <c r="S520" s="71"/>
      <c r="T520" s="89" t="str">
        <f t="shared" si="204"/>
        <v>a</v>
      </c>
      <c r="U520" s="71"/>
      <c r="V520" s="175"/>
      <c r="W520" s="29"/>
    </row>
    <row r="521" spans="1:23" ht="15.75" customHeight="1" x14ac:dyDescent="0.25">
      <c r="A521" s="179"/>
      <c r="B521" s="168"/>
      <c r="C521" s="90"/>
      <c r="D521" s="139" t="s">
        <v>91</v>
      </c>
      <c r="E521" s="139" t="s">
        <v>69</v>
      </c>
      <c r="F521" s="16" t="str">
        <f t="shared" si="199"/>
        <v/>
      </c>
      <c r="G521" s="16">
        <v>1.44</v>
      </c>
      <c r="H521" s="16">
        <v>2.62</v>
      </c>
      <c r="I521" s="16" t="str">
        <f t="shared" si="200"/>
        <v/>
      </c>
      <c r="J521" s="16" t="str">
        <f t="shared" si="201"/>
        <v/>
      </c>
      <c r="K521" s="16" t="str">
        <f t="shared" si="197"/>
        <v/>
      </c>
      <c r="L521" s="16" t="str">
        <f t="shared" si="198"/>
        <v/>
      </c>
      <c r="M521" s="105" t="str">
        <f t="shared" si="202"/>
        <v/>
      </c>
      <c r="N521" s="173"/>
      <c r="O521" s="92"/>
      <c r="P521" s="87" t="s">
        <v>95</v>
      </c>
      <c r="Q521" s="71"/>
      <c r="R521" s="88" t="e">
        <f t="shared" si="203"/>
        <v>#VALUE!</v>
      </c>
      <c r="S521" s="71"/>
      <c r="T521" s="89" t="str">
        <f t="shared" si="204"/>
        <v>r</v>
      </c>
      <c r="U521" s="71"/>
      <c r="V521" s="175"/>
      <c r="W521" s="29"/>
    </row>
    <row r="522" spans="1:23" ht="15.75" customHeight="1" x14ac:dyDescent="0.25">
      <c r="A522" s="179"/>
      <c r="B522" s="168"/>
      <c r="C522" s="84"/>
      <c r="D522" s="137" t="s">
        <v>68</v>
      </c>
      <c r="E522" s="137" t="s">
        <v>92</v>
      </c>
      <c r="F522" s="85" t="str">
        <f t="shared" si="199"/>
        <v/>
      </c>
      <c r="G522" s="85">
        <v>2.62</v>
      </c>
      <c r="H522" s="85">
        <v>1.44</v>
      </c>
      <c r="I522" s="85" t="str">
        <f t="shared" si="200"/>
        <v/>
      </c>
      <c r="J522" s="85" t="str">
        <f t="shared" si="201"/>
        <v/>
      </c>
      <c r="K522" s="85" t="str">
        <f t="shared" si="197"/>
        <v/>
      </c>
      <c r="L522" s="85" t="str">
        <f t="shared" si="198"/>
        <v/>
      </c>
      <c r="M522" s="86" t="str">
        <f t="shared" si="202"/>
        <v/>
      </c>
      <c r="N522" s="173"/>
      <c r="O522" s="92"/>
      <c r="P522" s="87" t="s">
        <v>95</v>
      </c>
      <c r="Q522" s="71"/>
      <c r="R522" s="88" t="e">
        <f t="shared" si="203"/>
        <v>#VALUE!</v>
      </c>
      <c r="S522" s="71"/>
      <c r="T522" s="89" t="str">
        <f t="shared" si="204"/>
        <v>r</v>
      </c>
      <c r="U522" s="71"/>
      <c r="V522" s="175"/>
      <c r="W522" s="29"/>
    </row>
    <row r="523" spans="1:23" ht="15.75" customHeight="1" thickBot="1" x14ac:dyDescent="0.3">
      <c r="A523" s="179"/>
      <c r="B523" s="168"/>
      <c r="C523" s="90"/>
      <c r="D523" s="16">
        <v>100</v>
      </c>
      <c r="E523" s="139" t="s">
        <v>69</v>
      </c>
      <c r="F523" s="16" t="str">
        <f t="shared" si="199"/>
        <v/>
      </c>
      <c r="G523" s="16">
        <v>1.9</v>
      </c>
      <c r="H523" s="16">
        <v>1.8</v>
      </c>
      <c r="I523" s="16" t="str">
        <f t="shared" si="200"/>
        <v/>
      </c>
      <c r="J523" s="16" t="str">
        <f t="shared" si="201"/>
        <v/>
      </c>
      <c r="K523" s="16" t="str">
        <f t="shared" si="197"/>
        <v/>
      </c>
      <c r="L523" s="16" t="str">
        <f t="shared" si="198"/>
        <v/>
      </c>
      <c r="M523" s="91" t="str">
        <f t="shared" si="202"/>
        <v/>
      </c>
      <c r="N523" s="173"/>
      <c r="O523" s="29"/>
      <c r="P523" s="87" t="s">
        <v>95</v>
      </c>
      <c r="Q523" s="71"/>
      <c r="R523" s="88" t="e">
        <f t="shared" si="203"/>
        <v>#VALUE!</v>
      </c>
      <c r="S523" s="71"/>
      <c r="T523" s="89" t="str">
        <f t="shared" si="204"/>
        <v>r</v>
      </c>
      <c r="U523" s="71"/>
      <c r="V523" s="93" t="s">
        <v>31</v>
      </c>
      <c r="W523" s="29"/>
    </row>
    <row r="524" spans="1:23" ht="16.5" customHeight="1" x14ac:dyDescent="0.25">
      <c r="A524" s="179"/>
      <c r="B524" s="168"/>
      <c r="C524" s="84"/>
      <c r="D524" s="137" t="s">
        <v>70</v>
      </c>
      <c r="E524" s="137" t="s">
        <v>84</v>
      </c>
      <c r="F524" s="85" t="str">
        <f t="shared" si="199"/>
        <v/>
      </c>
      <c r="G524" s="85">
        <v>1.57</v>
      </c>
      <c r="H524" s="85">
        <v>2.25</v>
      </c>
      <c r="I524" s="85" t="str">
        <f t="shared" si="200"/>
        <v/>
      </c>
      <c r="J524" s="85" t="str">
        <f t="shared" si="201"/>
        <v/>
      </c>
      <c r="K524" s="85" t="str">
        <f t="shared" si="197"/>
        <v/>
      </c>
      <c r="L524" s="85" t="str">
        <f t="shared" si="198"/>
        <v/>
      </c>
      <c r="M524" s="106" t="str">
        <f t="shared" si="202"/>
        <v/>
      </c>
      <c r="N524" s="173"/>
      <c r="O524" s="29"/>
      <c r="P524" s="87" t="s">
        <v>95</v>
      </c>
      <c r="Q524" s="71"/>
      <c r="R524" s="88" t="e">
        <f t="shared" si="203"/>
        <v>#VALUE!</v>
      </c>
      <c r="S524" s="71"/>
      <c r="T524" s="89" t="str">
        <f t="shared" si="204"/>
        <v>r</v>
      </c>
      <c r="U524" s="71"/>
      <c r="V524" s="176">
        <f>IF(AND(NOT(N517=0)),V517/N517,0)</f>
        <v>0</v>
      </c>
      <c r="W524" s="29"/>
    </row>
    <row r="525" spans="1:23" ht="15.75" customHeight="1" x14ac:dyDescent="0.25">
      <c r="A525" s="179"/>
      <c r="B525" s="168"/>
      <c r="C525" s="90"/>
      <c r="D525" s="139" t="s">
        <v>72</v>
      </c>
      <c r="E525" s="139" t="s">
        <v>66</v>
      </c>
      <c r="F525" s="16" t="str">
        <f t="shared" si="199"/>
        <v/>
      </c>
      <c r="G525" s="16">
        <v>2</v>
      </c>
      <c r="H525" s="16">
        <v>1.72</v>
      </c>
      <c r="I525" s="16" t="str">
        <f t="shared" si="200"/>
        <v/>
      </c>
      <c r="J525" s="16" t="str">
        <f t="shared" si="201"/>
        <v/>
      </c>
      <c r="K525" s="16" t="str">
        <f t="shared" si="197"/>
        <v/>
      </c>
      <c r="L525" s="16" t="str">
        <f t="shared" si="198"/>
        <v/>
      </c>
      <c r="M525" s="105" t="str">
        <f t="shared" si="202"/>
        <v/>
      </c>
      <c r="N525" s="173"/>
      <c r="O525" s="29"/>
      <c r="P525" s="87" t="s">
        <v>95</v>
      </c>
      <c r="Q525" s="71"/>
      <c r="R525" s="88" t="e">
        <f t="shared" si="203"/>
        <v>#VALUE!</v>
      </c>
      <c r="S525" s="71"/>
      <c r="T525" s="89" t="str">
        <f t="shared" si="204"/>
        <v>r</v>
      </c>
      <c r="U525" s="71"/>
      <c r="V525" s="177"/>
      <c r="W525" s="29"/>
    </row>
    <row r="526" spans="1:23" ht="15.75" customHeight="1" thickBot="1" x14ac:dyDescent="0.3">
      <c r="A526" s="180"/>
      <c r="B526" s="169"/>
      <c r="C526" s="94"/>
      <c r="D526" s="149" t="s">
        <v>91</v>
      </c>
      <c r="E526" s="149" t="s">
        <v>74</v>
      </c>
      <c r="F526" s="95" t="str">
        <f t="shared" si="199"/>
        <v/>
      </c>
      <c r="G526" s="95">
        <v>1.28</v>
      </c>
      <c r="H526" s="95">
        <v>3.5</v>
      </c>
      <c r="I526" s="95" t="str">
        <f t="shared" si="200"/>
        <v/>
      </c>
      <c r="J526" s="95" t="str">
        <f t="shared" si="201"/>
        <v/>
      </c>
      <c r="K526" s="95" t="str">
        <f t="shared" si="197"/>
        <v/>
      </c>
      <c r="L526" s="95" t="str">
        <f t="shared" si="198"/>
        <v/>
      </c>
      <c r="M526" s="96" t="str">
        <f t="shared" si="202"/>
        <v/>
      </c>
      <c r="N526" s="174"/>
      <c r="O526" s="29"/>
      <c r="P526" s="97" t="s">
        <v>96</v>
      </c>
      <c r="Q526" s="29"/>
      <c r="R526" s="98" t="e">
        <f t="shared" si="203"/>
        <v>#VALUE!</v>
      </c>
      <c r="S526" s="29"/>
      <c r="T526" s="99" t="str">
        <f t="shared" si="204"/>
        <v>a</v>
      </c>
      <c r="U526" s="29"/>
      <c r="V526" s="178"/>
      <c r="W526" s="29"/>
    </row>
    <row r="527" spans="1:23" ht="15.75" customHeight="1" x14ac:dyDescent="0.25">
      <c r="A527" s="29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31"/>
      <c r="S527" s="29"/>
      <c r="T527" s="29"/>
      <c r="U527" s="29"/>
      <c r="V527" s="32"/>
      <c r="W527" s="29"/>
    </row>
    <row r="528" spans="1:23" ht="15.75" customHeight="1" x14ac:dyDescent="0.25">
      <c r="A528" s="29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31"/>
      <c r="S528" s="29"/>
      <c r="T528" s="29"/>
      <c r="U528" s="29"/>
      <c r="V528" s="32"/>
      <c r="W528" s="29"/>
    </row>
    <row r="529" spans="1:23" ht="15.75" customHeight="1" thickBot="1" x14ac:dyDescent="0.3">
      <c r="A529" s="29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31"/>
      <c r="S529" s="29"/>
      <c r="T529" s="29"/>
      <c r="U529" s="29"/>
      <c r="V529" s="32"/>
      <c r="W529" s="29"/>
    </row>
    <row r="530" spans="1:23" ht="22.5" customHeight="1" thickBot="1" x14ac:dyDescent="0.3">
      <c r="A530" s="114" t="s">
        <v>6</v>
      </c>
      <c r="B530" s="167" t="s">
        <v>24</v>
      </c>
      <c r="C530" s="72" t="s">
        <v>49</v>
      </c>
      <c r="D530" s="72" t="s">
        <v>9</v>
      </c>
      <c r="E530" s="72" t="s">
        <v>10</v>
      </c>
      <c r="F530" s="72" t="s">
        <v>11</v>
      </c>
      <c r="G530" s="72" t="s">
        <v>12</v>
      </c>
      <c r="H530" s="72" t="s">
        <v>13</v>
      </c>
      <c r="I530" s="72" t="s">
        <v>14</v>
      </c>
      <c r="J530" s="72" t="s">
        <v>15</v>
      </c>
      <c r="K530" s="72" t="s">
        <v>34</v>
      </c>
      <c r="L530" s="72" t="s">
        <v>16</v>
      </c>
      <c r="M530" s="72" t="s">
        <v>48</v>
      </c>
      <c r="N530" s="73" t="s">
        <v>17</v>
      </c>
      <c r="O530" s="74"/>
      <c r="P530" s="75" t="s">
        <v>18</v>
      </c>
      <c r="Q530" s="71"/>
      <c r="R530" s="76" t="s">
        <v>35</v>
      </c>
      <c r="S530" s="71"/>
      <c r="T530" s="75" t="s">
        <v>36</v>
      </c>
      <c r="U530" s="71"/>
      <c r="V530" s="77" t="s">
        <v>29</v>
      </c>
      <c r="W530" s="29"/>
    </row>
    <row r="531" spans="1:23" ht="15.75" customHeight="1" x14ac:dyDescent="0.25">
      <c r="A531" s="115"/>
      <c r="B531" s="168"/>
      <c r="C531" s="78"/>
      <c r="D531" s="135">
        <v>100</v>
      </c>
      <c r="E531" s="135" t="s">
        <v>66</v>
      </c>
      <c r="F531" s="79" t="str">
        <f>IF(AND(C531=""),"",1-C531)</f>
        <v/>
      </c>
      <c r="G531" s="79">
        <v>2.75</v>
      </c>
      <c r="H531" s="79">
        <v>1.4</v>
      </c>
      <c r="I531" s="79" t="str">
        <f>IF(AND(C531=""),"",G531*C531)</f>
        <v/>
      </c>
      <c r="J531" s="79" t="str">
        <f>IF(AND(C531=""),"",H531*F531)</f>
        <v/>
      </c>
      <c r="K531" s="79" t="str">
        <f t="shared" ref="K531:K540" si="205">IF(AND(I531=""),"",IF(AND(I531&gt;J531),"T1","T2"))</f>
        <v/>
      </c>
      <c r="L531" s="79" t="str">
        <f t="shared" ref="L531:L540" si="206">IF(AND(J531=""),"",IF(AND(J531&gt;K531),"T1","T2"))</f>
        <v/>
      </c>
      <c r="M531" s="80" t="str">
        <f>IF(L531="","",IF(L531&lt;0.5,K$5*M$2,IF(L531&lt;0.75,K$5*M$3,IF(L531&lt;1,K$5*M$4,IF(L531&lt;1.25,K$5*M$5,IF(L531&lt;1.5,K$5*M$6,IF(L531&lt;2,K$5*M$7,IF(L531&lt;2.5,K$5*M$8,K$5*M$9))))))))</f>
        <v/>
      </c>
      <c r="N531" s="172">
        <f>SUMIF(L531:L540,"&gt;0")</f>
        <v>0</v>
      </c>
      <c r="O531" s="74"/>
      <c r="P531" s="81" t="s">
        <v>95</v>
      </c>
      <c r="Q531" s="74"/>
      <c r="R531" s="82" t="e">
        <f>IF(OR(P531="",L531="NO BET"),0,IF(AND(K531=P531),IF(AND(K531="T2"),ROUNDUP(H531*0.95,2)-M531,ROUNDUP(G531*0.95,2)-M531),-M531))</f>
        <v>#VALUE!</v>
      </c>
      <c r="S531" s="71"/>
      <c r="T531" s="83" t="str">
        <f>IF(AND(P531=""),"",IF(AND(C531&gt;F531),IF(AND(P531="T1"),"a","r"),IF(AND(P531="T2"),"a","r")))</f>
        <v>r</v>
      </c>
      <c r="U531" s="71"/>
      <c r="V531" s="175" t="e">
        <f>SUM(R531:R540)</f>
        <v>#VALUE!</v>
      </c>
      <c r="W531" s="29"/>
    </row>
    <row r="532" spans="1:23" ht="15.75" customHeight="1" x14ac:dyDescent="0.25">
      <c r="A532" s="179" t="s">
        <v>7</v>
      </c>
      <c r="B532" s="168"/>
      <c r="C532" s="84"/>
      <c r="D532" s="137" t="s">
        <v>69</v>
      </c>
      <c r="E532" s="137" t="s">
        <v>67</v>
      </c>
      <c r="F532" s="85" t="str">
        <f t="shared" ref="F532:F540" si="207">IF(AND(C532=""),"",1-C532)</f>
        <v/>
      </c>
      <c r="G532" s="85">
        <v>2</v>
      </c>
      <c r="H532" s="85">
        <v>1.72</v>
      </c>
      <c r="I532" s="85" t="str">
        <f t="shared" ref="I532:I540" si="208">IF(AND(C532=""),"",G532*C532)</f>
        <v/>
      </c>
      <c r="J532" s="85" t="str">
        <f t="shared" ref="J532:J540" si="209">IF(AND(C532=""),"",H532*F532)</f>
        <v/>
      </c>
      <c r="K532" s="85" t="str">
        <f t="shared" si="205"/>
        <v/>
      </c>
      <c r="L532" s="85" t="str">
        <f t="shared" si="206"/>
        <v/>
      </c>
      <c r="M532" s="86" t="str">
        <f t="shared" ref="M532:M540" si="210">IF(L532="","",IF(L532&lt;0.5,K$5*M$2,IF(L532&lt;0.75,K$5*M$3,IF(L532&lt;1,K$5*M$4,IF(L532&lt;1.25,K$5*M$5,IF(L532&lt;1.5,K$5*M$6,IF(L532&lt;2,K$5*M$7,IF(L532&lt;2.5,K$5*M$8,K$5*M$9))))))))</f>
        <v/>
      </c>
      <c r="N532" s="173"/>
      <c r="O532" s="29"/>
      <c r="P532" s="87" t="s">
        <v>96</v>
      </c>
      <c r="Q532" s="71"/>
      <c r="R532" s="88" t="e">
        <f t="shared" ref="R532:R540" si="211">IF(OR(P532="",L532="NO BET"),0,IF(AND(K532=P532),IF(AND(K532="T2"),ROUNDUP(H532*M532*0.95,2)-1,ROUNDUP(G532*M532*0.95,2)-M532),-M532))</f>
        <v>#VALUE!</v>
      </c>
      <c r="S532" s="71"/>
      <c r="T532" s="89" t="str">
        <f t="shared" ref="T532:T540" si="212">IF(AND(P532=""),"",IF(AND(C532&gt;F532),IF(AND(P532="T1"),"a","r"),IF(AND(P532="T2"),"a","r")))</f>
        <v>a</v>
      </c>
      <c r="U532" s="71"/>
      <c r="V532" s="175"/>
      <c r="W532" s="29"/>
    </row>
    <row r="533" spans="1:23" ht="15.75" customHeight="1" x14ac:dyDescent="0.25">
      <c r="A533" s="179"/>
      <c r="B533" s="168"/>
      <c r="C533" s="90"/>
      <c r="D533" s="139" t="s">
        <v>92</v>
      </c>
      <c r="E533" s="139" t="s">
        <v>72</v>
      </c>
      <c r="F533" s="16" t="str">
        <f t="shared" si="207"/>
        <v/>
      </c>
      <c r="G533" s="16">
        <v>2.5</v>
      </c>
      <c r="H533" s="16">
        <v>1.5</v>
      </c>
      <c r="I533" s="16" t="str">
        <f t="shared" si="208"/>
        <v/>
      </c>
      <c r="J533" s="16" t="str">
        <f t="shared" si="209"/>
        <v/>
      </c>
      <c r="K533" s="16" t="str">
        <f t="shared" si="205"/>
        <v/>
      </c>
      <c r="L533" s="16" t="str">
        <f t="shared" si="206"/>
        <v/>
      </c>
      <c r="M533" s="91" t="str">
        <f t="shared" si="210"/>
        <v/>
      </c>
      <c r="N533" s="173"/>
      <c r="O533" s="74"/>
      <c r="P533" s="87" t="s">
        <v>95</v>
      </c>
      <c r="Q533" s="71"/>
      <c r="R533" s="88" t="e">
        <f t="shared" si="211"/>
        <v>#VALUE!</v>
      </c>
      <c r="S533" s="71"/>
      <c r="T533" s="89" t="str">
        <f t="shared" si="212"/>
        <v>r</v>
      </c>
      <c r="U533" s="71"/>
      <c r="V533" s="175"/>
      <c r="W533" s="29"/>
    </row>
    <row r="534" spans="1:23" ht="15.75" customHeight="1" x14ac:dyDescent="0.25">
      <c r="A534" s="179"/>
      <c r="B534" s="168"/>
      <c r="C534" s="84"/>
      <c r="D534" s="137" t="s">
        <v>74</v>
      </c>
      <c r="E534" s="137" t="s">
        <v>84</v>
      </c>
      <c r="F534" s="85" t="str">
        <f t="shared" si="207"/>
        <v/>
      </c>
      <c r="G534" s="85">
        <v>2.25</v>
      </c>
      <c r="H534" s="85">
        <v>1.57</v>
      </c>
      <c r="I534" s="85" t="str">
        <f t="shared" si="208"/>
        <v/>
      </c>
      <c r="J534" s="85" t="str">
        <f t="shared" si="209"/>
        <v/>
      </c>
      <c r="K534" s="85" t="str">
        <f t="shared" si="205"/>
        <v/>
      </c>
      <c r="L534" s="85" t="str">
        <f t="shared" si="206"/>
        <v/>
      </c>
      <c r="M534" s="86" t="str">
        <f t="shared" si="210"/>
        <v/>
      </c>
      <c r="N534" s="173"/>
      <c r="O534" s="92"/>
      <c r="P534" s="87" t="s">
        <v>96</v>
      </c>
      <c r="Q534" s="71"/>
      <c r="R534" s="88" t="e">
        <f t="shared" si="211"/>
        <v>#VALUE!</v>
      </c>
      <c r="S534" s="71"/>
      <c r="T534" s="89" t="str">
        <f t="shared" si="212"/>
        <v>a</v>
      </c>
      <c r="U534" s="71"/>
      <c r="V534" s="175"/>
      <c r="W534" s="29"/>
    </row>
    <row r="535" spans="1:23" ht="15.75" customHeight="1" x14ac:dyDescent="0.25">
      <c r="A535" s="179"/>
      <c r="B535" s="168"/>
      <c r="C535" s="90"/>
      <c r="D535" s="139" t="s">
        <v>91</v>
      </c>
      <c r="E535" s="139" t="s">
        <v>70</v>
      </c>
      <c r="F535" s="16" t="str">
        <f t="shared" si="207"/>
        <v/>
      </c>
      <c r="G535" s="16">
        <v>1.36</v>
      </c>
      <c r="H535" s="16">
        <v>3</v>
      </c>
      <c r="I535" s="16" t="str">
        <f t="shared" si="208"/>
        <v/>
      </c>
      <c r="J535" s="16" t="str">
        <f t="shared" si="209"/>
        <v/>
      </c>
      <c r="K535" s="16" t="str">
        <f t="shared" si="205"/>
        <v/>
      </c>
      <c r="L535" s="16" t="str">
        <f t="shared" si="206"/>
        <v/>
      </c>
      <c r="M535" s="105" t="str">
        <f t="shared" si="210"/>
        <v/>
      </c>
      <c r="N535" s="173"/>
      <c r="O535" s="92"/>
      <c r="P535" s="87" t="s">
        <v>95</v>
      </c>
      <c r="Q535" s="71"/>
      <c r="R535" s="88" t="e">
        <f t="shared" si="211"/>
        <v>#VALUE!</v>
      </c>
      <c r="S535" s="71"/>
      <c r="T535" s="89" t="str">
        <f t="shared" si="212"/>
        <v>r</v>
      </c>
      <c r="U535" s="71"/>
      <c r="V535" s="175"/>
      <c r="W535" s="29"/>
    </row>
    <row r="536" spans="1:23" ht="15.75" customHeight="1" x14ac:dyDescent="0.25">
      <c r="A536" s="179"/>
      <c r="B536" s="168"/>
      <c r="C536" s="84"/>
      <c r="D536" s="137" t="s">
        <v>84</v>
      </c>
      <c r="E536" s="137" t="s">
        <v>92</v>
      </c>
      <c r="F536" s="85" t="str">
        <f t="shared" si="207"/>
        <v/>
      </c>
      <c r="G536" s="85">
        <v>2.5</v>
      </c>
      <c r="H536" s="85">
        <v>1.5</v>
      </c>
      <c r="I536" s="85" t="str">
        <f t="shared" si="208"/>
        <v/>
      </c>
      <c r="J536" s="85" t="str">
        <f t="shared" si="209"/>
        <v/>
      </c>
      <c r="K536" s="85" t="str">
        <f t="shared" si="205"/>
        <v/>
      </c>
      <c r="L536" s="85" t="str">
        <f t="shared" si="206"/>
        <v/>
      </c>
      <c r="M536" s="86" t="str">
        <f t="shared" si="210"/>
        <v/>
      </c>
      <c r="N536" s="173"/>
      <c r="O536" s="92"/>
      <c r="P536" s="87" t="s">
        <v>96</v>
      </c>
      <c r="Q536" s="71"/>
      <c r="R536" s="88" t="e">
        <f t="shared" si="211"/>
        <v>#VALUE!</v>
      </c>
      <c r="S536" s="71"/>
      <c r="T536" s="89" t="str">
        <f t="shared" si="212"/>
        <v>a</v>
      </c>
      <c r="U536" s="71"/>
      <c r="V536" s="175"/>
      <c r="W536" s="29"/>
    </row>
    <row r="537" spans="1:23" ht="18.75" thickBot="1" x14ac:dyDescent="0.3">
      <c r="A537" s="179"/>
      <c r="B537" s="168"/>
      <c r="C537" s="90"/>
      <c r="D537" s="139" t="s">
        <v>70</v>
      </c>
      <c r="E537" s="139">
        <v>100</v>
      </c>
      <c r="F537" s="16" t="str">
        <f t="shared" si="207"/>
        <v/>
      </c>
      <c r="G537" s="16">
        <v>2.1</v>
      </c>
      <c r="H537" s="16">
        <v>1.66</v>
      </c>
      <c r="I537" s="16" t="str">
        <f t="shared" si="208"/>
        <v/>
      </c>
      <c r="J537" s="16" t="str">
        <f t="shared" si="209"/>
        <v/>
      </c>
      <c r="K537" s="16" t="str">
        <f t="shared" si="205"/>
        <v/>
      </c>
      <c r="L537" s="16" t="str">
        <f t="shared" si="206"/>
        <v/>
      </c>
      <c r="M537" s="91" t="str">
        <f t="shared" si="210"/>
        <v/>
      </c>
      <c r="N537" s="173"/>
      <c r="O537" s="29"/>
      <c r="P537" s="87" t="s">
        <v>96</v>
      </c>
      <c r="Q537" s="71"/>
      <c r="R537" s="88" t="e">
        <f t="shared" si="211"/>
        <v>#VALUE!</v>
      </c>
      <c r="S537" s="71"/>
      <c r="T537" s="89" t="str">
        <f t="shared" si="212"/>
        <v>a</v>
      </c>
      <c r="U537" s="71"/>
      <c r="V537" s="93" t="s">
        <v>31</v>
      </c>
      <c r="W537" s="29"/>
    </row>
    <row r="538" spans="1:23" ht="18" x14ac:dyDescent="0.25">
      <c r="A538" s="179"/>
      <c r="B538" s="168"/>
      <c r="C538" s="84"/>
      <c r="D538" s="137" t="s">
        <v>72</v>
      </c>
      <c r="E538" s="137" t="s">
        <v>91</v>
      </c>
      <c r="F538" s="85" t="str">
        <f t="shared" si="207"/>
        <v/>
      </c>
      <c r="G538" s="85">
        <v>1.72</v>
      </c>
      <c r="H538" s="85">
        <v>2</v>
      </c>
      <c r="I538" s="85" t="str">
        <f t="shared" si="208"/>
        <v/>
      </c>
      <c r="J538" s="85" t="str">
        <f t="shared" si="209"/>
        <v/>
      </c>
      <c r="K538" s="85" t="str">
        <f t="shared" si="205"/>
        <v/>
      </c>
      <c r="L538" s="85" t="str">
        <f t="shared" si="206"/>
        <v/>
      </c>
      <c r="M538" s="106" t="str">
        <f t="shared" si="210"/>
        <v/>
      </c>
      <c r="N538" s="173"/>
      <c r="O538" s="29"/>
      <c r="P538" s="87" t="s">
        <v>95</v>
      </c>
      <c r="Q538" s="71"/>
      <c r="R538" s="88" t="e">
        <f t="shared" si="211"/>
        <v>#VALUE!</v>
      </c>
      <c r="S538" s="71"/>
      <c r="T538" s="89" t="str">
        <f t="shared" si="212"/>
        <v>r</v>
      </c>
      <c r="U538" s="71"/>
      <c r="V538" s="176">
        <f>IF(AND(NOT(N531=0)),V531/N531,0)</f>
        <v>0</v>
      </c>
      <c r="W538" s="29"/>
    </row>
    <row r="539" spans="1:23" ht="15.75" customHeight="1" x14ac:dyDescent="0.25">
      <c r="A539" s="179"/>
      <c r="B539" s="168"/>
      <c r="C539" s="90"/>
      <c r="D539" s="139" t="s">
        <v>69</v>
      </c>
      <c r="E539" s="139" t="s">
        <v>74</v>
      </c>
      <c r="F539" s="16" t="str">
        <f t="shared" si="207"/>
        <v/>
      </c>
      <c r="G539" s="16">
        <v>1.44</v>
      </c>
      <c r="H539" s="16">
        <v>2.62</v>
      </c>
      <c r="I539" s="16" t="str">
        <f t="shared" si="208"/>
        <v/>
      </c>
      <c r="J539" s="16" t="str">
        <f t="shared" si="209"/>
        <v/>
      </c>
      <c r="K539" s="16" t="str">
        <f t="shared" si="205"/>
        <v/>
      </c>
      <c r="L539" s="16" t="str">
        <f t="shared" si="206"/>
        <v/>
      </c>
      <c r="M539" s="105" t="str">
        <f t="shared" si="210"/>
        <v/>
      </c>
      <c r="N539" s="173"/>
      <c r="O539" s="29"/>
      <c r="P539" s="87" t="s">
        <v>96</v>
      </c>
      <c r="Q539" s="71"/>
      <c r="R539" s="88" t="e">
        <f t="shared" si="211"/>
        <v>#VALUE!</v>
      </c>
      <c r="S539" s="71"/>
      <c r="T539" s="89" t="str">
        <f t="shared" si="212"/>
        <v>a</v>
      </c>
      <c r="U539" s="71"/>
      <c r="V539" s="177"/>
      <c r="W539" s="29"/>
    </row>
    <row r="540" spans="1:23" ht="15.75" customHeight="1" thickBot="1" x14ac:dyDescent="0.3">
      <c r="A540" s="180"/>
      <c r="B540" s="169"/>
      <c r="C540" s="94"/>
      <c r="D540" s="149" t="s">
        <v>66</v>
      </c>
      <c r="E540" s="149" t="s">
        <v>67</v>
      </c>
      <c r="F540" s="95" t="str">
        <f t="shared" si="207"/>
        <v/>
      </c>
      <c r="G540" s="95">
        <v>1.5</v>
      </c>
      <c r="H540" s="95">
        <v>2.5</v>
      </c>
      <c r="I540" s="95" t="str">
        <f t="shared" si="208"/>
        <v/>
      </c>
      <c r="J540" s="95" t="str">
        <f t="shared" si="209"/>
        <v/>
      </c>
      <c r="K540" s="95" t="str">
        <f t="shared" si="205"/>
        <v/>
      </c>
      <c r="L540" s="95" t="str">
        <f t="shared" si="206"/>
        <v/>
      </c>
      <c r="M540" s="96" t="str">
        <f t="shared" si="210"/>
        <v/>
      </c>
      <c r="N540" s="174"/>
      <c r="O540" s="29"/>
      <c r="P540" s="97" t="s">
        <v>95</v>
      </c>
      <c r="Q540" s="29"/>
      <c r="R540" s="98" t="e">
        <f t="shared" si="211"/>
        <v>#VALUE!</v>
      </c>
      <c r="S540" s="29"/>
      <c r="T540" s="99" t="str">
        <f t="shared" si="212"/>
        <v>r</v>
      </c>
      <c r="U540" s="29"/>
      <c r="V540" s="178"/>
      <c r="W540" s="29"/>
    </row>
    <row r="541" spans="1:23" ht="15.75" customHeight="1" x14ac:dyDescent="0.25">
      <c r="A541" s="29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31"/>
      <c r="S541" s="29"/>
      <c r="T541" s="29"/>
      <c r="U541" s="29"/>
      <c r="V541" s="32"/>
      <c r="W541" s="29"/>
    </row>
    <row r="542" spans="1:23" ht="15.75" customHeight="1" x14ac:dyDescent="0.25">
      <c r="A542" s="29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31"/>
      <c r="S542" s="29"/>
      <c r="T542" s="29"/>
      <c r="U542" s="29"/>
      <c r="V542" s="32"/>
      <c r="W542" s="29"/>
    </row>
    <row r="543" spans="1:23" ht="15.75" customHeight="1" thickBot="1" x14ac:dyDescent="0.3">
      <c r="A543" s="29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31"/>
      <c r="S543" s="29"/>
      <c r="T543" s="29"/>
      <c r="U543" s="29"/>
      <c r="V543" s="32"/>
      <c r="W543" s="29"/>
    </row>
    <row r="544" spans="1:23" ht="22.5" customHeight="1" thickBot="1" x14ac:dyDescent="0.3">
      <c r="A544" s="114" t="s">
        <v>6</v>
      </c>
      <c r="B544" s="167" t="s">
        <v>25</v>
      </c>
      <c r="C544" s="72" t="s">
        <v>49</v>
      </c>
      <c r="D544" s="72" t="s">
        <v>9</v>
      </c>
      <c r="E544" s="72" t="s">
        <v>10</v>
      </c>
      <c r="F544" s="72" t="s">
        <v>11</v>
      </c>
      <c r="G544" s="72" t="s">
        <v>12</v>
      </c>
      <c r="H544" s="72" t="s">
        <v>13</v>
      </c>
      <c r="I544" s="72" t="s">
        <v>14</v>
      </c>
      <c r="J544" s="72" t="s">
        <v>15</v>
      </c>
      <c r="K544" s="72" t="s">
        <v>34</v>
      </c>
      <c r="L544" s="72" t="s">
        <v>16</v>
      </c>
      <c r="M544" s="72" t="s">
        <v>48</v>
      </c>
      <c r="N544" s="73" t="s">
        <v>17</v>
      </c>
      <c r="O544" s="74"/>
      <c r="P544" s="75" t="s">
        <v>18</v>
      </c>
      <c r="Q544" s="71"/>
      <c r="R544" s="76" t="s">
        <v>35</v>
      </c>
      <c r="S544" s="71"/>
      <c r="T544" s="75" t="s">
        <v>36</v>
      </c>
      <c r="U544" s="71"/>
      <c r="V544" s="77" t="s">
        <v>29</v>
      </c>
      <c r="W544" s="29"/>
    </row>
    <row r="545" spans="1:23" ht="15.75" customHeight="1" x14ac:dyDescent="0.25">
      <c r="A545" s="115"/>
      <c r="B545" s="168"/>
      <c r="C545" s="78"/>
      <c r="D545" s="135" t="s">
        <v>91</v>
      </c>
      <c r="E545" s="135">
        <v>100</v>
      </c>
      <c r="F545" s="79" t="str">
        <f>IF(AND(C545=""),"",1-C545)</f>
        <v/>
      </c>
      <c r="G545" s="79">
        <v>1.5</v>
      </c>
      <c r="H545" s="79">
        <v>2.5</v>
      </c>
      <c r="I545" s="79" t="str">
        <f>IF(AND(C545=""),"",G545*C545)</f>
        <v/>
      </c>
      <c r="J545" s="79" t="str">
        <f>IF(AND(C545=""),"",H545*F545)</f>
        <v/>
      </c>
      <c r="K545" s="79" t="str">
        <f t="shared" ref="K545:K554" si="213">IF(AND(I545=""),"",IF(AND(I545&gt;J545),"T1","T2"))</f>
        <v/>
      </c>
      <c r="L545" s="79" t="str">
        <f t="shared" ref="L545:L554" si="214">IF(AND(J545=""),"",IF(AND(J545&gt;K545),"T1","T2"))</f>
        <v/>
      </c>
      <c r="M545" s="80" t="str">
        <f>IF(L545="","",IF(L545&lt;0.5,K$5*M$2,IF(L545&lt;0.75,K$5*M$3,IF(L545&lt;1,K$5*M$4,IF(L545&lt;1.25,K$5*M$5,IF(L545&lt;1.5,K$5*M$6,IF(L545&lt;2,K$5*M$7,IF(L545&lt;2.5,K$5*M$8,K$5*M$9))))))))</f>
        <v/>
      </c>
      <c r="N545" s="172">
        <f>SUMIF(L545:L554,"&gt;0")</f>
        <v>0</v>
      </c>
      <c r="O545" s="74"/>
      <c r="P545" s="81" t="s">
        <v>95</v>
      </c>
      <c r="Q545" s="74"/>
      <c r="R545" s="82" t="e">
        <f>IF(OR(P545="",L545="NO BET"),0,IF(AND(K545=P545),IF(AND(K545="T2"),ROUNDUP(H545*0.95,2)-M545,ROUNDUP(G545*0.95,2)-M545),-M545))</f>
        <v>#VALUE!</v>
      </c>
      <c r="S545" s="71"/>
      <c r="T545" s="83" t="str">
        <f>IF(AND(P545=""),"",IF(AND(C545&gt;F545),IF(AND(P545="T1"),"a","r"),IF(AND(P545="T2"),"a","r")))</f>
        <v>r</v>
      </c>
      <c r="U545" s="71"/>
      <c r="V545" s="175" t="e">
        <f>SUM(R545:R554)</f>
        <v>#VALUE!</v>
      </c>
      <c r="W545" s="29"/>
    </row>
    <row r="546" spans="1:23" ht="15.75" customHeight="1" x14ac:dyDescent="0.25">
      <c r="A546" s="179" t="s">
        <v>7</v>
      </c>
      <c r="B546" s="168"/>
      <c r="C546" s="84"/>
      <c r="D546" s="137" t="s">
        <v>92</v>
      </c>
      <c r="E546" s="137" t="s">
        <v>70</v>
      </c>
      <c r="F546" s="85" t="str">
        <f t="shared" ref="F546:F554" si="215">IF(AND(C546=""),"",1-C546)</f>
        <v/>
      </c>
      <c r="G546" s="85">
        <v>1.44</v>
      </c>
      <c r="H546" s="85">
        <v>2.62</v>
      </c>
      <c r="I546" s="85" t="str">
        <f t="shared" ref="I546:I554" si="216">IF(AND(C546=""),"",G546*C546)</f>
        <v/>
      </c>
      <c r="J546" s="85" t="str">
        <f t="shared" ref="J546:J554" si="217">IF(AND(C546=""),"",H546*F546)</f>
        <v/>
      </c>
      <c r="K546" s="85" t="str">
        <f t="shared" si="213"/>
        <v/>
      </c>
      <c r="L546" s="85" t="str">
        <f t="shared" si="214"/>
        <v/>
      </c>
      <c r="M546" s="86" t="str">
        <f t="shared" ref="M546:M554" si="218">IF(L546="","",IF(L546&lt;0.5,K$5*M$2,IF(L546&lt;0.75,K$5*M$3,IF(L546&lt;1,K$5*M$4,IF(L546&lt;1.25,K$5*M$5,IF(L546&lt;1.5,K$5*M$6,IF(L546&lt;2,K$5*M$7,IF(L546&lt;2.5,K$5*M$8,K$5*M$9))))))))</f>
        <v/>
      </c>
      <c r="N546" s="173"/>
      <c r="O546" s="29"/>
      <c r="P546" s="87" t="s">
        <v>95</v>
      </c>
      <c r="Q546" s="71"/>
      <c r="R546" s="88" t="e">
        <f t="shared" ref="R546:R554" si="219">IF(OR(P546="",L546="NO BET"),0,IF(AND(K546=P546),IF(AND(K546="T2"),ROUNDUP(H546*M546*0.95,2)-1,ROUNDUP(G546*M546*0.95,2)-M546),-M546))</f>
        <v>#VALUE!</v>
      </c>
      <c r="S546" s="71"/>
      <c r="T546" s="89" t="str">
        <f t="shared" ref="T546:T554" si="220">IF(AND(P546=""),"",IF(AND(C546&gt;F546),IF(AND(P546="T1"),"a","r"),IF(AND(P546="T2"),"a","r")))</f>
        <v>r</v>
      </c>
      <c r="U546" s="71"/>
      <c r="V546" s="175"/>
      <c r="W546" s="29"/>
    </row>
    <row r="547" spans="1:23" ht="15.75" customHeight="1" x14ac:dyDescent="0.25">
      <c r="A547" s="179"/>
      <c r="B547" s="168"/>
      <c r="C547" s="90"/>
      <c r="D547" s="139" t="s">
        <v>66</v>
      </c>
      <c r="E547" s="139" t="s">
        <v>69</v>
      </c>
      <c r="F547" s="16" t="str">
        <f t="shared" si="215"/>
        <v/>
      </c>
      <c r="G547" s="16">
        <v>1.33</v>
      </c>
      <c r="H547" s="16">
        <v>3.25</v>
      </c>
      <c r="I547" s="16" t="str">
        <f t="shared" si="216"/>
        <v/>
      </c>
      <c r="J547" s="16" t="str">
        <f t="shared" si="217"/>
        <v/>
      </c>
      <c r="K547" s="16" t="str">
        <f t="shared" si="213"/>
        <v/>
      </c>
      <c r="L547" s="16" t="str">
        <f t="shared" si="214"/>
        <v/>
      </c>
      <c r="M547" s="91" t="str">
        <f t="shared" si="218"/>
        <v/>
      </c>
      <c r="N547" s="173"/>
      <c r="O547" s="74"/>
      <c r="P547" s="87" t="s">
        <v>96</v>
      </c>
      <c r="Q547" s="71"/>
      <c r="R547" s="88" t="e">
        <f t="shared" si="219"/>
        <v>#VALUE!</v>
      </c>
      <c r="S547" s="71"/>
      <c r="T547" s="89" t="str">
        <f t="shared" si="220"/>
        <v>a</v>
      </c>
      <c r="U547" s="71"/>
      <c r="V547" s="175"/>
      <c r="W547" s="29"/>
    </row>
    <row r="548" spans="1:23" ht="15.75" customHeight="1" x14ac:dyDescent="0.25">
      <c r="A548" s="179"/>
      <c r="B548" s="168"/>
      <c r="C548" s="84"/>
      <c r="D548" s="137" t="s">
        <v>74</v>
      </c>
      <c r="E548" s="137" t="s">
        <v>72</v>
      </c>
      <c r="F548" s="85" t="str">
        <f t="shared" si="215"/>
        <v/>
      </c>
      <c r="G548" s="85">
        <v>4.5</v>
      </c>
      <c r="H548" s="85">
        <v>1.1599999999999999</v>
      </c>
      <c r="I548" s="85" t="str">
        <f t="shared" si="216"/>
        <v/>
      </c>
      <c r="J548" s="85" t="str">
        <f t="shared" si="217"/>
        <v/>
      </c>
      <c r="K548" s="85" t="str">
        <f t="shared" si="213"/>
        <v/>
      </c>
      <c r="L548" s="85" t="str">
        <f t="shared" si="214"/>
        <v/>
      </c>
      <c r="M548" s="86" t="str">
        <f t="shared" si="218"/>
        <v/>
      </c>
      <c r="N548" s="173"/>
      <c r="O548" s="92"/>
      <c r="P548" s="87" t="s">
        <v>95</v>
      </c>
      <c r="Q548" s="71"/>
      <c r="R548" s="88" t="e">
        <f t="shared" si="219"/>
        <v>#VALUE!</v>
      </c>
      <c r="S548" s="71"/>
      <c r="T548" s="89" t="str">
        <f t="shared" si="220"/>
        <v>r</v>
      </c>
      <c r="U548" s="71"/>
      <c r="V548" s="175"/>
      <c r="W548" s="29"/>
    </row>
    <row r="549" spans="1:23" ht="15.75" customHeight="1" x14ac:dyDescent="0.25">
      <c r="A549" s="179"/>
      <c r="B549" s="168"/>
      <c r="C549" s="90"/>
      <c r="D549" s="139" t="s">
        <v>67</v>
      </c>
      <c r="E549" s="139" t="s">
        <v>84</v>
      </c>
      <c r="F549" s="16" t="str">
        <f t="shared" si="215"/>
        <v/>
      </c>
      <c r="G549" s="16">
        <v>1.5</v>
      </c>
      <c r="H549" s="16">
        <v>2.5</v>
      </c>
      <c r="I549" s="16" t="str">
        <f t="shared" si="216"/>
        <v/>
      </c>
      <c r="J549" s="16" t="str">
        <f t="shared" si="217"/>
        <v/>
      </c>
      <c r="K549" s="16" t="str">
        <f t="shared" si="213"/>
        <v/>
      </c>
      <c r="L549" s="16" t="str">
        <f t="shared" si="214"/>
        <v/>
      </c>
      <c r="M549" s="105" t="str">
        <f t="shared" si="218"/>
        <v/>
      </c>
      <c r="N549" s="173"/>
      <c r="O549" s="92"/>
      <c r="P549" s="87" t="s">
        <v>95</v>
      </c>
      <c r="Q549" s="71"/>
      <c r="R549" s="88" t="e">
        <f t="shared" si="219"/>
        <v>#VALUE!</v>
      </c>
      <c r="S549" s="71"/>
      <c r="T549" s="89" t="str">
        <f t="shared" si="220"/>
        <v>r</v>
      </c>
      <c r="U549" s="71"/>
      <c r="V549" s="175"/>
      <c r="W549" s="29"/>
    </row>
    <row r="550" spans="1:23" ht="15.75" customHeight="1" x14ac:dyDescent="0.25">
      <c r="A550" s="179"/>
      <c r="B550" s="168"/>
      <c r="C550" s="84"/>
      <c r="D550" s="137" t="s">
        <v>69</v>
      </c>
      <c r="E550" s="137" t="s">
        <v>91</v>
      </c>
      <c r="F550" s="85" t="str">
        <f t="shared" si="215"/>
        <v/>
      </c>
      <c r="G550" s="85">
        <v>2.62</v>
      </c>
      <c r="H550" s="85">
        <v>1.44</v>
      </c>
      <c r="I550" s="85" t="str">
        <f t="shared" si="216"/>
        <v/>
      </c>
      <c r="J550" s="85" t="str">
        <f t="shared" si="217"/>
        <v/>
      </c>
      <c r="K550" s="85" t="str">
        <f t="shared" si="213"/>
        <v/>
      </c>
      <c r="L550" s="85" t="str">
        <f t="shared" si="214"/>
        <v/>
      </c>
      <c r="M550" s="86" t="str">
        <f t="shared" si="218"/>
        <v/>
      </c>
      <c r="N550" s="173"/>
      <c r="O550" s="92"/>
      <c r="P550" s="87" t="s">
        <v>95</v>
      </c>
      <c r="Q550" s="71"/>
      <c r="R550" s="88" t="e">
        <f t="shared" si="219"/>
        <v>#VALUE!</v>
      </c>
      <c r="S550" s="71"/>
      <c r="T550" s="89" t="str">
        <f t="shared" si="220"/>
        <v>r</v>
      </c>
      <c r="U550" s="71"/>
      <c r="V550" s="175"/>
      <c r="W550" s="29"/>
    </row>
    <row r="551" spans="1:23" ht="18.75" thickBot="1" x14ac:dyDescent="0.3">
      <c r="A551" s="179"/>
      <c r="B551" s="168"/>
      <c r="C551" s="90"/>
      <c r="D551" s="139" t="s">
        <v>84</v>
      </c>
      <c r="E551" s="139" t="s">
        <v>72</v>
      </c>
      <c r="F551" s="16" t="str">
        <f t="shared" si="215"/>
        <v/>
      </c>
      <c r="G551" s="16">
        <v>2.75</v>
      </c>
      <c r="H551" s="16">
        <v>1.4</v>
      </c>
      <c r="I551" s="16" t="str">
        <f t="shared" si="216"/>
        <v/>
      </c>
      <c r="J551" s="16" t="str">
        <f t="shared" si="217"/>
        <v/>
      </c>
      <c r="K551" s="16" t="str">
        <f t="shared" si="213"/>
        <v/>
      </c>
      <c r="L551" s="16" t="str">
        <f t="shared" si="214"/>
        <v/>
      </c>
      <c r="M551" s="91" t="str">
        <f t="shared" si="218"/>
        <v/>
      </c>
      <c r="N551" s="173"/>
      <c r="O551" s="29"/>
      <c r="P551" s="87" t="s">
        <v>96</v>
      </c>
      <c r="Q551" s="71"/>
      <c r="R551" s="88" t="e">
        <f t="shared" si="219"/>
        <v>#VALUE!</v>
      </c>
      <c r="S551" s="71"/>
      <c r="T551" s="89" t="str">
        <f t="shared" si="220"/>
        <v>a</v>
      </c>
      <c r="U551" s="71"/>
      <c r="V551" s="93" t="s">
        <v>31</v>
      </c>
      <c r="W551" s="29"/>
    </row>
    <row r="552" spans="1:23" ht="18" x14ac:dyDescent="0.25">
      <c r="A552" s="179"/>
      <c r="B552" s="168"/>
      <c r="C552" s="84"/>
      <c r="D552" s="137">
        <v>100</v>
      </c>
      <c r="E552" s="137" t="s">
        <v>92</v>
      </c>
      <c r="F552" s="85" t="str">
        <f t="shared" si="215"/>
        <v/>
      </c>
      <c r="G552" s="85">
        <v>2.25</v>
      </c>
      <c r="H552" s="85">
        <v>1.57</v>
      </c>
      <c r="I552" s="85" t="str">
        <f t="shared" si="216"/>
        <v/>
      </c>
      <c r="J552" s="85" t="str">
        <f t="shared" si="217"/>
        <v/>
      </c>
      <c r="K552" s="85" t="str">
        <f t="shared" si="213"/>
        <v/>
      </c>
      <c r="L552" s="85" t="str">
        <f t="shared" si="214"/>
        <v/>
      </c>
      <c r="M552" s="106" t="str">
        <f t="shared" si="218"/>
        <v/>
      </c>
      <c r="N552" s="173"/>
      <c r="O552" s="29"/>
      <c r="P552" s="87" t="s">
        <v>95</v>
      </c>
      <c r="Q552" s="71"/>
      <c r="R552" s="88" t="e">
        <f t="shared" si="219"/>
        <v>#VALUE!</v>
      </c>
      <c r="S552" s="71"/>
      <c r="T552" s="89" t="str">
        <f t="shared" si="220"/>
        <v>r</v>
      </c>
      <c r="U552" s="71"/>
      <c r="V552" s="176">
        <f>IF(AND(NOT(N545=0)),V545/N545,0)</f>
        <v>0</v>
      </c>
      <c r="W552" s="29"/>
    </row>
    <row r="553" spans="1:23" ht="18" x14ac:dyDescent="0.25">
      <c r="A553" s="179"/>
      <c r="B553" s="168"/>
      <c r="C553" s="90"/>
      <c r="D553" s="139" t="s">
        <v>66</v>
      </c>
      <c r="E553" s="139" t="s">
        <v>74</v>
      </c>
      <c r="F553" s="16" t="str">
        <f t="shared" si="215"/>
        <v/>
      </c>
      <c r="G553" s="16">
        <v>1.22</v>
      </c>
      <c r="H553" s="16">
        <v>4</v>
      </c>
      <c r="I553" s="16" t="str">
        <f t="shared" si="216"/>
        <v/>
      </c>
      <c r="J553" s="16" t="str">
        <f t="shared" si="217"/>
        <v/>
      </c>
      <c r="K553" s="16" t="str">
        <f t="shared" si="213"/>
        <v/>
      </c>
      <c r="L553" s="16" t="str">
        <f t="shared" si="214"/>
        <v/>
      </c>
      <c r="M553" s="105" t="str">
        <f t="shared" si="218"/>
        <v/>
      </c>
      <c r="N553" s="173"/>
      <c r="O553" s="29"/>
      <c r="P553" s="87" t="s">
        <v>95</v>
      </c>
      <c r="Q553" s="71"/>
      <c r="R553" s="88" t="e">
        <f t="shared" si="219"/>
        <v>#VALUE!</v>
      </c>
      <c r="S553" s="71"/>
      <c r="T553" s="89" t="str">
        <f t="shared" si="220"/>
        <v>r</v>
      </c>
      <c r="U553" s="71"/>
      <c r="V553" s="177"/>
      <c r="W553" s="29"/>
    </row>
    <row r="554" spans="1:23" ht="18.75" thickBot="1" x14ac:dyDescent="0.3">
      <c r="A554" s="180"/>
      <c r="B554" s="169"/>
      <c r="C554" s="94"/>
      <c r="D554" s="149" t="s">
        <v>70</v>
      </c>
      <c r="E554" s="149" t="s">
        <v>67</v>
      </c>
      <c r="F554" s="95" t="str">
        <f t="shared" si="215"/>
        <v/>
      </c>
      <c r="G554" s="95">
        <v>2.25</v>
      </c>
      <c r="H554" s="95">
        <v>1.57</v>
      </c>
      <c r="I554" s="95" t="str">
        <f t="shared" si="216"/>
        <v/>
      </c>
      <c r="J554" s="95" t="str">
        <f t="shared" si="217"/>
        <v/>
      </c>
      <c r="K554" s="95" t="str">
        <f t="shared" si="213"/>
        <v/>
      </c>
      <c r="L554" s="95" t="str">
        <f t="shared" si="214"/>
        <v/>
      </c>
      <c r="M554" s="96" t="str">
        <f t="shared" si="218"/>
        <v/>
      </c>
      <c r="N554" s="174"/>
      <c r="O554" s="29"/>
      <c r="P554" s="97" t="s">
        <v>96</v>
      </c>
      <c r="Q554" s="29"/>
      <c r="R554" s="98" t="e">
        <f t="shared" si="219"/>
        <v>#VALUE!</v>
      </c>
      <c r="S554" s="29"/>
      <c r="T554" s="99" t="str">
        <f t="shared" si="220"/>
        <v>a</v>
      </c>
      <c r="U554" s="29"/>
      <c r="V554" s="178"/>
      <c r="W554" s="29"/>
    </row>
    <row r="555" spans="1:23" x14ac:dyDescent="0.25">
      <c r="A555" s="29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31"/>
      <c r="S555" s="29"/>
      <c r="T555" s="29"/>
      <c r="U555" s="29"/>
      <c r="V555" s="32"/>
      <c r="W555" s="29"/>
    </row>
    <row r="556" spans="1:23" x14ac:dyDescent="0.25">
      <c r="A556" s="29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31"/>
      <c r="S556" s="29"/>
      <c r="T556" s="29"/>
      <c r="U556" s="29"/>
      <c r="V556" s="32"/>
      <c r="W556" s="29"/>
    </row>
    <row r="557" spans="1:23" ht="15.75" customHeight="1" thickBot="1" x14ac:dyDescent="0.3">
      <c r="A557" s="29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31"/>
      <c r="S557" s="29"/>
      <c r="T557" s="29"/>
      <c r="U557" s="29"/>
      <c r="V557" s="32"/>
      <c r="W557" s="29"/>
    </row>
    <row r="558" spans="1:23" ht="22.5" customHeight="1" thickBot="1" x14ac:dyDescent="0.3">
      <c r="A558" s="114" t="s">
        <v>6</v>
      </c>
      <c r="B558" s="167" t="s">
        <v>26</v>
      </c>
      <c r="C558" s="72" t="s">
        <v>49</v>
      </c>
      <c r="D558" s="72" t="s">
        <v>9</v>
      </c>
      <c r="E558" s="72" t="s">
        <v>10</v>
      </c>
      <c r="F558" s="72" t="s">
        <v>11</v>
      </c>
      <c r="G558" s="72" t="s">
        <v>12</v>
      </c>
      <c r="H558" s="72" t="s">
        <v>13</v>
      </c>
      <c r="I558" s="72" t="s">
        <v>14</v>
      </c>
      <c r="J558" s="72" t="s">
        <v>15</v>
      </c>
      <c r="K558" s="72" t="s">
        <v>34</v>
      </c>
      <c r="L558" s="72" t="s">
        <v>16</v>
      </c>
      <c r="M558" s="72" t="s">
        <v>48</v>
      </c>
      <c r="N558" s="73" t="s">
        <v>17</v>
      </c>
      <c r="O558" s="74"/>
      <c r="P558" s="75" t="s">
        <v>18</v>
      </c>
      <c r="Q558" s="71"/>
      <c r="R558" s="76" t="s">
        <v>35</v>
      </c>
      <c r="S558" s="71"/>
      <c r="T558" s="75" t="s">
        <v>36</v>
      </c>
      <c r="U558" s="71"/>
      <c r="V558" s="77" t="s">
        <v>29</v>
      </c>
      <c r="W558" s="29"/>
    </row>
    <row r="559" spans="1:23" ht="15.75" customHeight="1" x14ac:dyDescent="0.25">
      <c r="A559" s="115"/>
      <c r="B559" s="168"/>
      <c r="C559" s="78"/>
      <c r="D559" s="135" t="s">
        <v>67</v>
      </c>
      <c r="E559" s="135" t="s">
        <v>72</v>
      </c>
      <c r="F559" s="79" t="str">
        <f>IF(AND(C559=""),"",1-C559)</f>
        <v/>
      </c>
      <c r="G559" s="79">
        <v>2.25</v>
      </c>
      <c r="H559" s="79">
        <v>1.57</v>
      </c>
      <c r="I559" s="79" t="str">
        <f>IF(AND(C559=""),"",G559*C559)</f>
        <v/>
      </c>
      <c r="J559" s="79" t="str">
        <f>IF(AND(C559=""),"",H559*F559)</f>
        <v/>
      </c>
      <c r="K559" s="79" t="str">
        <f t="shared" ref="K559:K568" si="221">IF(AND(I559=""),"",IF(AND(I559&gt;J559),"T1","T2"))</f>
        <v/>
      </c>
      <c r="L559" s="79" t="str">
        <f t="shared" ref="L559:L568" si="222">IF(AND(J559=""),"",IF(AND(J559&gt;K559),"T1","T2"))</f>
        <v/>
      </c>
      <c r="M559" s="80" t="str">
        <f>IF(L559="","",IF(L559&lt;0.5,K$5*M$2,IF(L559&lt;0.75,K$5*M$3,IF(L559&lt;1,K$5*M$4,IF(L559&lt;1.25,K$5*M$5,IF(L559&lt;1.5,K$5*M$6,IF(L559&lt;2,K$5*M$7,IF(L559&lt;2.5,K$5*M$8,K$5*M$9))))))))</f>
        <v/>
      </c>
      <c r="N559" s="172">
        <f>SUMIF(L559:L568,"&gt;0")</f>
        <v>0</v>
      </c>
      <c r="O559" s="74"/>
      <c r="P559" s="81" t="s">
        <v>95</v>
      </c>
      <c r="Q559" s="74"/>
      <c r="R559" s="82" t="e">
        <f>IF(OR(P559="",L559="NO BET"),0,IF(AND(K559=P559),IF(AND(K559="T2"),ROUNDUP(H559*0.95,2)-M559,ROUNDUP(G559*0.95,2)-M559),-M559))</f>
        <v>#VALUE!</v>
      </c>
      <c r="S559" s="71"/>
      <c r="T559" s="83" t="str">
        <f>IF(AND(P559=""),"",IF(AND(C559&gt;F559),IF(AND(P559="T1"),"a","r"),IF(AND(P559="T2"),"a","r")))</f>
        <v>r</v>
      </c>
      <c r="U559" s="71"/>
      <c r="V559" s="175" t="e">
        <f>SUM(R559:R568)</f>
        <v>#VALUE!</v>
      </c>
      <c r="W559" s="29"/>
    </row>
    <row r="560" spans="1:23" ht="15.75" customHeight="1" x14ac:dyDescent="0.25">
      <c r="A560" s="179" t="s">
        <v>7</v>
      </c>
      <c r="B560" s="168"/>
      <c r="C560" s="84"/>
      <c r="D560" s="137" t="s">
        <v>70</v>
      </c>
      <c r="E560" s="137" t="s">
        <v>69</v>
      </c>
      <c r="F560" s="85" t="str">
        <f t="shared" ref="F560:F568" si="223">IF(AND(C560=""),"",1-C560)</f>
        <v/>
      </c>
      <c r="G560" s="85">
        <v>2.1</v>
      </c>
      <c r="H560" s="85">
        <v>1.66</v>
      </c>
      <c r="I560" s="85" t="str">
        <f t="shared" ref="I560:I568" si="224">IF(AND(C560=""),"",G560*C560)</f>
        <v/>
      </c>
      <c r="J560" s="85" t="str">
        <f t="shared" ref="J560:J568" si="225">IF(AND(C560=""),"",H560*F560)</f>
        <v/>
      </c>
      <c r="K560" s="85" t="str">
        <f t="shared" si="221"/>
        <v/>
      </c>
      <c r="L560" s="85" t="str">
        <f t="shared" si="222"/>
        <v/>
      </c>
      <c r="M560" s="86" t="str">
        <f t="shared" ref="M560:M568" si="226">IF(L560="","",IF(L560&lt;0.5,K$5*M$2,IF(L560&lt;0.75,K$5*M$3,IF(L560&lt;1,K$5*M$4,IF(L560&lt;1.25,K$5*M$5,IF(L560&lt;1.5,K$5*M$6,IF(L560&lt;2,K$5*M$7,IF(L560&lt;2.5,K$5*M$8,K$5*M$9))))))))</f>
        <v/>
      </c>
      <c r="N560" s="173"/>
      <c r="O560" s="29"/>
      <c r="P560" s="87" t="s">
        <v>96</v>
      </c>
      <c r="Q560" s="71"/>
      <c r="R560" s="88" t="e">
        <f t="shared" ref="R560:R568" si="227">IF(OR(P560="",L560="NO BET"),0,IF(AND(K560=P560),IF(AND(K560="T2"),ROUNDUP(H560*M560*0.95,2)-1,ROUNDUP(G560*M560*0.95,2)-M560),-M560))</f>
        <v>#VALUE!</v>
      </c>
      <c r="S560" s="71"/>
      <c r="T560" s="89" t="str">
        <f t="shared" ref="T560:T568" si="228">IF(AND(P560=""),"",IF(AND(C560&gt;F560),IF(AND(P560="T1"),"a","r"),IF(AND(P560="T2"),"a","r")))</f>
        <v>a</v>
      </c>
      <c r="U560" s="71"/>
      <c r="V560" s="175"/>
      <c r="W560" s="29"/>
    </row>
    <row r="561" spans="1:23" ht="15.75" customHeight="1" x14ac:dyDescent="0.25">
      <c r="A561" s="179"/>
      <c r="B561" s="168"/>
      <c r="C561" s="90"/>
      <c r="D561" s="139" t="s">
        <v>84</v>
      </c>
      <c r="E561" s="139" t="s">
        <v>66</v>
      </c>
      <c r="F561" s="16" t="str">
        <f t="shared" si="223"/>
        <v/>
      </c>
      <c r="G561" s="16">
        <v>2.75</v>
      </c>
      <c r="H561" s="16">
        <v>1.4</v>
      </c>
      <c r="I561" s="16" t="str">
        <f t="shared" si="224"/>
        <v/>
      </c>
      <c r="J561" s="16" t="str">
        <f t="shared" si="225"/>
        <v/>
      </c>
      <c r="K561" s="16" t="str">
        <f t="shared" si="221"/>
        <v/>
      </c>
      <c r="L561" s="16" t="str">
        <f t="shared" si="222"/>
        <v/>
      </c>
      <c r="M561" s="91" t="str">
        <f t="shared" si="226"/>
        <v/>
      </c>
      <c r="N561" s="173"/>
      <c r="O561" s="74"/>
      <c r="P561" s="87" t="s">
        <v>96</v>
      </c>
      <c r="Q561" s="71"/>
      <c r="R561" s="88" t="e">
        <f t="shared" si="227"/>
        <v>#VALUE!</v>
      </c>
      <c r="S561" s="71"/>
      <c r="T561" s="89" t="str">
        <f t="shared" si="228"/>
        <v>a</v>
      </c>
      <c r="U561" s="71"/>
      <c r="V561" s="175"/>
      <c r="W561" s="29"/>
    </row>
    <row r="562" spans="1:23" ht="15.75" customHeight="1" x14ac:dyDescent="0.25">
      <c r="A562" s="179"/>
      <c r="B562" s="168"/>
      <c r="C562" s="84"/>
      <c r="D562" s="137" t="s">
        <v>92</v>
      </c>
      <c r="E562" s="137" t="s">
        <v>91</v>
      </c>
      <c r="F562" s="85" t="str">
        <f t="shared" si="223"/>
        <v/>
      </c>
      <c r="G562" s="85">
        <v>1.8</v>
      </c>
      <c r="H562" s="85">
        <v>1.9</v>
      </c>
      <c r="I562" s="85" t="str">
        <f t="shared" si="224"/>
        <v/>
      </c>
      <c r="J562" s="85" t="str">
        <f t="shared" si="225"/>
        <v/>
      </c>
      <c r="K562" s="85" t="str">
        <f t="shared" si="221"/>
        <v/>
      </c>
      <c r="L562" s="85" t="str">
        <f t="shared" si="222"/>
        <v/>
      </c>
      <c r="M562" s="86" t="str">
        <f t="shared" si="226"/>
        <v/>
      </c>
      <c r="N562" s="173"/>
      <c r="O562" s="92"/>
      <c r="P562" s="87" t="s">
        <v>95</v>
      </c>
      <c r="Q562" s="71"/>
      <c r="R562" s="88" t="e">
        <f t="shared" si="227"/>
        <v>#VALUE!</v>
      </c>
      <c r="S562" s="71"/>
      <c r="T562" s="89" t="str">
        <f t="shared" si="228"/>
        <v>r</v>
      </c>
      <c r="U562" s="71"/>
      <c r="V562" s="175"/>
      <c r="W562" s="29"/>
    </row>
    <row r="563" spans="1:23" ht="15.75" customHeight="1" x14ac:dyDescent="0.25">
      <c r="A563" s="179"/>
      <c r="B563" s="168"/>
      <c r="C563" s="90"/>
      <c r="D563" s="139">
        <v>100</v>
      </c>
      <c r="E563" s="139" t="s">
        <v>74</v>
      </c>
      <c r="F563" s="16" t="str">
        <f t="shared" si="223"/>
        <v/>
      </c>
      <c r="G563" s="16">
        <v>1.57</v>
      </c>
      <c r="H563" s="16">
        <v>2.25</v>
      </c>
      <c r="I563" s="16" t="str">
        <f t="shared" si="224"/>
        <v/>
      </c>
      <c r="J563" s="16" t="str">
        <f t="shared" si="225"/>
        <v/>
      </c>
      <c r="K563" s="16" t="str">
        <f t="shared" si="221"/>
        <v/>
      </c>
      <c r="L563" s="16" t="str">
        <f t="shared" si="222"/>
        <v/>
      </c>
      <c r="M563" s="105" t="str">
        <f t="shared" si="226"/>
        <v/>
      </c>
      <c r="N563" s="173"/>
      <c r="O563" s="92"/>
      <c r="P563" s="87" t="s">
        <v>95</v>
      </c>
      <c r="Q563" s="71"/>
      <c r="R563" s="88" t="e">
        <f t="shared" si="227"/>
        <v>#VALUE!</v>
      </c>
      <c r="S563" s="71"/>
      <c r="T563" s="89" t="str">
        <f t="shared" si="228"/>
        <v>r</v>
      </c>
      <c r="U563" s="71"/>
      <c r="V563" s="175"/>
      <c r="W563" s="29"/>
    </row>
    <row r="564" spans="1:23" ht="15.75" customHeight="1" x14ac:dyDescent="0.25">
      <c r="A564" s="179"/>
      <c r="B564" s="168"/>
      <c r="C564" s="84"/>
      <c r="D564" s="137" t="s">
        <v>72</v>
      </c>
      <c r="E564" s="137" t="s">
        <v>69</v>
      </c>
      <c r="F564" s="85" t="str">
        <f t="shared" si="223"/>
        <v/>
      </c>
      <c r="G564" s="85">
        <v>1.5</v>
      </c>
      <c r="H564" s="85">
        <v>2.5</v>
      </c>
      <c r="I564" s="85" t="str">
        <f t="shared" si="224"/>
        <v/>
      </c>
      <c r="J564" s="85" t="str">
        <f t="shared" si="225"/>
        <v/>
      </c>
      <c r="K564" s="85" t="str">
        <f t="shared" si="221"/>
        <v/>
      </c>
      <c r="L564" s="85" t="str">
        <f t="shared" si="222"/>
        <v/>
      </c>
      <c r="M564" s="86" t="str">
        <f t="shared" si="226"/>
        <v/>
      </c>
      <c r="N564" s="173"/>
      <c r="O564" s="92"/>
      <c r="P564" s="87" t="s">
        <v>96</v>
      </c>
      <c r="Q564" s="71"/>
      <c r="R564" s="88" t="e">
        <f t="shared" si="227"/>
        <v>#VALUE!</v>
      </c>
      <c r="S564" s="71"/>
      <c r="T564" s="89" t="str">
        <f t="shared" si="228"/>
        <v>a</v>
      </c>
      <c r="U564" s="71"/>
      <c r="V564" s="175"/>
      <c r="W564" s="29"/>
    </row>
    <row r="565" spans="1:23" ht="15.75" customHeight="1" thickBot="1" x14ac:dyDescent="0.3">
      <c r="A565" s="179"/>
      <c r="B565" s="168"/>
      <c r="C565" s="90"/>
      <c r="D565" s="139" t="s">
        <v>70</v>
      </c>
      <c r="E565" s="139" t="s">
        <v>74</v>
      </c>
      <c r="F565" s="16" t="str">
        <f t="shared" si="223"/>
        <v/>
      </c>
      <c r="G565" s="16">
        <v>1.72</v>
      </c>
      <c r="H565" s="16">
        <v>2</v>
      </c>
      <c r="I565" s="16" t="str">
        <f t="shared" si="224"/>
        <v/>
      </c>
      <c r="J565" s="16" t="str">
        <f t="shared" si="225"/>
        <v/>
      </c>
      <c r="K565" s="16" t="str">
        <f t="shared" si="221"/>
        <v/>
      </c>
      <c r="L565" s="16" t="str">
        <f t="shared" si="222"/>
        <v/>
      </c>
      <c r="M565" s="91" t="str">
        <f t="shared" si="226"/>
        <v/>
      </c>
      <c r="N565" s="173"/>
      <c r="O565" s="29"/>
      <c r="P565" s="87" t="s">
        <v>95</v>
      </c>
      <c r="Q565" s="71"/>
      <c r="R565" s="88" t="e">
        <f t="shared" si="227"/>
        <v>#VALUE!</v>
      </c>
      <c r="S565" s="71"/>
      <c r="T565" s="89" t="str">
        <f t="shared" si="228"/>
        <v>r</v>
      </c>
      <c r="U565" s="71"/>
      <c r="V565" s="93" t="s">
        <v>31</v>
      </c>
      <c r="W565" s="29"/>
    </row>
    <row r="566" spans="1:23" ht="16.5" customHeight="1" x14ac:dyDescent="0.25">
      <c r="A566" s="179"/>
      <c r="B566" s="168"/>
      <c r="C566" s="84"/>
      <c r="D566" s="137" t="s">
        <v>67</v>
      </c>
      <c r="E566" s="137" t="s">
        <v>91</v>
      </c>
      <c r="F566" s="85" t="str">
        <f t="shared" si="223"/>
        <v/>
      </c>
      <c r="G566" s="85">
        <v>2.2000000000000002</v>
      </c>
      <c r="H566" s="85">
        <v>1.61</v>
      </c>
      <c r="I566" s="85" t="str">
        <f t="shared" si="224"/>
        <v/>
      </c>
      <c r="J566" s="85" t="str">
        <f t="shared" si="225"/>
        <v/>
      </c>
      <c r="K566" s="85" t="str">
        <f t="shared" si="221"/>
        <v/>
      </c>
      <c r="L566" s="85" t="str">
        <f t="shared" si="222"/>
        <v/>
      </c>
      <c r="M566" s="106" t="str">
        <f t="shared" si="226"/>
        <v/>
      </c>
      <c r="N566" s="173"/>
      <c r="O566" s="29"/>
      <c r="P566" s="87" t="s">
        <v>96</v>
      </c>
      <c r="Q566" s="71"/>
      <c r="R566" s="88" t="e">
        <f t="shared" si="227"/>
        <v>#VALUE!</v>
      </c>
      <c r="S566" s="71"/>
      <c r="T566" s="89" t="str">
        <f t="shared" si="228"/>
        <v>a</v>
      </c>
      <c r="U566" s="71"/>
      <c r="V566" s="176">
        <f>IF(AND(NOT(N559=0)),V559/N559,0)</f>
        <v>0</v>
      </c>
      <c r="W566" s="29"/>
    </row>
    <row r="567" spans="1:23" ht="18" x14ac:dyDescent="0.25">
      <c r="A567" s="179"/>
      <c r="B567" s="168"/>
      <c r="C567" s="90"/>
      <c r="D567" s="139" t="s">
        <v>92</v>
      </c>
      <c r="E567" s="139" t="s">
        <v>66</v>
      </c>
      <c r="F567" s="16" t="str">
        <f t="shared" si="223"/>
        <v/>
      </c>
      <c r="G567" s="16">
        <v>1.83</v>
      </c>
      <c r="H567" s="16">
        <v>1.83</v>
      </c>
      <c r="I567" s="16" t="str">
        <f t="shared" si="224"/>
        <v/>
      </c>
      <c r="J567" s="16" t="str">
        <f t="shared" si="225"/>
        <v/>
      </c>
      <c r="K567" s="16" t="str">
        <f t="shared" si="221"/>
        <v/>
      </c>
      <c r="L567" s="16" t="str">
        <f t="shared" si="222"/>
        <v/>
      </c>
      <c r="M567" s="105" t="str">
        <f t="shared" si="226"/>
        <v/>
      </c>
      <c r="N567" s="173"/>
      <c r="O567" s="29"/>
      <c r="P567" s="87" t="s">
        <v>95</v>
      </c>
      <c r="Q567" s="71"/>
      <c r="R567" s="88" t="e">
        <f t="shared" si="227"/>
        <v>#VALUE!</v>
      </c>
      <c r="S567" s="71"/>
      <c r="T567" s="89" t="str">
        <f t="shared" si="228"/>
        <v>r</v>
      </c>
      <c r="U567" s="71"/>
      <c r="V567" s="177"/>
      <c r="W567" s="29"/>
    </row>
    <row r="568" spans="1:23" ht="18.75" thickBot="1" x14ac:dyDescent="0.3">
      <c r="A568" s="180"/>
      <c r="B568" s="169"/>
      <c r="C568" s="94"/>
      <c r="D568" s="149" t="s">
        <v>84</v>
      </c>
      <c r="E568" s="149">
        <v>100</v>
      </c>
      <c r="F568" s="95" t="str">
        <f t="shared" si="223"/>
        <v/>
      </c>
      <c r="G568" s="95">
        <v>2.2000000000000002</v>
      </c>
      <c r="H568" s="95">
        <v>1.61</v>
      </c>
      <c r="I568" s="95" t="str">
        <f t="shared" si="224"/>
        <v/>
      </c>
      <c r="J568" s="95" t="str">
        <f t="shared" si="225"/>
        <v/>
      </c>
      <c r="K568" s="95" t="str">
        <f t="shared" si="221"/>
        <v/>
      </c>
      <c r="L568" s="95" t="str">
        <f t="shared" si="222"/>
        <v/>
      </c>
      <c r="M568" s="96" t="str">
        <f t="shared" si="226"/>
        <v/>
      </c>
      <c r="N568" s="174"/>
      <c r="O568" s="29"/>
      <c r="P568" s="97" t="s">
        <v>96</v>
      </c>
      <c r="Q568" s="29"/>
      <c r="R568" s="98" t="e">
        <f t="shared" si="227"/>
        <v>#VALUE!</v>
      </c>
      <c r="S568" s="29"/>
      <c r="T568" s="99" t="str">
        <f t="shared" si="228"/>
        <v>a</v>
      </c>
      <c r="U568" s="29"/>
      <c r="V568" s="178"/>
      <c r="W568" s="29"/>
    </row>
    <row r="569" spans="1:23" x14ac:dyDescent="0.25">
      <c r="A569" s="29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31"/>
      <c r="S569" s="29"/>
      <c r="T569" s="29"/>
      <c r="U569" s="29"/>
      <c r="V569" s="32"/>
      <c r="W569" s="29"/>
    </row>
    <row r="570" spans="1:23" x14ac:dyDescent="0.25">
      <c r="A570" s="29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31"/>
      <c r="S570" s="29"/>
      <c r="T570" s="29"/>
      <c r="U570" s="29"/>
      <c r="V570" s="32"/>
      <c r="W570" s="29"/>
    </row>
    <row r="571" spans="1:23" ht="16.5" thickBot="1" x14ac:dyDescent="0.3">
      <c r="A571" s="29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31"/>
      <c r="S571" s="29"/>
      <c r="T571" s="29"/>
      <c r="U571" s="29"/>
      <c r="V571" s="32"/>
      <c r="W571" s="29"/>
    </row>
    <row r="572" spans="1:23" ht="22.5" customHeight="1" thickBot="1" x14ac:dyDescent="0.3">
      <c r="A572" s="114" t="s">
        <v>6</v>
      </c>
      <c r="B572" s="167" t="s">
        <v>27</v>
      </c>
      <c r="C572" s="72" t="s">
        <v>49</v>
      </c>
      <c r="D572" s="72" t="s">
        <v>9</v>
      </c>
      <c r="E572" s="72" t="s">
        <v>10</v>
      </c>
      <c r="F572" s="72" t="s">
        <v>11</v>
      </c>
      <c r="G572" s="72" t="s">
        <v>12</v>
      </c>
      <c r="H572" s="72" t="s">
        <v>13</v>
      </c>
      <c r="I572" s="72" t="s">
        <v>14</v>
      </c>
      <c r="J572" s="72" t="s">
        <v>15</v>
      </c>
      <c r="K572" s="72" t="s">
        <v>34</v>
      </c>
      <c r="L572" s="72" t="s">
        <v>16</v>
      </c>
      <c r="M572" s="72" t="s">
        <v>48</v>
      </c>
      <c r="N572" s="73" t="s">
        <v>17</v>
      </c>
      <c r="O572" s="74"/>
      <c r="P572" s="75" t="s">
        <v>18</v>
      </c>
      <c r="Q572" s="71"/>
      <c r="R572" s="76" t="s">
        <v>35</v>
      </c>
      <c r="S572" s="71"/>
      <c r="T572" s="75" t="s">
        <v>36</v>
      </c>
      <c r="U572" s="71"/>
      <c r="V572" s="77" t="s">
        <v>29</v>
      </c>
      <c r="W572" s="29"/>
    </row>
    <row r="573" spans="1:23" ht="15.75" customHeight="1" x14ac:dyDescent="0.25">
      <c r="A573" s="115"/>
      <c r="B573" s="168"/>
      <c r="C573" s="78"/>
      <c r="D573" s="135">
        <v>100</v>
      </c>
      <c r="E573" s="135" t="s">
        <v>67</v>
      </c>
      <c r="F573" s="79" t="str">
        <f>IF(AND(C573=""),"",1-C573)</f>
        <v/>
      </c>
      <c r="G573" s="79">
        <v>2</v>
      </c>
      <c r="H573" s="79">
        <v>1.72</v>
      </c>
      <c r="I573" s="79" t="str">
        <f>IF(AND(C573=""),"",G573*C573)</f>
        <v/>
      </c>
      <c r="J573" s="79" t="str">
        <f>IF(AND(C573=""),"",H573*F573)</f>
        <v/>
      </c>
      <c r="K573" s="79" t="str">
        <f t="shared" ref="K573:K582" si="229">IF(AND(I573=""),"",IF(AND(I573&gt;J573),"T1","T2"))</f>
        <v/>
      </c>
      <c r="L573" s="79" t="str">
        <f t="shared" ref="L573:L582" si="230">IF(AND(J573=""),"",IF(AND(J573&gt;K573),"T1","T2"))</f>
        <v/>
      </c>
      <c r="M573" s="80" t="str">
        <f>IF(L573="","",IF(L573&lt;0.5,K$5*M$2,IF(L573&lt;0.75,K$5*M$3,IF(L573&lt;1,K$5*M$4,IF(L573&lt;1.25,K$5*M$5,IF(L573&lt;1.5,K$5*M$6,IF(L573&lt;2,K$5*M$7,IF(L573&lt;2.5,K$5*M$8,K$5*M$9))))))))</f>
        <v/>
      </c>
      <c r="N573" s="172">
        <f>SUMIF(L573:L582,"&gt;0")</f>
        <v>0</v>
      </c>
      <c r="O573" s="74"/>
      <c r="P573" s="81" t="s">
        <v>95</v>
      </c>
      <c r="Q573" s="74"/>
      <c r="R573" s="82" t="e">
        <f>IF(OR(P573="",L573="NO BET"),0,IF(AND(K573=P573),IF(AND(K573="T2"),ROUNDUP(H573*0.95,2)-M573,ROUNDUP(G573*0.95,2)-M573),-M573))</f>
        <v>#VALUE!</v>
      </c>
      <c r="S573" s="71"/>
      <c r="T573" s="83" t="str">
        <f>IF(AND(P573=""),"",IF(AND(C573&gt;F573),IF(AND(P573="T1"),"a","r"),IF(AND(P573="T2"),"a","r")))</f>
        <v>r</v>
      </c>
      <c r="U573" s="71"/>
      <c r="V573" s="175" t="e">
        <f>SUM(R573:R582)</f>
        <v>#VALUE!</v>
      </c>
      <c r="W573" s="29"/>
    </row>
    <row r="574" spans="1:23" ht="15.75" customHeight="1" x14ac:dyDescent="0.25">
      <c r="A574" s="179" t="s">
        <v>7</v>
      </c>
      <c r="B574" s="168"/>
      <c r="C574" s="84"/>
      <c r="D574" s="137" t="s">
        <v>70</v>
      </c>
      <c r="E574" s="137" t="s">
        <v>72</v>
      </c>
      <c r="F574" s="85" t="str">
        <f t="shared" ref="F574:F582" si="231">IF(AND(C574=""),"",1-C574)</f>
        <v/>
      </c>
      <c r="G574" s="85">
        <v>3</v>
      </c>
      <c r="H574" s="85">
        <v>1.36</v>
      </c>
      <c r="I574" s="85" t="str">
        <f t="shared" ref="I574:I582" si="232">IF(AND(C574=""),"",G574*C574)</f>
        <v/>
      </c>
      <c r="J574" s="85" t="str">
        <f t="shared" ref="J574:J582" si="233">IF(AND(C574=""),"",H574*F574)</f>
        <v/>
      </c>
      <c r="K574" s="85" t="str">
        <f t="shared" si="229"/>
        <v/>
      </c>
      <c r="L574" s="85" t="str">
        <f t="shared" si="230"/>
        <v/>
      </c>
      <c r="M574" s="86" t="str">
        <f t="shared" ref="M574:M582" si="234">IF(L574="","",IF(L574&lt;0.5,K$5*M$2,IF(L574&lt;0.75,K$5*M$3,IF(L574&lt;1,K$5*M$4,IF(L574&lt;1.25,K$5*M$5,IF(L574&lt;1.5,K$5*M$6,IF(L574&lt;2,K$5*M$7,IF(L574&lt;2.5,K$5*M$8,K$5*M$9))))))))</f>
        <v/>
      </c>
      <c r="N574" s="173"/>
      <c r="O574" s="29"/>
      <c r="P574" s="87" t="s">
        <v>96</v>
      </c>
      <c r="Q574" s="71"/>
      <c r="R574" s="88" t="e">
        <f t="shared" ref="R574:R582" si="235">IF(OR(P574="",L574="NO BET"),0,IF(AND(K574=P574),IF(AND(K574="T2"),ROUNDUP(H574*M574*0.95,2)-1,ROUNDUP(G574*M574*0.95,2)-M574),-M574))</f>
        <v>#VALUE!</v>
      </c>
      <c r="S574" s="71"/>
      <c r="T574" s="89" t="str">
        <f t="shared" ref="T574:T582" si="236">IF(AND(P574=""),"",IF(AND(C574&gt;F574),IF(AND(P574="T1"),"a","r"),IF(AND(P574="T2"),"a","r")))</f>
        <v>a</v>
      </c>
      <c r="U574" s="71"/>
      <c r="V574" s="175"/>
      <c r="W574" s="29"/>
    </row>
    <row r="575" spans="1:23" ht="15.75" customHeight="1" x14ac:dyDescent="0.25">
      <c r="A575" s="179"/>
      <c r="B575" s="168"/>
      <c r="C575" s="90"/>
      <c r="D575" s="139" t="s">
        <v>91</v>
      </c>
      <c r="E575" s="139" t="s">
        <v>66</v>
      </c>
      <c r="F575" s="16" t="str">
        <f t="shared" si="231"/>
        <v/>
      </c>
      <c r="G575" s="16">
        <v>2.37</v>
      </c>
      <c r="H575" s="16">
        <v>1.53</v>
      </c>
      <c r="I575" s="16" t="str">
        <f t="shared" si="232"/>
        <v/>
      </c>
      <c r="J575" s="16" t="str">
        <f t="shared" si="233"/>
        <v/>
      </c>
      <c r="K575" s="16" t="str">
        <f t="shared" si="229"/>
        <v/>
      </c>
      <c r="L575" s="16" t="str">
        <f t="shared" si="230"/>
        <v/>
      </c>
      <c r="M575" s="91" t="str">
        <f t="shared" si="234"/>
        <v/>
      </c>
      <c r="N575" s="173"/>
      <c r="O575" s="74"/>
      <c r="P575" s="87" t="s">
        <v>95</v>
      </c>
      <c r="Q575" s="71"/>
      <c r="R575" s="88" t="e">
        <f t="shared" si="235"/>
        <v>#VALUE!</v>
      </c>
      <c r="S575" s="71"/>
      <c r="T575" s="89" t="str">
        <f t="shared" si="236"/>
        <v>r</v>
      </c>
      <c r="U575" s="71"/>
      <c r="V575" s="175"/>
      <c r="W575" s="29"/>
    </row>
    <row r="576" spans="1:23" ht="15.75" customHeight="1" x14ac:dyDescent="0.25">
      <c r="A576" s="179"/>
      <c r="B576" s="168"/>
      <c r="C576" s="84"/>
      <c r="D576" s="137" t="s">
        <v>74</v>
      </c>
      <c r="E576" s="137" t="s">
        <v>92</v>
      </c>
      <c r="F576" s="85" t="str">
        <f t="shared" si="231"/>
        <v/>
      </c>
      <c r="G576" s="85">
        <v>3.25</v>
      </c>
      <c r="H576" s="85">
        <v>1.33</v>
      </c>
      <c r="I576" s="85" t="str">
        <f t="shared" si="232"/>
        <v/>
      </c>
      <c r="J576" s="85" t="str">
        <f t="shared" si="233"/>
        <v/>
      </c>
      <c r="K576" s="85" t="str">
        <f t="shared" si="229"/>
        <v/>
      </c>
      <c r="L576" s="85" t="str">
        <f t="shared" si="230"/>
        <v/>
      </c>
      <c r="M576" s="86" t="str">
        <f t="shared" si="234"/>
        <v/>
      </c>
      <c r="N576" s="173"/>
      <c r="O576" s="92"/>
      <c r="P576" s="87" t="s">
        <v>96</v>
      </c>
      <c r="Q576" s="71"/>
      <c r="R576" s="88" t="e">
        <f t="shared" si="235"/>
        <v>#VALUE!</v>
      </c>
      <c r="S576" s="71"/>
      <c r="T576" s="89" t="str">
        <f t="shared" si="236"/>
        <v>a</v>
      </c>
      <c r="U576" s="71"/>
      <c r="V576" s="175"/>
      <c r="W576" s="29"/>
    </row>
    <row r="577" spans="1:23" ht="15.75" customHeight="1" x14ac:dyDescent="0.25">
      <c r="A577" s="179"/>
      <c r="B577" s="168"/>
      <c r="C577" s="90"/>
      <c r="D577" s="139" t="s">
        <v>69</v>
      </c>
      <c r="E577" s="139" t="s">
        <v>84</v>
      </c>
      <c r="F577" s="16" t="str">
        <f t="shared" si="231"/>
        <v/>
      </c>
      <c r="G577" s="16">
        <v>1.5</v>
      </c>
      <c r="H577" s="16">
        <v>2.5</v>
      </c>
      <c r="I577" s="16" t="str">
        <f t="shared" si="232"/>
        <v/>
      </c>
      <c r="J577" s="16" t="str">
        <f t="shared" si="233"/>
        <v/>
      </c>
      <c r="K577" s="16" t="str">
        <f t="shared" si="229"/>
        <v/>
      </c>
      <c r="L577" s="16" t="str">
        <f t="shared" si="230"/>
        <v/>
      </c>
      <c r="M577" s="105" t="str">
        <f t="shared" si="234"/>
        <v/>
      </c>
      <c r="N577" s="173"/>
      <c r="O577" s="92"/>
      <c r="P577" s="87" t="s">
        <v>96</v>
      </c>
      <c r="Q577" s="71"/>
      <c r="R577" s="88" t="e">
        <f t="shared" si="235"/>
        <v>#VALUE!</v>
      </c>
      <c r="S577" s="71"/>
      <c r="T577" s="89" t="str">
        <f t="shared" si="236"/>
        <v>a</v>
      </c>
      <c r="U577" s="71"/>
      <c r="V577" s="175"/>
      <c r="W577" s="29"/>
    </row>
    <row r="578" spans="1:23" ht="15.75" customHeight="1" x14ac:dyDescent="0.25">
      <c r="A578" s="179"/>
      <c r="B578" s="168"/>
      <c r="C578" s="84"/>
      <c r="D578" s="137" t="s">
        <v>66</v>
      </c>
      <c r="E578" s="137" t="s">
        <v>70</v>
      </c>
      <c r="F578" s="85" t="str">
        <f t="shared" si="231"/>
        <v/>
      </c>
      <c r="G578" s="85">
        <v>1.36</v>
      </c>
      <c r="H578" s="85">
        <v>3</v>
      </c>
      <c r="I578" s="85" t="str">
        <f t="shared" si="232"/>
        <v/>
      </c>
      <c r="J578" s="85" t="str">
        <f t="shared" si="233"/>
        <v/>
      </c>
      <c r="K578" s="85" t="str">
        <f t="shared" si="229"/>
        <v/>
      </c>
      <c r="L578" s="85" t="str">
        <f t="shared" si="230"/>
        <v/>
      </c>
      <c r="M578" s="86" t="str">
        <f t="shared" si="234"/>
        <v/>
      </c>
      <c r="N578" s="173"/>
      <c r="O578" s="92"/>
      <c r="P578" s="87" t="s">
        <v>96</v>
      </c>
      <c r="Q578" s="71"/>
      <c r="R578" s="88" t="e">
        <f t="shared" si="235"/>
        <v>#VALUE!</v>
      </c>
      <c r="S578" s="71"/>
      <c r="T578" s="89" t="str">
        <f t="shared" si="236"/>
        <v>a</v>
      </c>
      <c r="U578" s="71"/>
      <c r="V578" s="175"/>
      <c r="W578" s="29"/>
    </row>
    <row r="579" spans="1:23" ht="18.75" thickBot="1" x14ac:dyDescent="0.3">
      <c r="A579" s="179"/>
      <c r="B579" s="168"/>
      <c r="C579" s="90"/>
      <c r="D579" s="139" t="s">
        <v>74</v>
      </c>
      <c r="E579" s="139" t="s">
        <v>67</v>
      </c>
      <c r="F579" s="16" t="str">
        <f t="shared" si="231"/>
        <v/>
      </c>
      <c r="G579" s="16">
        <v>3.75</v>
      </c>
      <c r="H579" s="16">
        <v>1.25</v>
      </c>
      <c r="I579" s="16" t="str">
        <f t="shared" si="232"/>
        <v/>
      </c>
      <c r="J579" s="16" t="str">
        <f t="shared" si="233"/>
        <v/>
      </c>
      <c r="K579" s="16" t="str">
        <f t="shared" si="229"/>
        <v/>
      </c>
      <c r="L579" s="16" t="str">
        <f t="shared" si="230"/>
        <v/>
      </c>
      <c r="M579" s="91" t="str">
        <f t="shared" si="234"/>
        <v/>
      </c>
      <c r="N579" s="173"/>
      <c r="O579" s="29"/>
      <c r="P579" s="87" t="s">
        <v>96</v>
      </c>
      <c r="Q579" s="71"/>
      <c r="R579" s="88" t="e">
        <f t="shared" si="235"/>
        <v>#VALUE!</v>
      </c>
      <c r="S579" s="71"/>
      <c r="T579" s="89" t="str">
        <f t="shared" si="236"/>
        <v>a</v>
      </c>
      <c r="U579" s="71"/>
      <c r="V579" s="93" t="s">
        <v>31</v>
      </c>
      <c r="W579" s="29"/>
    </row>
    <row r="580" spans="1:23" ht="16.5" customHeight="1" x14ac:dyDescent="0.25">
      <c r="A580" s="179"/>
      <c r="B580" s="168"/>
      <c r="C580" s="84"/>
      <c r="D580" s="137" t="s">
        <v>69</v>
      </c>
      <c r="E580" s="137" t="s">
        <v>92</v>
      </c>
      <c r="F580" s="85" t="str">
        <f t="shared" si="231"/>
        <v/>
      </c>
      <c r="G580" s="85">
        <v>2</v>
      </c>
      <c r="H580" s="85">
        <v>1.72</v>
      </c>
      <c r="I580" s="85" t="str">
        <f t="shared" si="232"/>
        <v/>
      </c>
      <c r="J580" s="85" t="str">
        <f t="shared" si="233"/>
        <v/>
      </c>
      <c r="K580" s="85" t="str">
        <f t="shared" si="229"/>
        <v/>
      </c>
      <c r="L580" s="85" t="str">
        <f t="shared" si="230"/>
        <v/>
      </c>
      <c r="M580" s="106" t="str">
        <f t="shared" si="234"/>
        <v/>
      </c>
      <c r="N580" s="173"/>
      <c r="O580" s="29"/>
      <c r="P580" s="87" t="s">
        <v>96</v>
      </c>
      <c r="Q580" s="71"/>
      <c r="R580" s="88" t="e">
        <f t="shared" si="235"/>
        <v>#VALUE!</v>
      </c>
      <c r="S580" s="71"/>
      <c r="T580" s="89" t="str">
        <f t="shared" si="236"/>
        <v>a</v>
      </c>
      <c r="U580" s="71"/>
      <c r="V580" s="176">
        <f>IF(AND(NOT(N573=0)),V573/N573,0)</f>
        <v>0</v>
      </c>
      <c r="W580" s="29"/>
    </row>
    <row r="581" spans="1:23" ht="15.75" customHeight="1" x14ac:dyDescent="0.25">
      <c r="A581" s="179"/>
      <c r="B581" s="168"/>
      <c r="C581" s="90"/>
      <c r="D581" s="139" t="s">
        <v>72</v>
      </c>
      <c r="E581" s="139">
        <v>100</v>
      </c>
      <c r="F581" s="16" t="str">
        <f t="shared" si="231"/>
        <v/>
      </c>
      <c r="G581" s="16">
        <v>1.61</v>
      </c>
      <c r="H581" s="16">
        <v>2.2000000000000002</v>
      </c>
      <c r="I581" s="16" t="str">
        <f t="shared" si="232"/>
        <v/>
      </c>
      <c r="J581" s="16" t="str">
        <f t="shared" si="233"/>
        <v/>
      </c>
      <c r="K581" s="16" t="str">
        <f t="shared" si="229"/>
        <v/>
      </c>
      <c r="L581" s="16" t="str">
        <f t="shared" si="230"/>
        <v/>
      </c>
      <c r="M581" s="105" t="str">
        <f t="shared" si="234"/>
        <v/>
      </c>
      <c r="N581" s="173"/>
      <c r="O581" s="29"/>
      <c r="P581" s="87" t="s">
        <v>96</v>
      </c>
      <c r="Q581" s="71"/>
      <c r="R581" s="88" t="e">
        <f t="shared" si="235"/>
        <v>#VALUE!</v>
      </c>
      <c r="S581" s="71"/>
      <c r="T581" s="89" t="str">
        <f t="shared" si="236"/>
        <v>a</v>
      </c>
      <c r="U581" s="71"/>
      <c r="V581" s="177"/>
      <c r="W581" s="29"/>
    </row>
    <row r="582" spans="1:23" ht="15.75" customHeight="1" thickBot="1" x14ac:dyDescent="0.3">
      <c r="A582" s="180"/>
      <c r="B582" s="169"/>
      <c r="C582" s="94"/>
      <c r="D582" s="149" t="s">
        <v>91</v>
      </c>
      <c r="E582" s="149" t="s">
        <v>84</v>
      </c>
      <c r="F582" s="95" t="str">
        <f t="shared" si="231"/>
        <v/>
      </c>
      <c r="G582" s="95">
        <v>1.36</v>
      </c>
      <c r="H582" s="95">
        <v>3</v>
      </c>
      <c r="I582" s="95" t="str">
        <f t="shared" si="232"/>
        <v/>
      </c>
      <c r="J582" s="95" t="str">
        <f t="shared" si="233"/>
        <v/>
      </c>
      <c r="K582" s="95" t="str">
        <f t="shared" si="229"/>
        <v/>
      </c>
      <c r="L582" s="95" t="str">
        <f t="shared" si="230"/>
        <v/>
      </c>
      <c r="M582" s="96" t="str">
        <f t="shared" si="234"/>
        <v/>
      </c>
      <c r="N582" s="174"/>
      <c r="O582" s="29"/>
      <c r="P582" s="97" t="s">
        <v>95</v>
      </c>
      <c r="Q582" s="29"/>
      <c r="R582" s="98" t="e">
        <f t="shared" si="235"/>
        <v>#VALUE!</v>
      </c>
      <c r="S582" s="29"/>
      <c r="T582" s="99" t="str">
        <f t="shared" si="236"/>
        <v>r</v>
      </c>
      <c r="U582" s="29"/>
      <c r="V582" s="178"/>
      <c r="W582" s="29"/>
    </row>
    <row r="583" spans="1:23" ht="15.75" customHeight="1" x14ac:dyDescent="0.25">
      <c r="A583" s="29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31"/>
      <c r="S583" s="29"/>
      <c r="T583" s="29"/>
      <c r="U583" s="29"/>
      <c r="V583" s="32"/>
      <c r="W583" s="29"/>
    </row>
    <row r="584" spans="1:23" ht="15.75" customHeight="1" x14ac:dyDescent="0.25">
      <c r="A584" s="29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31"/>
      <c r="S584" s="29"/>
      <c r="T584" s="29"/>
      <c r="U584" s="29"/>
      <c r="V584" s="32"/>
      <c r="W584" s="29"/>
    </row>
    <row r="585" spans="1:23" ht="16.5" thickBot="1" x14ac:dyDescent="0.3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31"/>
      <c r="S585" s="29"/>
      <c r="T585" s="29"/>
      <c r="U585" s="29"/>
      <c r="V585" s="32"/>
      <c r="W585" s="29"/>
    </row>
    <row r="586" spans="1:23" ht="22.5" customHeight="1" thickBot="1" x14ac:dyDescent="0.3">
      <c r="A586" s="114" t="s">
        <v>6</v>
      </c>
      <c r="B586" s="167" t="s">
        <v>28</v>
      </c>
      <c r="C586" s="72" t="s">
        <v>49</v>
      </c>
      <c r="D586" s="72" t="s">
        <v>9</v>
      </c>
      <c r="E586" s="72" t="s">
        <v>10</v>
      </c>
      <c r="F586" s="72" t="s">
        <v>11</v>
      </c>
      <c r="G586" s="72" t="s">
        <v>12</v>
      </c>
      <c r="H586" s="72" t="s">
        <v>13</v>
      </c>
      <c r="I586" s="72" t="s">
        <v>14</v>
      </c>
      <c r="J586" s="72" t="s">
        <v>15</v>
      </c>
      <c r="K586" s="72" t="s">
        <v>34</v>
      </c>
      <c r="L586" s="72" t="s">
        <v>16</v>
      </c>
      <c r="M586" s="72" t="s">
        <v>48</v>
      </c>
      <c r="N586" s="73" t="s">
        <v>17</v>
      </c>
      <c r="O586" s="74"/>
      <c r="P586" s="75" t="s">
        <v>18</v>
      </c>
      <c r="Q586" s="71"/>
      <c r="R586" s="76" t="s">
        <v>35</v>
      </c>
      <c r="S586" s="71"/>
      <c r="T586" s="75" t="s">
        <v>36</v>
      </c>
      <c r="U586" s="71"/>
      <c r="V586" s="77" t="s">
        <v>29</v>
      </c>
      <c r="W586" s="29"/>
    </row>
    <row r="587" spans="1:23" ht="15.75" customHeight="1" x14ac:dyDescent="0.25">
      <c r="A587" s="115"/>
      <c r="B587" s="168"/>
      <c r="C587" s="78"/>
      <c r="D587" s="79"/>
      <c r="E587" s="79"/>
      <c r="F587" s="79" t="str">
        <f>IF(AND(C587=""),"",1-C587)</f>
        <v/>
      </c>
      <c r="G587" s="79"/>
      <c r="H587" s="79"/>
      <c r="I587" s="79" t="str">
        <f>IF(AND(C587=""),"",G587*C587)</f>
        <v/>
      </c>
      <c r="J587" s="79" t="str">
        <f>IF(AND(C587=""),"",H587*F587)</f>
        <v/>
      </c>
      <c r="K587" s="79" t="str">
        <f t="shared" ref="K587:K596" si="237">IF(AND(I587=""),"",IF(AND(I587&gt;J587),"T1","T2"))</f>
        <v/>
      </c>
      <c r="L587" s="79" t="str">
        <f t="shared" ref="L587:L596" si="238">IF(AND(J587=""),"",IF(AND(J587&gt;K587),"T1","T2"))</f>
        <v/>
      </c>
      <c r="M587" s="80" t="str">
        <f>IF(L587="","",IF(L587&lt;0.5,K$5*M$2,IF(L587&lt;0.75,K$5*M$3,IF(L587&lt;1,K$5*M$4,IF(L587&lt;1.25,K$5*M$5,IF(L587&lt;1.5,K$5*M$6,IF(L587&lt;2,K$5*M$7,IF(L587&lt;2.5,K$5*M$8,K$5*M$9))))))))</f>
        <v/>
      </c>
      <c r="N587" s="172">
        <f>SUMIF(L587:L596,"&gt;0")</f>
        <v>0</v>
      </c>
      <c r="O587" s="74"/>
      <c r="P587" s="81"/>
      <c r="Q587" s="74"/>
      <c r="R587" s="82">
        <f>IF(OR(P587="",L587="NO BET"),0,IF(AND(K587=P587),IF(AND(K587="T2"),ROUNDUP(H587*0.95,2)-M587,ROUNDUP(G587*0.95,2)-M587),-M587))</f>
        <v>0</v>
      </c>
      <c r="S587" s="71"/>
      <c r="T587" s="83" t="str">
        <f>IF(AND(P587=""),"",IF(AND(C587&gt;F587),IF(AND(P587="T1"),"a","r"),IF(AND(P587="T2"),"a","r")))</f>
        <v/>
      </c>
      <c r="U587" s="71"/>
      <c r="V587" s="175">
        <f>SUM(R587:R596)</f>
        <v>0</v>
      </c>
      <c r="W587" s="29"/>
    </row>
    <row r="588" spans="1:23" ht="15.75" customHeight="1" x14ac:dyDescent="0.25">
      <c r="A588" s="179" t="s">
        <v>7</v>
      </c>
      <c r="B588" s="168"/>
      <c r="C588" s="84"/>
      <c r="D588" s="85"/>
      <c r="E588" s="85"/>
      <c r="F588" s="85" t="str">
        <f t="shared" ref="F588:F596" si="239">IF(AND(C588=""),"",1-C588)</f>
        <v/>
      </c>
      <c r="G588" s="85"/>
      <c r="H588" s="85"/>
      <c r="I588" s="85" t="str">
        <f t="shared" ref="I588:I596" si="240">IF(AND(C588=""),"",G588*C588)</f>
        <v/>
      </c>
      <c r="J588" s="85" t="str">
        <f t="shared" ref="J588:J596" si="241">IF(AND(C588=""),"",H588*F588)</f>
        <v/>
      </c>
      <c r="K588" s="85" t="str">
        <f t="shared" si="237"/>
        <v/>
      </c>
      <c r="L588" s="85" t="str">
        <f t="shared" si="238"/>
        <v/>
      </c>
      <c r="M588" s="86" t="str">
        <f t="shared" ref="M588:M596" si="242">IF(L588="","",IF(L588&lt;0.5,K$5*M$2,IF(L588&lt;0.75,K$5*M$3,IF(L588&lt;1,K$5*M$4,IF(L588&lt;1.25,K$5*M$5,IF(L588&lt;1.5,K$5*M$6,IF(L588&lt;2,K$5*M$7,IF(L588&lt;2.5,K$5*M$8,K$5*M$9))))))))</f>
        <v/>
      </c>
      <c r="N588" s="173"/>
      <c r="O588" s="29"/>
      <c r="P588" s="87"/>
      <c r="Q588" s="71"/>
      <c r="R588" s="88">
        <f t="shared" ref="R588:R596" si="243">IF(OR(P588="",L588="NO BET"),0,IF(AND(K588=P588),IF(AND(K588="T2"),ROUNDUP(H588*M588*0.95,2)-1,ROUNDUP(G588*M588*0.95,2)-M588),-M588))</f>
        <v>0</v>
      </c>
      <c r="S588" s="71"/>
      <c r="T588" s="89" t="str">
        <f t="shared" ref="T588:T596" si="244">IF(AND(P588=""),"",IF(AND(C588&gt;F588),IF(AND(P588="T1"),"a","r"),IF(AND(P588="T2"),"a","r")))</f>
        <v/>
      </c>
      <c r="U588" s="71"/>
      <c r="V588" s="175"/>
      <c r="W588" s="29"/>
    </row>
    <row r="589" spans="1:23" ht="15.75" customHeight="1" x14ac:dyDescent="0.25">
      <c r="A589" s="179"/>
      <c r="B589" s="168"/>
      <c r="C589" s="90"/>
      <c r="D589" s="16"/>
      <c r="E589" s="16"/>
      <c r="F589" s="16" t="str">
        <f t="shared" si="239"/>
        <v/>
      </c>
      <c r="G589" s="16"/>
      <c r="H589" s="16"/>
      <c r="I589" s="16" t="str">
        <f t="shared" si="240"/>
        <v/>
      </c>
      <c r="J589" s="16" t="str">
        <f t="shared" si="241"/>
        <v/>
      </c>
      <c r="K589" s="16" t="str">
        <f t="shared" si="237"/>
        <v/>
      </c>
      <c r="L589" s="16" t="str">
        <f t="shared" si="238"/>
        <v/>
      </c>
      <c r="M589" s="91" t="str">
        <f t="shared" si="242"/>
        <v/>
      </c>
      <c r="N589" s="173"/>
      <c r="O589" s="74"/>
      <c r="P589" s="87"/>
      <c r="Q589" s="71"/>
      <c r="R589" s="88">
        <f t="shared" si="243"/>
        <v>0</v>
      </c>
      <c r="S589" s="71"/>
      <c r="T589" s="89" t="str">
        <f t="shared" si="244"/>
        <v/>
      </c>
      <c r="U589" s="71"/>
      <c r="V589" s="175"/>
      <c r="W589" s="29"/>
    </row>
    <row r="590" spans="1:23" ht="15.75" customHeight="1" x14ac:dyDescent="0.25">
      <c r="A590" s="179"/>
      <c r="B590" s="168"/>
      <c r="C590" s="84"/>
      <c r="D590" s="85"/>
      <c r="E590" s="85"/>
      <c r="F590" s="85" t="str">
        <f t="shared" si="239"/>
        <v/>
      </c>
      <c r="G590" s="85"/>
      <c r="H590" s="85"/>
      <c r="I590" s="85" t="str">
        <f t="shared" si="240"/>
        <v/>
      </c>
      <c r="J590" s="85" t="str">
        <f t="shared" si="241"/>
        <v/>
      </c>
      <c r="K590" s="85" t="str">
        <f t="shared" si="237"/>
        <v/>
      </c>
      <c r="L590" s="85" t="str">
        <f t="shared" si="238"/>
        <v/>
      </c>
      <c r="M590" s="86" t="str">
        <f t="shared" si="242"/>
        <v/>
      </c>
      <c r="N590" s="173"/>
      <c r="O590" s="92"/>
      <c r="P590" s="87"/>
      <c r="Q590" s="71"/>
      <c r="R590" s="88">
        <f t="shared" si="243"/>
        <v>0</v>
      </c>
      <c r="S590" s="71"/>
      <c r="T590" s="89" t="str">
        <f t="shared" si="244"/>
        <v/>
      </c>
      <c r="U590" s="71"/>
      <c r="V590" s="175"/>
      <c r="W590" s="29"/>
    </row>
    <row r="591" spans="1:23" ht="15.75" customHeight="1" x14ac:dyDescent="0.25">
      <c r="A591" s="179"/>
      <c r="B591" s="168"/>
      <c r="C591" s="90"/>
      <c r="D591" s="16"/>
      <c r="E591" s="16"/>
      <c r="F591" s="16" t="str">
        <f t="shared" si="239"/>
        <v/>
      </c>
      <c r="G591" s="16"/>
      <c r="H591" s="16"/>
      <c r="I591" s="16" t="str">
        <f t="shared" si="240"/>
        <v/>
      </c>
      <c r="J591" s="16" t="str">
        <f t="shared" si="241"/>
        <v/>
      </c>
      <c r="K591" s="16" t="str">
        <f t="shared" si="237"/>
        <v/>
      </c>
      <c r="L591" s="16" t="str">
        <f t="shared" si="238"/>
        <v/>
      </c>
      <c r="M591" s="105" t="str">
        <f t="shared" si="242"/>
        <v/>
      </c>
      <c r="N591" s="173"/>
      <c r="O591" s="92"/>
      <c r="P591" s="87"/>
      <c r="Q591" s="71"/>
      <c r="R591" s="88">
        <f t="shared" si="243"/>
        <v>0</v>
      </c>
      <c r="S591" s="71"/>
      <c r="T591" s="89" t="str">
        <f t="shared" si="244"/>
        <v/>
      </c>
      <c r="U591" s="71"/>
      <c r="V591" s="175"/>
      <c r="W591" s="29"/>
    </row>
    <row r="592" spans="1:23" ht="15.75" customHeight="1" x14ac:dyDescent="0.25">
      <c r="A592" s="179"/>
      <c r="B592" s="168"/>
      <c r="C592" s="84"/>
      <c r="D592" s="85"/>
      <c r="E592" s="85"/>
      <c r="F592" s="85" t="str">
        <f t="shared" si="239"/>
        <v/>
      </c>
      <c r="G592" s="85"/>
      <c r="H592" s="85"/>
      <c r="I592" s="85" t="str">
        <f t="shared" si="240"/>
        <v/>
      </c>
      <c r="J592" s="85" t="str">
        <f t="shared" si="241"/>
        <v/>
      </c>
      <c r="K592" s="85" t="str">
        <f t="shared" si="237"/>
        <v/>
      </c>
      <c r="L592" s="85" t="str">
        <f t="shared" si="238"/>
        <v/>
      </c>
      <c r="M592" s="86" t="str">
        <f t="shared" si="242"/>
        <v/>
      </c>
      <c r="N592" s="173"/>
      <c r="O592" s="92"/>
      <c r="P592" s="87"/>
      <c r="Q592" s="71"/>
      <c r="R592" s="88">
        <f t="shared" si="243"/>
        <v>0</v>
      </c>
      <c r="S592" s="71"/>
      <c r="T592" s="89" t="str">
        <f t="shared" si="244"/>
        <v/>
      </c>
      <c r="U592" s="71"/>
      <c r="V592" s="175"/>
      <c r="W592" s="29"/>
    </row>
    <row r="593" spans="1:23" ht="15.75" customHeight="1" thickBot="1" x14ac:dyDescent="0.3">
      <c r="A593" s="179"/>
      <c r="B593" s="168"/>
      <c r="C593" s="90"/>
      <c r="D593" s="16"/>
      <c r="E593" s="16"/>
      <c r="F593" s="16" t="str">
        <f t="shared" si="239"/>
        <v/>
      </c>
      <c r="G593" s="16"/>
      <c r="H593" s="16"/>
      <c r="I593" s="16" t="str">
        <f t="shared" si="240"/>
        <v/>
      </c>
      <c r="J593" s="16" t="str">
        <f t="shared" si="241"/>
        <v/>
      </c>
      <c r="K593" s="16" t="str">
        <f t="shared" si="237"/>
        <v/>
      </c>
      <c r="L593" s="16" t="str">
        <f t="shared" si="238"/>
        <v/>
      </c>
      <c r="M593" s="91" t="str">
        <f t="shared" si="242"/>
        <v/>
      </c>
      <c r="N593" s="173"/>
      <c r="O593" s="29"/>
      <c r="P593" s="87"/>
      <c r="Q593" s="71"/>
      <c r="R593" s="88">
        <f t="shared" si="243"/>
        <v>0</v>
      </c>
      <c r="S593" s="71"/>
      <c r="T593" s="89" t="str">
        <f t="shared" si="244"/>
        <v/>
      </c>
      <c r="U593" s="71"/>
      <c r="V593" s="93" t="s">
        <v>31</v>
      </c>
      <c r="W593" s="29"/>
    </row>
    <row r="594" spans="1:23" ht="16.5" customHeight="1" x14ac:dyDescent="0.25">
      <c r="A594" s="179"/>
      <c r="B594" s="168"/>
      <c r="C594" s="84"/>
      <c r="D594" s="85"/>
      <c r="E594" s="85"/>
      <c r="F594" s="85" t="str">
        <f t="shared" si="239"/>
        <v/>
      </c>
      <c r="G594" s="85"/>
      <c r="H594" s="85"/>
      <c r="I594" s="85" t="str">
        <f t="shared" si="240"/>
        <v/>
      </c>
      <c r="J594" s="85" t="str">
        <f t="shared" si="241"/>
        <v/>
      </c>
      <c r="K594" s="85" t="str">
        <f t="shared" si="237"/>
        <v/>
      </c>
      <c r="L594" s="85" t="str">
        <f t="shared" si="238"/>
        <v/>
      </c>
      <c r="M594" s="106" t="str">
        <f t="shared" si="242"/>
        <v/>
      </c>
      <c r="N594" s="173"/>
      <c r="O594" s="29"/>
      <c r="P594" s="87"/>
      <c r="Q594" s="71"/>
      <c r="R594" s="88">
        <f t="shared" si="243"/>
        <v>0</v>
      </c>
      <c r="S594" s="71"/>
      <c r="T594" s="89" t="str">
        <f t="shared" si="244"/>
        <v/>
      </c>
      <c r="U594" s="71"/>
      <c r="V594" s="176">
        <f>IF(AND(NOT(N587=0)),V587/N587,0)</f>
        <v>0</v>
      </c>
      <c r="W594" s="29"/>
    </row>
    <row r="595" spans="1:23" ht="18" x14ac:dyDescent="0.25">
      <c r="A595" s="179"/>
      <c r="B595" s="168"/>
      <c r="C595" s="90"/>
      <c r="D595" s="16"/>
      <c r="E595" s="16"/>
      <c r="F595" s="16" t="str">
        <f t="shared" si="239"/>
        <v/>
      </c>
      <c r="G595" s="16"/>
      <c r="H595" s="16"/>
      <c r="I595" s="16" t="str">
        <f t="shared" si="240"/>
        <v/>
      </c>
      <c r="J595" s="16" t="str">
        <f t="shared" si="241"/>
        <v/>
      </c>
      <c r="K595" s="16" t="str">
        <f t="shared" si="237"/>
        <v/>
      </c>
      <c r="L595" s="16" t="str">
        <f t="shared" si="238"/>
        <v/>
      </c>
      <c r="M595" s="105" t="str">
        <f t="shared" si="242"/>
        <v/>
      </c>
      <c r="N595" s="173"/>
      <c r="O595" s="29"/>
      <c r="P595" s="87"/>
      <c r="Q595" s="71"/>
      <c r="R595" s="88">
        <f t="shared" si="243"/>
        <v>0</v>
      </c>
      <c r="S595" s="71"/>
      <c r="T595" s="89" t="str">
        <f t="shared" si="244"/>
        <v/>
      </c>
      <c r="U595" s="71"/>
      <c r="V595" s="177"/>
      <c r="W595" s="29"/>
    </row>
    <row r="596" spans="1:23" ht="15.75" customHeight="1" thickBot="1" x14ac:dyDescent="0.3">
      <c r="A596" s="180"/>
      <c r="B596" s="169"/>
      <c r="C596" s="94"/>
      <c r="D596" s="95"/>
      <c r="E596" s="95"/>
      <c r="F596" s="95" t="str">
        <f t="shared" si="239"/>
        <v/>
      </c>
      <c r="G596" s="95"/>
      <c r="H596" s="95"/>
      <c r="I596" s="95" t="str">
        <f t="shared" si="240"/>
        <v/>
      </c>
      <c r="J596" s="95" t="str">
        <f t="shared" si="241"/>
        <v/>
      </c>
      <c r="K596" s="95" t="str">
        <f t="shared" si="237"/>
        <v/>
      </c>
      <c r="L596" s="95" t="str">
        <f t="shared" si="238"/>
        <v/>
      </c>
      <c r="M596" s="96" t="str">
        <f t="shared" si="242"/>
        <v/>
      </c>
      <c r="N596" s="174"/>
      <c r="O596" s="29"/>
      <c r="P596" s="97"/>
      <c r="Q596" s="29"/>
      <c r="R596" s="98">
        <f t="shared" si="243"/>
        <v>0</v>
      </c>
      <c r="S596" s="29"/>
      <c r="T596" s="99" t="str">
        <f t="shared" si="244"/>
        <v/>
      </c>
      <c r="U596" s="29"/>
      <c r="V596" s="178"/>
      <c r="W596" s="29"/>
    </row>
    <row r="597" spans="1:23" ht="15.75" customHeight="1" x14ac:dyDescent="0.25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71"/>
      <c r="P597" s="71"/>
      <c r="Q597" s="71"/>
      <c r="R597" s="123"/>
      <c r="S597" s="71"/>
      <c r="T597" s="71"/>
      <c r="U597" s="71"/>
      <c r="V597" s="124"/>
      <c r="W597" s="29"/>
    </row>
    <row r="598" spans="1:23" ht="15.75" customHeight="1" x14ac:dyDescent="0.25">
      <c r="A598" s="111"/>
      <c r="B598" s="111"/>
      <c r="C598" s="111"/>
      <c r="D598" s="111"/>
      <c r="E598" s="111"/>
      <c r="F598" s="111"/>
      <c r="G598" s="111"/>
      <c r="H598" s="111"/>
      <c r="I598" s="111"/>
      <c r="J598" s="111"/>
      <c r="K598" s="111"/>
      <c r="L598" s="111"/>
      <c r="M598" s="111"/>
      <c r="N598" s="111"/>
      <c r="O598" s="111"/>
      <c r="P598" s="111"/>
      <c r="Q598" s="111"/>
      <c r="R598" s="112"/>
      <c r="S598" s="111"/>
      <c r="T598" s="111"/>
      <c r="U598" s="111"/>
      <c r="V598" s="113"/>
      <c r="W598" s="29"/>
    </row>
    <row r="599" spans="1:23" x14ac:dyDescent="0.25">
      <c r="A599" s="111"/>
      <c r="B599" s="111"/>
      <c r="C599" s="111"/>
      <c r="D599" s="111"/>
      <c r="E599" s="111"/>
      <c r="F599" s="111"/>
      <c r="G599" s="111"/>
      <c r="H599" s="111"/>
      <c r="I599" s="111"/>
      <c r="J599" s="111"/>
      <c r="K599" s="111"/>
      <c r="L599" s="111"/>
      <c r="M599" s="111"/>
      <c r="N599" s="111"/>
      <c r="O599" s="111"/>
      <c r="P599" s="111"/>
      <c r="Q599" s="111"/>
      <c r="R599" s="112"/>
      <c r="S599" s="111"/>
      <c r="T599" s="111"/>
      <c r="U599" s="111"/>
      <c r="V599" s="113"/>
      <c r="W599" s="29"/>
    </row>
    <row r="600" spans="1:23" x14ac:dyDescent="0.25">
      <c r="A600" s="111"/>
      <c r="B600" s="111"/>
      <c r="C600" s="111"/>
      <c r="D600" s="111"/>
      <c r="E600" s="111"/>
      <c r="F600" s="111"/>
      <c r="G600" s="111"/>
      <c r="H600" s="111"/>
      <c r="I600" s="111"/>
      <c r="J600" s="111"/>
      <c r="K600" s="111"/>
      <c r="L600" s="111"/>
      <c r="M600" s="111"/>
      <c r="N600" s="111"/>
      <c r="O600" s="111"/>
      <c r="P600" s="111"/>
      <c r="Q600" s="111"/>
      <c r="R600" s="112"/>
      <c r="S600" s="111"/>
      <c r="T600" s="111"/>
      <c r="U600" s="111"/>
      <c r="V600" s="113"/>
      <c r="W600" s="29"/>
    </row>
    <row r="601" spans="1:23" x14ac:dyDescent="0.25">
      <c r="A601" s="111"/>
      <c r="B601" s="111"/>
      <c r="C601" s="111"/>
      <c r="D601" s="111"/>
      <c r="E601" s="111"/>
      <c r="F601" s="111"/>
      <c r="G601" s="111"/>
      <c r="H601" s="111"/>
      <c r="I601" s="111"/>
      <c r="J601" s="111"/>
      <c r="K601" s="111"/>
      <c r="L601" s="111"/>
      <c r="M601" s="111"/>
      <c r="N601" s="111"/>
      <c r="O601" s="111"/>
      <c r="P601" s="111"/>
      <c r="Q601" s="111"/>
      <c r="R601" s="112"/>
      <c r="S601" s="111"/>
      <c r="T601" s="111"/>
      <c r="U601" s="111"/>
      <c r="V601" s="113"/>
      <c r="W601" s="29"/>
    </row>
    <row r="602" spans="1:23" x14ac:dyDescent="0.25">
      <c r="A602" s="111"/>
      <c r="B602" s="111"/>
      <c r="C602" s="111"/>
      <c r="D602" s="111"/>
      <c r="E602" s="111"/>
      <c r="F602" s="111"/>
      <c r="G602" s="111"/>
      <c r="H602" s="111"/>
      <c r="I602" s="111"/>
      <c r="J602" s="111"/>
      <c r="K602" s="111"/>
      <c r="L602" s="111"/>
      <c r="M602" s="111"/>
      <c r="N602" s="111"/>
      <c r="O602" s="111"/>
      <c r="P602" s="111"/>
      <c r="Q602" s="111"/>
      <c r="R602" s="112"/>
      <c r="S602" s="111"/>
      <c r="T602" s="111"/>
      <c r="U602" s="111"/>
      <c r="V602" s="113"/>
      <c r="W602" s="29"/>
    </row>
    <row r="603" spans="1:23" ht="15.75" customHeight="1" x14ac:dyDescent="0.25">
      <c r="A603" s="111"/>
      <c r="B603" s="111"/>
      <c r="C603" s="111"/>
      <c r="D603" s="111"/>
      <c r="E603" s="111"/>
      <c r="F603" s="111"/>
      <c r="G603" s="111"/>
      <c r="H603" s="111"/>
      <c r="I603" s="111"/>
      <c r="J603" s="111"/>
      <c r="K603" s="111"/>
      <c r="L603" s="111"/>
      <c r="M603" s="111"/>
      <c r="N603" s="111"/>
      <c r="O603" s="111"/>
      <c r="P603" s="111"/>
      <c r="Q603" s="111"/>
      <c r="R603" s="112"/>
      <c r="S603" s="111"/>
      <c r="T603" s="111"/>
      <c r="U603" s="111"/>
      <c r="V603" s="113"/>
      <c r="W603" s="29"/>
    </row>
    <row r="604" spans="1:23" ht="15.75" customHeight="1" x14ac:dyDescent="0.25">
      <c r="A604" s="111"/>
      <c r="B604" s="111"/>
      <c r="C604" s="111"/>
      <c r="D604" s="111"/>
      <c r="E604" s="111"/>
      <c r="F604" s="111"/>
      <c r="G604" s="111"/>
      <c r="H604" s="111"/>
      <c r="I604" s="111"/>
      <c r="J604" s="111"/>
      <c r="K604" s="111"/>
      <c r="L604" s="111"/>
      <c r="M604" s="111"/>
      <c r="N604" s="111"/>
      <c r="O604" s="111"/>
      <c r="P604" s="111"/>
      <c r="Q604" s="111"/>
      <c r="R604" s="112"/>
      <c r="S604" s="111"/>
      <c r="T604" s="111"/>
      <c r="U604" s="111"/>
      <c r="V604" s="113"/>
      <c r="W604" s="29"/>
    </row>
    <row r="605" spans="1:23" ht="15.75" customHeight="1" x14ac:dyDescent="0.25">
      <c r="A605" s="111"/>
      <c r="B605" s="111"/>
      <c r="C605" s="111"/>
      <c r="D605" s="111"/>
      <c r="E605" s="111"/>
      <c r="F605" s="111"/>
      <c r="G605" s="111"/>
      <c r="H605" s="111"/>
      <c r="I605" s="111"/>
      <c r="J605" s="111"/>
      <c r="K605" s="111"/>
      <c r="L605" s="111"/>
      <c r="M605" s="111"/>
      <c r="N605" s="111"/>
      <c r="O605" s="111"/>
      <c r="P605" s="111"/>
      <c r="Q605" s="111"/>
      <c r="R605" s="112"/>
      <c r="S605" s="111"/>
      <c r="T605" s="111"/>
      <c r="U605" s="111"/>
      <c r="V605" s="113"/>
      <c r="W605" s="29"/>
    </row>
    <row r="606" spans="1:23" ht="15.75" customHeight="1" x14ac:dyDescent="0.25">
      <c r="A606" s="111"/>
      <c r="B606" s="111"/>
      <c r="C606" s="111"/>
      <c r="D606" s="111"/>
      <c r="E606" s="111"/>
      <c r="F606" s="111"/>
      <c r="G606" s="111"/>
      <c r="H606" s="111"/>
      <c r="I606" s="111"/>
      <c r="J606" s="111"/>
      <c r="K606" s="111"/>
      <c r="L606" s="111"/>
      <c r="M606" s="111"/>
      <c r="N606" s="111"/>
      <c r="O606" s="111"/>
      <c r="P606" s="111"/>
      <c r="Q606" s="111"/>
      <c r="R606" s="112"/>
      <c r="S606" s="111"/>
      <c r="T606" s="111"/>
      <c r="U606" s="111"/>
      <c r="V606" s="113"/>
      <c r="W606" s="29"/>
    </row>
    <row r="607" spans="1:23" ht="15.75" customHeight="1" x14ac:dyDescent="0.25">
      <c r="A607" s="111"/>
      <c r="B607" s="111"/>
      <c r="C607" s="111"/>
      <c r="D607" s="111"/>
      <c r="E607" s="111"/>
      <c r="F607" s="111"/>
      <c r="G607" s="111"/>
      <c r="H607" s="111"/>
      <c r="I607" s="111"/>
      <c r="J607" s="111"/>
      <c r="K607" s="111"/>
      <c r="L607" s="111"/>
      <c r="M607" s="111"/>
      <c r="N607" s="111"/>
      <c r="O607" s="111"/>
      <c r="P607" s="111"/>
      <c r="Q607" s="111"/>
      <c r="R607" s="112"/>
      <c r="S607" s="111"/>
      <c r="T607" s="111"/>
      <c r="U607" s="111"/>
      <c r="V607" s="113"/>
      <c r="W607" s="29"/>
    </row>
    <row r="608" spans="1:23" ht="15.75" customHeight="1" x14ac:dyDescent="0.25">
      <c r="A608" s="111"/>
      <c r="B608" s="111"/>
      <c r="C608" s="111"/>
      <c r="D608" s="111"/>
      <c r="E608" s="111"/>
      <c r="F608" s="111"/>
      <c r="G608" s="111"/>
      <c r="H608" s="111"/>
      <c r="I608" s="111"/>
      <c r="J608" s="111"/>
      <c r="K608" s="111"/>
      <c r="L608" s="111"/>
      <c r="M608" s="111"/>
      <c r="N608" s="111"/>
      <c r="O608" s="111"/>
      <c r="P608" s="111"/>
      <c r="Q608" s="111"/>
      <c r="R608" s="112"/>
      <c r="S608" s="111"/>
      <c r="T608" s="111"/>
      <c r="U608" s="111"/>
      <c r="V608" s="113"/>
      <c r="W608" s="29"/>
    </row>
    <row r="609" spans="1:23" x14ac:dyDescent="0.25">
      <c r="A609" s="111"/>
      <c r="B609" s="111"/>
      <c r="C609" s="111"/>
      <c r="D609" s="111"/>
      <c r="E609" s="111"/>
      <c r="F609" s="111"/>
      <c r="G609" s="111"/>
      <c r="H609" s="111"/>
      <c r="I609" s="111"/>
      <c r="J609" s="111"/>
      <c r="K609" s="111"/>
      <c r="L609" s="111"/>
      <c r="M609" s="111"/>
      <c r="N609" s="111"/>
      <c r="O609" s="111"/>
      <c r="P609" s="111"/>
      <c r="Q609" s="111"/>
      <c r="R609" s="112"/>
      <c r="S609" s="111"/>
      <c r="T609" s="111"/>
      <c r="U609" s="111"/>
      <c r="V609" s="113"/>
      <c r="W609" s="29"/>
    </row>
    <row r="610" spans="1:23" ht="15.75" customHeight="1" x14ac:dyDescent="0.25">
      <c r="A610" s="111"/>
      <c r="B610" s="111"/>
      <c r="C610" s="111"/>
      <c r="D610" s="111"/>
      <c r="E610" s="111"/>
      <c r="F610" s="111"/>
      <c r="G610" s="111"/>
      <c r="H610" s="111"/>
      <c r="I610" s="111"/>
      <c r="J610" s="111"/>
      <c r="K610" s="111"/>
      <c r="L610" s="111"/>
      <c r="M610" s="111"/>
      <c r="N610" s="111"/>
      <c r="O610" s="111"/>
      <c r="P610" s="111"/>
      <c r="Q610" s="111"/>
      <c r="R610" s="112"/>
      <c r="S610" s="111"/>
      <c r="T610" s="111"/>
      <c r="U610" s="111"/>
      <c r="V610" s="113"/>
      <c r="W610" s="29"/>
    </row>
    <row r="611" spans="1:23" ht="15.75" customHeight="1" x14ac:dyDescent="0.25">
      <c r="A611" s="111"/>
      <c r="B611" s="111"/>
      <c r="C611" s="111"/>
      <c r="D611" s="111"/>
      <c r="E611" s="111"/>
      <c r="F611" s="111"/>
      <c r="G611" s="111"/>
      <c r="H611" s="111"/>
      <c r="I611" s="111"/>
      <c r="J611" s="111"/>
      <c r="K611" s="111"/>
      <c r="L611" s="111"/>
      <c r="M611" s="111"/>
      <c r="N611" s="111"/>
      <c r="O611" s="111"/>
      <c r="P611" s="111"/>
      <c r="Q611" s="111"/>
      <c r="R611" s="112"/>
      <c r="S611" s="111"/>
      <c r="T611" s="111"/>
      <c r="U611" s="111"/>
      <c r="V611" s="113"/>
      <c r="W611" s="29"/>
    </row>
    <row r="612" spans="1:23" ht="15.75" customHeight="1" x14ac:dyDescent="0.25">
      <c r="A612" s="111"/>
      <c r="B612" s="111"/>
      <c r="C612" s="111"/>
      <c r="D612" s="111"/>
      <c r="E612" s="111"/>
      <c r="F612" s="111"/>
      <c r="G612" s="111"/>
      <c r="H612" s="111"/>
      <c r="I612" s="111"/>
      <c r="J612" s="111"/>
      <c r="K612" s="111"/>
      <c r="L612" s="111"/>
      <c r="M612" s="111"/>
      <c r="N612" s="111"/>
      <c r="O612" s="111"/>
      <c r="P612" s="111"/>
      <c r="Q612" s="111"/>
      <c r="R612" s="112"/>
      <c r="S612" s="111"/>
      <c r="T612" s="111"/>
      <c r="U612" s="111"/>
      <c r="V612" s="113"/>
      <c r="W612" s="29"/>
    </row>
    <row r="613" spans="1:23" x14ac:dyDescent="0.25">
      <c r="A613" s="111"/>
      <c r="B613" s="111"/>
      <c r="C613" s="111"/>
      <c r="D613" s="111"/>
      <c r="E613" s="111"/>
      <c r="F613" s="111"/>
      <c r="G613" s="111"/>
      <c r="H613" s="111"/>
      <c r="I613" s="111"/>
      <c r="J613" s="111"/>
      <c r="K613" s="111"/>
      <c r="L613" s="111"/>
      <c r="M613" s="111"/>
      <c r="N613" s="111"/>
      <c r="O613" s="111"/>
      <c r="P613" s="111"/>
      <c r="Q613" s="111"/>
      <c r="R613" s="112"/>
      <c r="S613" s="111"/>
      <c r="T613" s="111"/>
      <c r="U613" s="111"/>
      <c r="V613" s="113"/>
      <c r="W613" s="29"/>
    </row>
    <row r="614" spans="1:23" x14ac:dyDescent="0.25">
      <c r="A614" s="111"/>
      <c r="B614" s="111"/>
      <c r="C614" s="111"/>
      <c r="D614" s="111"/>
      <c r="E614" s="111"/>
      <c r="F614" s="111"/>
      <c r="G614" s="111"/>
      <c r="H614" s="111"/>
      <c r="I614" s="111"/>
      <c r="J614" s="111"/>
      <c r="K614" s="111"/>
      <c r="L614" s="111"/>
      <c r="M614" s="111"/>
      <c r="N614" s="111"/>
      <c r="O614" s="111"/>
      <c r="P614" s="111"/>
      <c r="Q614" s="111"/>
      <c r="R614" s="112"/>
      <c r="S614" s="111"/>
      <c r="T614" s="111"/>
      <c r="U614" s="111"/>
      <c r="V614" s="113"/>
      <c r="W614" s="29"/>
    </row>
    <row r="615" spans="1:23" ht="15.75" customHeight="1" thickBot="1" x14ac:dyDescent="0.3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31"/>
      <c r="S615" s="29"/>
      <c r="T615" s="29"/>
      <c r="U615" s="29"/>
      <c r="V615" s="32"/>
      <c r="W615" s="29"/>
    </row>
    <row r="616" spans="1:23" ht="15.75" customHeight="1" thickBot="1" x14ac:dyDescent="0.3">
      <c r="A616" s="114" t="s">
        <v>6</v>
      </c>
      <c r="B616" s="167" t="s">
        <v>8</v>
      </c>
      <c r="C616" s="72"/>
      <c r="D616" s="72" t="s">
        <v>9</v>
      </c>
      <c r="E616" s="72" t="s">
        <v>10</v>
      </c>
      <c r="F616" s="72" t="s">
        <v>11</v>
      </c>
      <c r="G616" s="72" t="s">
        <v>12</v>
      </c>
      <c r="H616" s="72" t="s">
        <v>13</v>
      </c>
      <c r="I616" s="72" t="s">
        <v>14</v>
      </c>
      <c r="J616" s="72" t="s">
        <v>15</v>
      </c>
      <c r="K616" s="72" t="s">
        <v>34</v>
      </c>
      <c r="L616" s="72" t="s">
        <v>16</v>
      </c>
      <c r="M616" s="72"/>
      <c r="N616" s="73" t="s">
        <v>17</v>
      </c>
      <c r="O616" s="74"/>
      <c r="P616" s="75" t="s">
        <v>18</v>
      </c>
      <c r="Q616" s="71"/>
      <c r="R616" s="76" t="s">
        <v>35</v>
      </c>
      <c r="S616" s="71"/>
      <c r="T616" s="75" t="s">
        <v>36</v>
      </c>
      <c r="U616" s="71"/>
      <c r="V616" s="77" t="s">
        <v>29</v>
      </c>
      <c r="W616" s="29"/>
    </row>
    <row r="617" spans="1:23" ht="15.75" customHeight="1" x14ac:dyDescent="0.25">
      <c r="A617" s="115"/>
      <c r="B617" s="168"/>
      <c r="C617" s="78"/>
      <c r="D617" s="135" t="s">
        <v>57</v>
      </c>
      <c r="E617" s="135" t="s">
        <v>58</v>
      </c>
      <c r="F617" s="79" t="str">
        <f>IF(AND(C617=""),"",1-C617)</f>
        <v/>
      </c>
      <c r="G617" s="79"/>
      <c r="H617" s="79"/>
      <c r="I617" s="79" t="str">
        <f>IF(AND(C617=""),"",G617*C617)</f>
        <v/>
      </c>
      <c r="J617" s="79" t="str">
        <f>IF(AND(C617=""),"",H617*F617)</f>
        <v/>
      </c>
      <c r="K617" s="79" t="str">
        <f t="shared" ref="K617:K626" si="245">IF(AND(I617=""),"",IF(AND(I617&gt;J617),"T1","T2"))</f>
        <v/>
      </c>
      <c r="L617" s="80" t="str">
        <f>IF(AND(K617=""),"",IF(AND((J617*0.95-1)&lt;0,(I617*0.95-1)&lt;0),"NO BET", IF(AND(K617="T1"),I617*0.95 - 1,J617*0.95 - 1)))</f>
        <v/>
      </c>
      <c r="M617" s="80"/>
      <c r="N617" s="172">
        <f>SUMIF(L617:L626,"&gt;0")</f>
        <v>0</v>
      </c>
      <c r="O617" s="74"/>
      <c r="P617" s="81"/>
      <c r="Q617" s="74"/>
      <c r="R617" s="82">
        <f>IF(OR(P617="",L617="NO BET"),0,IF(AND(K617=P617),IF(AND(K617="T2"),ROUNDUP(H617*0.95,2)-M617,ROUNDUP(G617*0.95,2)-M617),-M617))</f>
        <v>0</v>
      </c>
      <c r="S617" s="71"/>
      <c r="T617" s="83" t="str">
        <f>IF(AND(P617=""),"",IF(AND(C617&gt;F617),IF(AND(P617="T1"),"a","r"),IF(AND(P617="T2"),"a","r")))</f>
        <v/>
      </c>
      <c r="U617" s="71"/>
      <c r="V617" s="175">
        <f>SUM(R617:R626)</f>
        <v>0</v>
      </c>
      <c r="W617" s="29"/>
    </row>
    <row r="618" spans="1:23" ht="15.75" customHeight="1" x14ac:dyDescent="0.25">
      <c r="A618" s="179" t="s">
        <v>38</v>
      </c>
      <c r="B618" s="168"/>
      <c r="C618" s="84"/>
      <c r="D618" s="137" t="s">
        <v>59</v>
      </c>
      <c r="E618" s="137" t="s">
        <v>60</v>
      </c>
      <c r="F618" s="85" t="str">
        <f t="shared" ref="F618:F626" si="246">IF(AND(C618=""),"",1-C618)</f>
        <v/>
      </c>
      <c r="G618" s="85"/>
      <c r="H618" s="85"/>
      <c r="I618" s="85" t="str">
        <f t="shared" ref="I618:I626" si="247">IF(AND(C618=""),"",G618*C618)</f>
        <v/>
      </c>
      <c r="J618" s="85" t="str">
        <f t="shared" ref="J618:J626" si="248">IF(AND(C618=""),"",H618*F618)</f>
        <v/>
      </c>
      <c r="K618" s="85" t="str">
        <f t="shared" si="245"/>
        <v/>
      </c>
      <c r="L618" s="86" t="str">
        <f t="shared" ref="L618:L626" si="249">IF(AND(K618=""),"",IF(AND((J618*0.95-1)&lt;0,(I618*0.95-1)&lt;0),"NO BET", IF(AND(K618="T1"),I618*0.95 - 1,J618*0.95 - 1)))</f>
        <v/>
      </c>
      <c r="M618" s="86"/>
      <c r="N618" s="173"/>
      <c r="O618" s="71"/>
      <c r="P618" s="87"/>
      <c r="Q618" s="71"/>
      <c r="R618" s="88">
        <f t="shared" ref="R618:R626" si="250">IF(OR(P618="",L618="NO BET"),0,IF(AND(K618=P618),IF(AND(K618="T2"),ROUNDUP(H618*M618*0.95,2)-1,ROUNDUP(G618*M618*0.95,2)-M618),-M618))</f>
        <v>0</v>
      </c>
      <c r="S618" s="71"/>
      <c r="T618" s="89" t="str">
        <f t="shared" ref="T618:T626" si="251">IF(AND(P618=""),"",IF(AND(C618&gt;F618),IF(AND(P618="T1"),"a","r"),IF(AND(P618="T2"),"a","r")))</f>
        <v/>
      </c>
      <c r="U618" s="71"/>
      <c r="V618" s="175"/>
      <c r="W618" s="29"/>
    </row>
    <row r="619" spans="1:23" ht="15.75" customHeight="1" x14ac:dyDescent="0.25">
      <c r="A619" s="179"/>
      <c r="B619" s="168"/>
      <c r="C619" s="90"/>
      <c r="D619" s="139" t="s">
        <v>61</v>
      </c>
      <c r="E619" s="139" t="s">
        <v>59</v>
      </c>
      <c r="F619" s="16" t="str">
        <f t="shared" si="246"/>
        <v/>
      </c>
      <c r="G619" s="16"/>
      <c r="H619" s="16"/>
      <c r="I619" s="16" t="str">
        <f t="shared" si="247"/>
        <v/>
      </c>
      <c r="J619" s="16" t="str">
        <f t="shared" si="248"/>
        <v/>
      </c>
      <c r="K619" s="16" t="str">
        <f t="shared" si="245"/>
        <v/>
      </c>
      <c r="L619" s="91" t="str">
        <f t="shared" si="249"/>
        <v/>
      </c>
      <c r="M619" s="91"/>
      <c r="N619" s="173"/>
      <c r="O619" s="74"/>
      <c r="P619" s="87"/>
      <c r="Q619" s="71"/>
      <c r="R619" s="88">
        <f t="shared" si="250"/>
        <v>0</v>
      </c>
      <c r="S619" s="71"/>
      <c r="T619" s="89" t="str">
        <f t="shared" si="251"/>
        <v/>
      </c>
      <c r="U619" s="71"/>
      <c r="V619" s="175"/>
      <c r="W619" s="29"/>
    </row>
    <row r="620" spans="1:23" ht="15.75" customHeight="1" x14ac:dyDescent="0.25">
      <c r="A620" s="179"/>
      <c r="B620" s="168"/>
      <c r="C620" s="84"/>
      <c r="D620" s="137" t="s">
        <v>62</v>
      </c>
      <c r="E620" s="137" t="s">
        <v>63</v>
      </c>
      <c r="F620" s="85" t="str">
        <f t="shared" si="246"/>
        <v/>
      </c>
      <c r="G620" s="85"/>
      <c r="H620" s="85"/>
      <c r="I620" s="85" t="str">
        <f t="shared" si="247"/>
        <v/>
      </c>
      <c r="J620" s="85" t="str">
        <f t="shared" si="248"/>
        <v/>
      </c>
      <c r="K620" s="85" t="str">
        <f t="shared" si="245"/>
        <v/>
      </c>
      <c r="L620" s="86" t="str">
        <f t="shared" si="249"/>
        <v/>
      </c>
      <c r="M620" s="86"/>
      <c r="N620" s="173"/>
      <c r="O620" s="92"/>
      <c r="P620" s="87"/>
      <c r="Q620" s="71"/>
      <c r="R620" s="88">
        <f t="shared" si="250"/>
        <v>0</v>
      </c>
      <c r="S620" s="71"/>
      <c r="T620" s="89" t="str">
        <f t="shared" si="251"/>
        <v/>
      </c>
      <c r="U620" s="71"/>
      <c r="V620" s="175"/>
      <c r="W620" s="29"/>
    </row>
    <row r="621" spans="1:23" ht="15.75" customHeight="1" x14ac:dyDescent="0.25">
      <c r="A621" s="179"/>
      <c r="B621" s="168"/>
      <c r="C621" s="90"/>
      <c r="D621" s="139" t="s">
        <v>57</v>
      </c>
      <c r="E621" s="139" t="s">
        <v>59</v>
      </c>
      <c r="F621" s="16" t="str">
        <f t="shared" si="246"/>
        <v/>
      </c>
      <c r="G621" s="16"/>
      <c r="H621" s="16"/>
      <c r="I621" s="16" t="str">
        <f t="shared" si="247"/>
        <v/>
      </c>
      <c r="J621" s="16" t="str">
        <f t="shared" si="248"/>
        <v/>
      </c>
      <c r="K621" s="16" t="str">
        <f t="shared" si="245"/>
        <v/>
      </c>
      <c r="L621" s="105" t="str">
        <f t="shared" si="249"/>
        <v/>
      </c>
      <c r="M621" s="105"/>
      <c r="N621" s="173"/>
      <c r="O621" s="92"/>
      <c r="P621" s="87"/>
      <c r="Q621" s="71"/>
      <c r="R621" s="88">
        <f t="shared" si="250"/>
        <v>0</v>
      </c>
      <c r="S621" s="71"/>
      <c r="T621" s="89" t="str">
        <f t="shared" si="251"/>
        <v/>
      </c>
      <c r="U621" s="71"/>
      <c r="V621" s="175"/>
      <c r="W621" s="29"/>
    </row>
    <row r="622" spans="1:23" ht="15.75" customHeight="1" x14ac:dyDescent="0.25">
      <c r="A622" s="179"/>
      <c r="B622" s="168"/>
      <c r="C622" s="84"/>
      <c r="D622" s="137" t="s">
        <v>63</v>
      </c>
      <c r="E622" s="137" t="s">
        <v>64</v>
      </c>
      <c r="F622" s="85" t="str">
        <f t="shared" si="246"/>
        <v/>
      </c>
      <c r="G622" s="85"/>
      <c r="H622" s="85"/>
      <c r="I622" s="85" t="str">
        <f t="shared" si="247"/>
        <v/>
      </c>
      <c r="J622" s="85" t="str">
        <f t="shared" si="248"/>
        <v/>
      </c>
      <c r="K622" s="85" t="str">
        <f t="shared" si="245"/>
        <v/>
      </c>
      <c r="L622" s="86" t="str">
        <f t="shared" si="249"/>
        <v/>
      </c>
      <c r="M622" s="86"/>
      <c r="N622" s="173"/>
      <c r="O622" s="92"/>
      <c r="P622" s="87"/>
      <c r="Q622" s="71"/>
      <c r="R622" s="88">
        <f t="shared" si="250"/>
        <v>0</v>
      </c>
      <c r="S622" s="71"/>
      <c r="T622" s="89" t="str">
        <f t="shared" si="251"/>
        <v/>
      </c>
      <c r="U622" s="71"/>
      <c r="V622" s="175"/>
      <c r="W622" s="29"/>
    </row>
    <row r="623" spans="1:23" ht="15.75" customHeight="1" thickBot="1" x14ac:dyDescent="0.3">
      <c r="A623" s="179"/>
      <c r="B623" s="168"/>
      <c r="C623" s="90"/>
      <c r="D623" s="139" t="s">
        <v>60</v>
      </c>
      <c r="E623" s="139" t="s">
        <v>61</v>
      </c>
      <c r="F623" s="16" t="str">
        <f t="shared" si="246"/>
        <v/>
      </c>
      <c r="G623" s="16"/>
      <c r="H623" s="16"/>
      <c r="I623" s="16" t="str">
        <f t="shared" si="247"/>
        <v/>
      </c>
      <c r="J623" s="16" t="str">
        <f t="shared" si="248"/>
        <v/>
      </c>
      <c r="K623" s="16" t="str">
        <f t="shared" si="245"/>
        <v/>
      </c>
      <c r="L623" s="91" t="str">
        <f t="shared" si="249"/>
        <v/>
      </c>
      <c r="M623" s="91"/>
      <c r="N623" s="173"/>
      <c r="O623" s="71"/>
      <c r="P623" s="87"/>
      <c r="Q623" s="71"/>
      <c r="R623" s="88">
        <f t="shared" si="250"/>
        <v>0</v>
      </c>
      <c r="S623" s="71"/>
      <c r="T623" s="89" t="str">
        <f t="shared" si="251"/>
        <v/>
      </c>
      <c r="U623" s="71"/>
      <c r="V623" s="93" t="s">
        <v>31</v>
      </c>
      <c r="W623" s="29"/>
    </row>
    <row r="624" spans="1:23" ht="15.75" customHeight="1" x14ac:dyDescent="0.25">
      <c r="A624" s="179"/>
      <c r="B624" s="168"/>
      <c r="C624" s="84"/>
      <c r="D624" s="137" t="s">
        <v>64</v>
      </c>
      <c r="E624" s="137" t="s">
        <v>58</v>
      </c>
      <c r="F624" s="85" t="str">
        <f t="shared" si="246"/>
        <v/>
      </c>
      <c r="G624" s="85"/>
      <c r="H624" s="85"/>
      <c r="I624" s="85" t="str">
        <f t="shared" si="247"/>
        <v/>
      </c>
      <c r="J624" s="85" t="str">
        <f t="shared" si="248"/>
        <v/>
      </c>
      <c r="K624" s="85" t="str">
        <f t="shared" si="245"/>
        <v/>
      </c>
      <c r="L624" s="106" t="str">
        <f t="shared" si="249"/>
        <v/>
      </c>
      <c r="M624" s="106"/>
      <c r="N624" s="173"/>
      <c r="O624" s="71"/>
      <c r="P624" s="87"/>
      <c r="Q624" s="71"/>
      <c r="R624" s="88">
        <f t="shared" si="250"/>
        <v>0</v>
      </c>
      <c r="S624" s="71"/>
      <c r="T624" s="89" t="str">
        <f t="shared" si="251"/>
        <v/>
      </c>
      <c r="U624" s="71"/>
      <c r="V624" s="176">
        <f>IF(AND(NOT(N617=0)),V617/N617,0)</f>
        <v>0</v>
      </c>
      <c r="W624" s="29"/>
    </row>
    <row r="625" spans="1:23" ht="15.75" customHeight="1" x14ac:dyDescent="0.25">
      <c r="A625" s="179"/>
      <c r="B625" s="168"/>
      <c r="C625" s="90"/>
      <c r="D625" s="16"/>
      <c r="E625" s="16"/>
      <c r="F625" s="16" t="str">
        <f t="shared" si="246"/>
        <v/>
      </c>
      <c r="G625" s="16"/>
      <c r="H625" s="16"/>
      <c r="I625" s="16" t="str">
        <f t="shared" si="247"/>
        <v/>
      </c>
      <c r="J625" s="16" t="str">
        <f t="shared" si="248"/>
        <v/>
      </c>
      <c r="K625" s="16" t="str">
        <f t="shared" si="245"/>
        <v/>
      </c>
      <c r="L625" s="105" t="str">
        <f t="shared" si="249"/>
        <v/>
      </c>
      <c r="M625" s="105"/>
      <c r="N625" s="173"/>
      <c r="O625" s="71"/>
      <c r="P625" s="87"/>
      <c r="Q625" s="71"/>
      <c r="R625" s="88">
        <f t="shared" si="250"/>
        <v>0</v>
      </c>
      <c r="S625" s="71"/>
      <c r="T625" s="89" t="str">
        <f t="shared" si="251"/>
        <v/>
      </c>
      <c r="U625" s="71"/>
      <c r="V625" s="177"/>
      <c r="W625" s="29"/>
    </row>
    <row r="626" spans="1:23" ht="15.75" customHeight="1" thickBot="1" x14ac:dyDescent="0.3">
      <c r="A626" s="180"/>
      <c r="B626" s="169"/>
      <c r="C626" s="94"/>
      <c r="D626" s="95"/>
      <c r="E626" s="95"/>
      <c r="F626" s="95" t="str">
        <f t="shared" si="246"/>
        <v/>
      </c>
      <c r="G626" s="95"/>
      <c r="H626" s="95"/>
      <c r="I626" s="95" t="str">
        <f t="shared" si="247"/>
        <v/>
      </c>
      <c r="J626" s="95" t="str">
        <f t="shared" si="248"/>
        <v/>
      </c>
      <c r="K626" s="95" t="str">
        <f t="shared" si="245"/>
        <v/>
      </c>
      <c r="L626" s="96" t="str">
        <f t="shared" si="249"/>
        <v/>
      </c>
      <c r="M626" s="96"/>
      <c r="N626" s="174"/>
      <c r="O626" s="71"/>
      <c r="P626" s="97"/>
      <c r="Q626" s="29"/>
      <c r="R626" s="98">
        <f t="shared" si="250"/>
        <v>0</v>
      </c>
      <c r="S626" s="29"/>
      <c r="T626" s="99" t="str">
        <f t="shared" si="251"/>
        <v/>
      </c>
      <c r="U626" s="29"/>
      <c r="V626" s="178"/>
      <c r="W626" s="29"/>
    </row>
    <row r="627" spans="1:23" ht="15.75" customHeight="1" x14ac:dyDescent="0.25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71"/>
      <c r="P627" s="71"/>
      <c r="Q627" s="71"/>
      <c r="R627" s="120"/>
      <c r="S627" s="71"/>
      <c r="T627" s="71"/>
      <c r="U627" s="71"/>
      <c r="V627" s="121"/>
      <c r="W627" s="29"/>
    </row>
    <row r="628" spans="1:23" ht="15.75" customHeight="1" x14ac:dyDescent="0.25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71"/>
      <c r="P628" s="71"/>
      <c r="Q628" s="71"/>
      <c r="R628" s="120"/>
      <c r="S628" s="71"/>
      <c r="T628" s="71"/>
      <c r="U628" s="71"/>
      <c r="V628" s="121"/>
      <c r="W628" s="29"/>
    </row>
    <row r="629" spans="1:23" ht="15.75" customHeight="1" thickBot="1" x14ac:dyDescent="0.3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71"/>
      <c r="P629" s="71"/>
      <c r="Q629" s="71"/>
      <c r="R629" s="120"/>
      <c r="S629" s="71"/>
      <c r="T629" s="71"/>
      <c r="U629" s="71"/>
      <c r="V629" s="121"/>
      <c r="W629" s="29"/>
    </row>
    <row r="630" spans="1:23" ht="15.75" customHeight="1" thickBot="1" x14ac:dyDescent="0.3">
      <c r="A630" s="114" t="s">
        <v>6</v>
      </c>
      <c r="B630" s="259" t="s">
        <v>20</v>
      </c>
      <c r="C630" s="72"/>
      <c r="D630" s="72" t="s">
        <v>9</v>
      </c>
      <c r="E630" s="72" t="s">
        <v>10</v>
      </c>
      <c r="F630" s="72" t="s">
        <v>11</v>
      </c>
      <c r="G630" s="72" t="s">
        <v>12</v>
      </c>
      <c r="H630" s="72" t="s">
        <v>13</v>
      </c>
      <c r="I630" s="72" t="s">
        <v>14</v>
      </c>
      <c r="J630" s="72" t="s">
        <v>15</v>
      </c>
      <c r="K630" s="72" t="s">
        <v>34</v>
      </c>
      <c r="L630" s="72" t="s">
        <v>16</v>
      </c>
      <c r="M630" s="72"/>
      <c r="N630" s="73" t="s">
        <v>17</v>
      </c>
      <c r="O630" s="74"/>
      <c r="P630" s="75" t="s">
        <v>18</v>
      </c>
      <c r="Q630" s="71"/>
      <c r="R630" s="76" t="s">
        <v>35</v>
      </c>
      <c r="S630" s="71"/>
      <c r="T630" s="75" t="s">
        <v>36</v>
      </c>
      <c r="U630" s="71"/>
      <c r="V630" s="77" t="s">
        <v>29</v>
      </c>
      <c r="W630" s="29"/>
    </row>
    <row r="631" spans="1:23" ht="15.75" customHeight="1" x14ac:dyDescent="0.25">
      <c r="A631" s="115"/>
      <c r="B631" s="260"/>
      <c r="C631" s="78"/>
      <c r="D631" s="150"/>
      <c r="E631" s="150"/>
      <c r="F631" s="79" t="str">
        <f>IF(AND(C631=""),"",1-C631)</f>
        <v/>
      </c>
      <c r="G631" s="79"/>
      <c r="H631" s="79"/>
      <c r="I631" s="79" t="str">
        <f>IF(AND(C631=""),"",G631*C631)</f>
        <v/>
      </c>
      <c r="J631" s="79" t="str">
        <f>IF(AND(C631=""),"",H631*F631)</f>
        <v/>
      </c>
      <c r="K631" s="79" t="str">
        <f t="shared" ref="K631:K640" si="252">IF(AND(I631=""),"",IF(AND(I631&gt;J631),"T1","T2"))</f>
        <v/>
      </c>
      <c r="L631" s="80" t="str">
        <f>IF(AND(K631=""),"",IF(AND((J631*0.95-1)&lt;0,(I631*0.95-1)&lt;0),"NO BET", IF(AND(K631="T1"),I631*0.95 - 1,J631*0.95 - 1)))</f>
        <v/>
      </c>
      <c r="M631" s="80"/>
      <c r="N631" s="172">
        <f>SUMIF(L631:L640,"&gt;0")</f>
        <v>0</v>
      </c>
      <c r="O631" s="74"/>
      <c r="P631" s="81"/>
      <c r="Q631" s="74"/>
      <c r="R631" s="82">
        <f t="shared" ref="R631:R639" si="253">IF(OR(P631="",L631="NO BET"),0,IF(AND(K631=P631),IF(AND(K631="T2"),ROUNDUP(H631*0.95,2)-1,ROUNDUP(G631*0.95,2)-1),-1))</f>
        <v>0</v>
      </c>
      <c r="S631" s="71"/>
      <c r="T631" s="83" t="str">
        <f>IF(AND(P631=""),"",IF(AND(C631&gt;F631),IF(AND(P631="T1"),"a","r"),IF(AND(P631="T2"),"a","r")))</f>
        <v/>
      </c>
      <c r="U631" s="71"/>
      <c r="V631" s="175">
        <f>SUM(R631:R640)</f>
        <v>0</v>
      </c>
      <c r="W631" s="29"/>
    </row>
    <row r="632" spans="1:23" ht="15.75" customHeight="1" x14ac:dyDescent="0.25">
      <c r="A632" s="179" t="s">
        <v>38</v>
      </c>
      <c r="B632" s="260"/>
      <c r="C632" s="84"/>
      <c r="D632" s="125"/>
      <c r="E632" s="125"/>
      <c r="F632" s="85" t="str">
        <f t="shared" ref="F632:F640" si="254">IF(AND(C632=""),"",1-C632)</f>
        <v/>
      </c>
      <c r="G632" s="85"/>
      <c r="H632" s="85"/>
      <c r="I632" s="85" t="str">
        <f t="shared" ref="I632:I640" si="255">IF(AND(C632=""),"",G632*C632)</f>
        <v/>
      </c>
      <c r="J632" s="85" t="str">
        <f t="shared" ref="J632:J640" si="256">IF(AND(C632=""),"",H632*F632)</f>
        <v/>
      </c>
      <c r="K632" s="85" t="str">
        <f t="shared" si="252"/>
        <v/>
      </c>
      <c r="L632" s="86" t="str">
        <f t="shared" ref="L632:L640" si="257">IF(AND(K632=""),"",IF(AND((J632*0.95-1)&lt;0,(I632*0.95-1)&lt;0),"NO BET", IF(AND(K632="T1"),I632*0.95 - 1,J632*0.95 - 1)))</f>
        <v/>
      </c>
      <c r="M632" s="86"/>
      <c r="N632" s="173"/>
      <c r="O632" s="29"/>
      <c r="P632" s="87"/>
      <c r="Q632" s="71"/>
      <c r="R632" s="88">
        <f t="shared" si="253"/>
        <v>0</v>
      </c>
      <c r="S632" s="71"/>
      <c r="T632" s="89" t="str">
        <f t="shared" ref="T632:T640" si="258">IF(AND(P632=""),"",IF(AND(C632&gt;F632),IF(AND(P632="T1"),"a","r"),IF(AND(P632="T2"),"a","r")))</f>
        <v/>
      </c>
      <c r="U632" s="71"/>
      <c r="V632" s="175"/>
      <c r="W632" s="29"/>
    </row>
    <row r="633" spans="1:23" ht="15.75" customHeight="1" x14ac:dyDescent="0.25">
      <c r="A633" s="179"/>
      <c r="B633" s="260"/>
      <c r="C633" s="90"/>
      <c r="D633" s="116"/>
      <c r="E633" s="116"/>
      <c r="F633" s="16" t="str">
        <f t="shared" si="254"/>
        <v/>
      </c>
      <c r="G633" s="16"/>
      <c r="H633" s="16"/>
      <c r="I633" s="16" t="str">
        <f t="shared" si="255"/>
        <v/>
      </c>
      <c r="J633" s="16" t="str">
        <f t="shared" si="256"/>
        <v/>
      </c>
      <c r="K633" s="16" t="str">
        <f t="shared" si="252"/>
        <v/>
      </c>
      <c r="L633" s="91" t="str">
        <f t="shared" si="257"/>
        <v/>
      </c>
      <c r="M633" s="91"/>
      <c r="N633" s="173"/>
      <c r="O633" s="74"/>
      <c r="P633" s="87"/>
      <c r="Q633" s="71"/>
      <c r="R633" s="88">
        <f t="shared" si="253"/>
        <v>0</v>
      </c>
      <c r="S633" s="71"/>
      <c r="T633" s="89" t="str">
        <f t="shared" si="258"/>
        <v/>
      </c>
      <c r="U633" s="71"/>
      <c r="V633" s="175"/>
      <c r="W633" s="29"/>
    </row>
    <row r="634" spans="1:23" ht="15.75" customHeight="1" x14ac:dyDescent="0.25">
      <c r="A634" s="179"/>
      <c r="B634" s="260"/>
      <c r="C634" s="84"/>
      <c r="D634" s="125"/>
      <c r="E634" s="125"/>
      <c r="F634" s="85" t="str">
        <f t="shared" si="254"/>
        <v/>
      </c>
      <c r="G634" s="85"/>
      <c r="H634" s="85"/>
      <c r="I634" s="85" t="str">
        <f t="shared" si="255"/>
        <v/>
      </c>
      <c r="J634" s="85" t="str">
        <f t="shared" si="256"/>
        <v/>
      </c>
      <c r="K634" s="85" t="str">
        <f t="shared" si="252"/>
        <v/>
      </c>
      <c r="L634" s="86" t="str">
        <f t="shared" si="257"/>
        <v/>
      </c>
      <c r="M634" s="86"/>
      <c r="N634" s="173"/>
      <c r="O634" s="92"/>
      <c r="P634" s="87"/>
      <c r="Q634" s="71"/>
      <c r="R634" s="88">
        <f t="shared" si="253"/>
        <v>0</v>
      </c>
      <c r="S634" s="71"/>
      <c r="T634" s="89" t="str">
        <f t="shared" si="258"/>
        <v/>
      </c>
      <c r="U634" s="71"/>
      <c r="V634" s="175"/>
      <c r="W634" s="29"/>
    </row>
    <row r="635" spans="1:23" ht="15.75" customHeight="1" x14ac:dyDescent="0.25">
      <c r="A635" s="179"/>
      <c r="B635" s="260"/>
      <c r="C635" s="90"/>
      <c r="D635" s="116"/>
      <c r="E635" s="116"/>
      <c r="F635" s="16" t="str">
        <f t="shared" si="254"/>
        <v/>
      </c>
      <c r="G635" s="16"/>
      <c r="H635" s="16"/>
      <c r="I635" s="16" t="str">
        <f t="shared" si="255"/>
        <v/>
      </c>
      <c r="J635" s="16" t="str">
        <f t="shared" si="256"/>
        <v/>
      </c>
      <c r="K635" s="16" t="str">
        <f t="shared" si="252"/>
        <v/>
      </c>
      <c r="L635" s="105" t="str">
        <f t="shared" si="257"/>
        <v/>
      </c>
      <c r="M635" s="105"/>
      <c r="N635" s="173"/>
      <c r="O635" s="92"/>
      <c r="P635" s="87"/>
      <c r="Q635" s="71"/>
      <c r="R635" s="88">
        <f t="shared" si="253"/>
        <v>0</v>
      </c>
      <c r="S635" s="71"/>
      <c r="T635" s="89" t="str">
        <f t="shared" si="258"/>
        <v/>
      </c>
      <c r="U635" s="71"/>
      <c r="V635" s="175"/>
      <c r="W635" s="29"/>
    </row>
    <row r="636" spans="1:23" ht="15.75" customHeight="1" x14ac:dyDescent="0.25">
      <c r="A636" s="179"/>
      <c r="B636" s="260"/>
      <c r="C636" s="84"/>
      <c r="D636" s="125"/>
      <c r="E636" s="125"/>
      <c r="F636" s="85" t="str">
        <f t="shared" si="254"/>
        <v/>
      </c>
      <c r="G636" s="85"/>
      <c r="H636" s="85"/>
      <c r="I636" s="85" t="str">
        <f t="shared" si="255"/>
        <v/>
      </c>
      <c r="J636" s="85" t="str">
        <f t="shared" si="256"/>
        <v/>
      </c>
      <c r="K636" s="85" t="str">
        <f t="shared" si="252"/>
        <v/>
      </c>
      <c r="L636" s="86" t="str">
        <f t="shared" si="257"/>
        <v/>
      </c>
      <c r="M636" s="86"/>
      <c r="N636" s="173"/>
      <c r="O636" s="92"/>
      <c r="P636" s="87"/>
      <c r="Q636" s="71"/>
      <c r="R636" s="88">
        <f t="shared" si="253"/>
        <v>0</v>
      </c>
      <c r="S636" s="71"/>
      <c r="T636" s="89" t="str">
        <f t="shared" si="258"/>
        <v/>
      </c>
      <c r="U636" s="71"/>
      <c r="V636" s="175"/>
      <c r="W636" s="29"/>
    </row>
    <row r="637" spans="1:23" ht="15.75" customHeight="1" thickBot="1" x14ac:dyDescent="0.3">
      <c r="A637" s="179"/>
      <c r="B637" s="260"/>
      <c r="C637" s="90"/>
      <c r="D637" s="116"/>
      <c r="E637" s="116"/>
      <c r="F637" s="16" t="str">
        <f t="shared" si="254"/>
        <v/>
      </c>
      <c r="G637" s="16"/>
      <c r="H637" s="16"/>
      <c r="I637" s="16" t="str">
        <f t="shared" si="255"/>
        <v/>
      </c>
      <c r="J637" s="16" t="str">
        <f t="shared" si="256"/>
        <v/>
      </c>
      <c r="K637" s="16" t="str">
        <f t="shared" si="252"/>
        <v/>
      </c>
      <c r="L637" s="91" t="str">
        <f t="shared" si="257"/>
        <v/>
      </c>
      <c r="M637" s="91"/>
      <c r="N637" s="173"/>
      <c r="O637" s="29"/>
      <c r="P637" s="87"/>
      <c r="Q637" s="71"/>
      <c r="R637" s="88">
        <f t="shared" si="253"/>
        <v>0</v>
      </c>
      <c r="S637" s="71"/>
      <c r="T637" s="89" t="str">
        <f t="shared" si="258"/>
        <v/>
      </c>
      <c r="U637" s="71"/>
      <c r="V637" s="93" t="s">
        <v>31</v>
      </c>
      <c r="W637" s="29"/>
    </row>
    <row r="638" spans="1:23" ht="15.75" customHeight="1" x14ac:dyDescent="0.25">
      <c r="A638" s="179"/>
      <c r="B638" s="260"/>
      <c r="C638" s="84"/>
      <c r="D638" s="125"/>
      <c r="E638" s="125"/>
      <c r="F638" s="85" t="str">
        <f t="shared" si="254"/>
        <v/>
      </c>
      <c r="G638" s="85"/>
      <c r="H638" s="85"/>
      <c r="I638" s="85" t="str">
        <f t="shared" si="255"/>
        <v/>
      </c>
      <c r="J638" s="85" t="str">
        <f t="shared" si="256"/>
        <v/>
      </c>
      <c r="K638" s="85" t="str">
        <f t="shared" si="252"/>
        <v/>
      </c>
      <c r="L638" s="106" t="str">
        <f t="shared" si="257"/>
        <v/>
      </c>
      <c r="M638" s="106"/>
      <c r="N638" s="173"/>
      <c r="O638" s="29"/>
      <c r="P638" s="87"/>
      <c r="Q638" s="71"/>
      <c r="R638" s="88">
        <f t="shared" si="253"/>
        <v>0</v>
      </c>
      <c r="S638" s="71"/>
      <c r="T638" s="89" t="str">
        <f t="shared" si="258"/>
        <v/>
      </c>
      <c r="U638" s="71"/>
      <c r="V638" s="176">
        <f>IF(AND(NOT(N631=0)),V631/N631,0)</f>
        <v>0</v>
      </c>
      <c r="W638" s="29"/>
    </row>
    <row r="639" spans="1:23" ht="15.75" customHeight="1" x14ac:dyDescent="0.25">
      <c r="A639" s="179"/>
      <c r="B639" s="260"/>
      <c r="C639" s="90"/>
      <c r="D639" s="116"/>
      <c r="E639" s="116"/>
      <c r="F639" s="16" t="str">
        <f t="shared" si="254"/>
        <v/>
      </c>
      <c r="G639" s="16"/>
      <c r="H639" s="16"/>
      <c r="I639" s="16" t="str">
        <f t="shared" si="255"/>
        <v/>
      </c>
      <c r="J639" s="16" t="str">
        <f t="shared" si="256"/>
        <v/>
      </c>
      <c r="K639" s="16" t="str">
        <f t="shared" si="252"/>
        <v/>
      </c>
      <c r="L639" s="105" t="str">
        <f t="shared" si="257"/>
        <v/>
      </c>
      <c r="M639" s="105"/>
      <c r="N639" s="173"/>
      <c r="O639" s="29"/>
      <c r="P639" s="87"/>
      <c r="Q639" s="71"/>
      <c r="R639" s="88">
        <f t="shared" si="253"/>
        <v>0</v>
      </c>
      <c r="S639" s="71"/>
      <c r="T639" s="89" t="str">
        <f t="shared" si="258"/>
        <v/>
      </c>
      <c r="U639" s="71"/>
      <c r="V639" s="177"/>
      <c r="W639" s="29"/>
    </row>
    <row r="640" spans="1:23" ht="15.75" customHeight="1" thickBot="1" x14ac:dyDescent="0.3">
      <c r="A640" s="180"/>
      <c r="B640" s="261"/>
      <c r="C640" s="94"/>
      <c r="D640" s="118"/>
      <c r="E640" s="118"/>
      <c r="F640" s="95" t="str">
        <f t="shared" si="254"/>
        <v/>
      </c>
      <c r="G640" s="95"/>
      <c r="H640" s="95"/>
      <c r="I640" s="95" t="str">
        <f t="shared" si="255"/>
        <v/>
      </c>
      <c r="J640" s="95" t="str">
        <f t="shared" si="256"/>
        <v/>
      </c>
      <c r="K640" s="95" t="str">
        <f t="shared" si="252"/>
        <v/>
      </c>
      <c r="L640" s="96" t="str">
        <f t="shared" si="257"/>
        <v/>
      </c>
      <c r="M640" s="96"/>
      <c r="N640" s="174"/>
      <c r="O640" s="29"/>
      <c r="P640" s="97"/>
      <c r="Q640" s="29"/>
      <c r="R640" s="98">
        <f>IF(OR(P640="",L640="NO BET"),0,IF(AND(K640=P640),IF(AND(K640="T2"),ROUNDUP(H640*0.95,2)-1,ROUNDUP(G640*0.95,2)-1),-1))</f>
        <v>0</v>
      </c>
      <c r="S640" s="29"/>
      <c r="T640" s="99" t="str">
        <f t="shared" si="258"/>
        <v/>
      </c>
      <c r="U640" s="29"/>
      <c r="V640" s="178"/>
      <c r="W640" s="29"/>
    </row>
    <row r="641" spans="1:23" ht="15.75" customHeight="1" x14ac:dyDescent="0.25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31"/>
      <c r="S641" s="29"/>
      <c r="T641" s="29"/>
      <c r="U641" s="29"/>
      <c r="V641" s="32"/>
      <c r="W641" s="29"/>
    </row>
    <row r="642" spans="1:23" ht="15.75" customHeight="1" x14ac:dyDescent="0.25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31"/>
      <c r="S642" s="29"/>
      <c r="T642" s="29"/>
      <c r="U642" s="29"/>
      <c r="V642" s="32"/>
      <c r="W642" s="29"/>
    </row>
    <row r="643" spans="1:23" ht="15.75" customHeight="1" thickBot="1" x14ac:dyDescent="0.3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31"/>
      <c r="S643" s="29"/>
      <c r="T643" s="29"/>
      <c r="U643" s="29"/>
      <c r="V643" s="32"/>
      <c r="W643" s="29"/>
    </row>
    <row r="644" spans="1:23" ht="15.75" customHeight="1" thickBot="1" x14ac:dyDescent="0.3">
      <c r="A644" s="114" t="s">
        <v>6</v>
      </c>
      <c r="B644" s="167" t="s">
        <v>21</v>
      </c>
      <c r="C644" s="72"/>
      <c r="D644" s="72" t="s">
        <v>9</v>
      </c>
      <c r="E644" s="72" t="s">
        <v>10</v>
      </c>
      <c r="F644" s="72" t="s">
        <v>11</v>
      </c>
      <c r="G644" s="72" t="s">
        <v>12</v>
      </c>
      <c r="H644" s="72" t="s">
        <v>13</v>
      </c>
      <c r="I644" s="72" t="s">
        <v>14</v>
      </c>
      <c r="J644" s="72" t="s">
        <v>15</v>
      </c>
      <c r="K644" s="72" t="s">
        <v>34</v>
      </c>
      <c r="L644" s="72" t="s">
        <v>16</v>
      </c>
      <c r="M644" s="72"/>
      <c r="N644" s="73" t="s">
        <v>17</v>
      </c>
      <c r="O644" s="74"/>
      <c r="P644" s="75" t="s">
        <v>18</v>
      </c>
      <c r="Q644" s="71"/>
      <c r="R644" s="76" t="s">
        <v>35</v>
      </c>
      <c r="S644" s="71"/>
      <c r="T644" s="75" t="s">
        <v>36</v>
      </c>
      <c r="U644" s="71"/>
      <c r="V644" s="77" t="s">
        <v>29</v>
      </c>
      <c r="W644" s="29"/>
    </row>
    <row r="645" spans="1:23" ht="15.75" customHeight="1" x14ac:dyDescent="0.25">
      <c r="A645" s="115"/>
      <c r="B645" s="168"/>
      <c r="C645" s="78"/>
      <c r="D645" s="79"/>
      <c r="E645" s="79"/>
      <c r="F645" s="79" t="str">
        <f>IF(AND(C645=""),"",1-C645)</f>
        <v/>
      </c>
      <c r="G645" s="79"/>
      <c r="H645" s="79"/>
      <c r="I645" s="79" t="str">
        <f>IF(AND(C645=""),"",G645*C645)</f>
        <v/>
      </c>
      <c r="J645" s="79" t="str">
        <f>IF(AND(C645=""),"",H645*F645)</f>
        <v/>
      </c>
      <c r="K645" s="79" t="str">
        <f t="shared" ref="K645:K654" si="259">IF(AND(I645=""),"",IF(AND(I645&gt;J645),"T1","T2"))</f>
        <v/>
      </c>
      <c r="L645" s="80" t="str">
        <f>IF(AND(K645=""),"",IF(AND((J645*0.95-1)&lt;0,(I645*0.95-1)&lt;0),"NO BET", IF(AND(K645="T1"),I645*0.95 - 1,J645*0.95 - 1)))</f>
        <v/>
      </c>
      <c r="M645" s="80"/>
      <c r="N645" s="172">
        <f>SUMIF(L645:L654,"&gt;0")</f>
        <v>0</v>
      </c>
      <c r="O645" s="74"/>
      <c r="P645" s="81"/>
      <c r="Q645" s="74"/>
      <c r="R645" s="82">
        <f t="shared" ref="R645:R653" si="260">IF(OR(P645="",L645="NO BET"),0,IF(AND(K645=P645),IF(AND(K645="T2"),ROUNDUP(H645*0.95,2)-1,ROUNDUP(G645*0.95,2)-1),-1))</f>
        <v>0</v>
      </c>
      <c r="S645" s="71"/>
      <c r="T645" s="83" t="str">
        <f>IF(AND(P645=""),"",IF(AND(C645&gt;F645),IF(AND(P645="T1"),"a","r"),IF(AND(P645="T2"),"a","r")))</f>
        <v/>
      </c>
      <c r="U645" s="71"/>
      <c r="V645" s="175">
        <f>SUM(R645:R654)</f>
        <v>0</v>
      </c>
      <c r="W645" s="29"/>
    </row>
    <row r="646" spans="1:23" ht="15.75" customHeight="1" x14ac:dyDescent="0.25">
      <c r="A646" s="179" t="s">
        <v>38</v>
      </c>
      <c r="B646" s="168"/>
      <c r="C646" s="84"/>
      <c r="D646" s="85"/>
      <c r="E646" s="117"/>
      <c r="F646" s="85" t="str">
        <f t="shared" ref="F646:F654" si="261">IF(AND(C646=""),"",1-C646)</f>
        <v/>
      </c>
      <c r="G646" s="85"/>
      <c r="H646" s="85"/>
      <c r="I646" s="85" t="str">
        <f t="shared" ref="I646:I654" si="262">IF(AND(C646=""),"",G646*C646)</f>
        <v/>
      </c>
      <c r="J646" s="85" t="str">
        <f t="shared" ref="J646:J654" si="263">IF(AND(C646=""),"",H646*F646)</f>
        <v/>
      </c>
      <c r="K646" s="85" t="str">
        <f t="shared" si="259"/>
        <v/>
      </c>
      <c r="L646" s="86" t="str">
        <f t="shared" ref="L646:L654" si="264">IF(AND(K646=""),"",IF(AND((J646*0.95-1)&lt;0,(I646*0.95-1)&lt;0),"NO BET", IF(AND(K646="T1"),I646*0.95 - 1,J646*0.95 - 1)))</f>
        <v/>
      </c>
      <c r="M646" s="86"/>
      <c r="N646" s="173"/>
      <c r="O646" s="29"/>
      <c r="P646" s="87"/>
      <c r="Q646" s="71"/>
      <c r="R646" s="88">
        <f t="shared" si="260"/>
        <v>0</v>
      </c>
      <c r="S646" s="71"/>
      <c r="T646" s="89" t="str">
        <f t="shared" ref="T646:T654" si="265">IF(AND(P646=""),"",IF(AND(C646&gt;F646),IF(AND(P646="T1"),"a","r"),IF(AND(P646="T2"),"a","r")))</f>
        <v/>
      </c>
      <c r="U646" s="71"/>
      <c r="V646" s="175"/>
      <c r="W646" s="29"/>
    </row>
    <row r="647" spans="1:23" ht="15.75" customHeight="1" x14ac:dyDescent="0.25">
      <c r="A647" s="179"/>
      <c r="B647" s="168"/>
      <c r="C647" s="90"/>
      <c r="D647" s="16"/>
      <c r="E647" s="16"/>
      <c r="F647" s="16" t="str">
        <f t="shared" si="261"/>
        <v/>
      </c>
      <c r="G647" s="16"/>
      <c r="H647" s="16"/>
      <c r="I647" s="16" t="str">
        <f t="shared" si="262"/>
        <v/>
      </c>
      <c r="J647" s="16" t="str">
        <f t="shared" si="263"/>
        <v/>
      </c>
      <c r="K647" s="16" t="str">
        <f t="shared" si="259"/>
        <v/>
      </c>
      <c r="L647" s="91" t="str">
        <f t="shared" si="264"/>
        <v/>
      </c>
      <c r="M647" s="91"/>
      <c r="N647" s="173"/>
      <c r="O647" s="74"/>
      <c r="P647" s="87"/>
      <c r="Q647" s="71"/>
      <c r="R647" s="88">
        <f t="shared" si="260"/>
        <v>0</v>
      </c>
      <c r="S647" s="71"/>
      <c r="T647" s="89" t="str">
        <f t="shared" si="265"/>
        <v/>
      </c>
      <c r="U647" s="71"/>
      <c r="V647" s="175"/>
      <c r="W647" s="29"/>
    </row>
    <row r="648" spans="1:23" ht="15.75" customHeight="1" x14ac:dyDescent="0.25">
      <c r="A648" s="179"/>
      <c r="B648" s="168"/>
      <c r="C648" s="84"/>
      <c r="D648" s="125"/>
      <c r="E648" s="117"/>
      <c r="F648" s="85" t="str">
        <f t="shared" si="261"/>
        <v/>
      </c>
      <c r="G648" s="85"/>
      <c r="H648" s="85"/>
      <c r="I648" s="85" t="str">
        <f t="shared" si="262"/>
        <v/>
      </c>
      <c r="J648" s="85" t="str">
        <f t="shared" si="263"/>
        <v/>
      </c>
      <c r="K648" s="85" t="str">
        <f t="shared" si="259"/>
        <v/>
      </c>
      <c r="L648" s="86" t="str">
        <f t="shared" si="264"/>
        <v/>
      </c>
      <c r="M648" s="86"/>
      <c r="N648" s="173"/>
      <c r="O648" s="92"/>
      <c r="P648" s="87"/>
      <c r="Q648" s="71"/>
      <c r="R648" s="88">
        <f t="shared" si="260"/>
        <v>0</v>
      </c>
      <c r="S648" s="71"/>
      <c r="T648" s="89" t="str">
        <f t="shared" si="265"/>
        <v/>
      </c>
      <c r="U648" s="71"/>
      <c r="V648" s="175"/>
      <c r="W648" s="29"/>
    </row>
    <row r="649" spans="1:23" ht="15.75" customHeight="1" x14ac:dyDescent="0.25">
      <c r="A649" s="179"/>
      <c r="B649" s="168"/>
      <c r="C649" s="90"/>
      <c r="D649" s="16"/>
      <c r="E649" s="116"/>
      <c r="F649" s="16" t="str">
        <f t="shared" si="261"/>
        <v/>
      </c>
      <c r="G649" s="16"/>
      <c r="H649" s="16"/>
      <c r="I649" s="16" t="str">
        <f t="shared" si="262"/>
        <v/>
      </c>
      <c r="J649" s="16" t="str">
        <f t="shared" si="263"/>
        <v/>
      </c>
      <c r="K649" s="16" t="str">
        <f t="shared" si="259"/>
        <v/>
      </c>
      <c r="L649" s="105" t="str">
        <f t="shared" si="264"/>
        <v/>
      </c>
      <c r="M649" s="105"/>
      <c r="N649" s="173"/>
      <c r="O649" s="92"/>
      <c r="P649" s="87"/>
      <c r="Q649" s="71"/>
      <c r="R649" s="88">
        <f t="shared" si="260"/>
        <v>0</v>
      </c>
      <c r="S649" s="71"/>
      <c r="T649" s="89" t="str">
        <f t="shared" si="265"/>
        <v/>
      </c>
      <c r="U649" s="71"/>
      <c r="V649" s="175"/>
      <c r="W649" s="29"/>
    </row>
    <row r="650" spans="1:23" ht="15.75" customHeight="1" x14ac:dyDescent="0.25">
      <c r="A650" s="179"/>
      <c r="B650" s="168"/>
      <c r="C650" s="84"/>
      <c r="D650" s="117"/>
      <c r="E650" s="85"/>
      <c r="F650" s="85" t="str">
        <f t="shared" si="261"/>
        <v/>
      </c>
      <c r="G650" s="85"/>
      <c r="H650" s="85"/>
      <c r="I650" s="85" t="str">
        <f t="shared" si="262"/>
        <v/>
      </c>
      <c r="J650" s="85" t="str">
        <f t="shared" si="263"/>
        <v/>
      </c>
      <c r="K650" s="85" t="str">
        <f t="shared" si="259"/>
        <v/>
      </c>
      <c r="L650" s="86" t="str">
        <f t="shared" si="264"/>
        <v/>
      </c>
      <c r="M650" s="86"/>
      <c r="N650" s="173"/>
      <c r="O650" s="92"/>
      <c r="P650" s="87"/>
      <c r="Q650" s="71"/>
      <c r="R650" s="88">
        <f t="shared" si="260"/>
        <v>0</v>
      </c>
      <c r="S650" s="71"/>
      <c r="T650" s="89" t="str">
        <f t="shared" si="265"/>
        <v/>
      </c>
      <c r="U650" s="71"/>
      <c r="V650" s="175"/>
      <c r="W650" s="29"/>
    </row>
    <row r="651" spans="1:23" ht="15.75" customHeight="1" thickBot="1" x14ac:dyDescent="0.3">
      <c r="A651" s="179"/>
      <c r="B651" s="168"/>
      <c r="C651" s="90"/>
      <c r="D651" s="16"/>
      <c r="E651" s="16"/>
      <c r="F651" s="16" t="str">
        <f t="shared" si="261"/>
        <v/>
      </c>
      <c r="G651" s="16"/>
      <c r="H651" s="16"/>
      <c r="I651" s="16" t="str">
        <f t="shared" si="262"/>
        <v/>
      </c>
      <c r="J651" s="16" t="str">
        <f t="shared" si="263"/>
        <v/>
      </c>
      <c r="K651" s="16" t="str">
        <f t="shared" si="259"/>
        <v/>
      </c>
      <c r="L651" s="91" t="str">
        <f t="shared" si="264"/>
        <v/>
      </c>
      <c r="M651" s="91"/>
      <c r="N651" s="173"/>
      <c r="O651" s="29"/>
      <c r="P651" s="87"/>
      <c r="Q651" s="71"/>
      <c r="R651" s="88">
        <f t="shared" si="260"/>
        <v>0</v>
      </c>
      <c r="S651" s="71"/>
      <c r="T651" s="89" t="str">
        <f t="shared" si="265"/>
        <v/>
      </c>
      <c r="U651" s="71"/>
      <c r="V651" s="93" t="s">
        <v>31</v>
      </c>
      <c r="W651" s="29"/>
    </row>
    <row r="652" spans="1:23" ht="15.75" customHeight="1" x14ac:dyDescent="0.25">
      <c r="A652" s="179"/>
      <c r="B652" s="168"/>
      <c r="C652" s="84"/>
      <c r="D652" s="85"/>
      <c r="E652" s="85"/>
      <c r="F652" s="85" t="str">
        <f t="shared" si="261"/>
        <v/>
      </c>
      <c r="G652" s="85"/>
      <c r="H652" s="85"/>
      <c r="I652" s="85" t="str">
        <f t="shared" si="262"/>
        <v/>
      </c>
      <c r="J652" s="85" t="str">
        <f t="shared" si="263"/>
        <v/>
      </c>
      <c r="K652" s="85" t="str">
        <f t="shared" si="259"/>
        <v/>
      </c>
      <c r="L652" s="106" t="str">
        <f t="shared" si="264"/>
        <v/>
      </c>
      <c r="M652" s="106"/>
      <c r="N652" s="173"/>
      <c r="O652" s="29"/>
      <c r="P652" s="87"/>
      <c r="Q652" s="71"/>
      <c r="R652" s="88">
        <f t="shared" si="260"/>
        <v>0</v>
      </c>
      <c r="S652" s="71"/>
      <c r="T652" s="89" t="str">
        <f t="shared" si="265"/>
        <v/>
      </c>
      <c r="U652" s="71"/>
      <c r="V652" s="176">
        <f>IF(AND(NOT(N645=0)),V645/N645,0)</f>
        <v>0</v>
      </c>
      <c r="W652" s="29"/>
    </row>
    <row r="653" spans="1:23" ht="15.75" customHeight="1" x14ac:dyDescent="0.25">
      <c r="A653" s="179"/>
      <c r="B653" s="168"/>
      <c r="C653" s="90"/>
      <c r="D653" s="16"/>
      <c r="E653" s="16"/>
      <c r="F653" s="16" t="str">
        <f t="shared" si="261"/>
        <v/>
      </c>
      <c r="G653" s="16"/>
      <c r="H653" s="16"/>
      <c r="I653" s="16" t="str">
        <f t="shared" si="262"/>
        <v/>
      </c>
      <c r="J653" s="16" t="str">
        <f t="shared" si="263"/>
        <v/>
      </c>
      <c r="K653" s="16" t="str">
        <f t="shared" si="259"/>
        <v/>
      </c>
      <c r="L653" s="105" t="str">
        <f t="shared" si="264"/>
        <v/>
      </c>
      <c r="M653" s="105"/>
      <c r="N653" s="173"/>
      <c r="O653" s="29"/>
      <c r="P653" s="87"/>
      <c r="Q653" s="71"/>
      <c r="R653" s="88">
        <f t="shared" si="260"/>
        <v>0</v>
      </c>
      <c r="S653" s="71"/>
      <c r="T653" s="89" t="str">
        <f t="shared" si="265"/>
        <v/>
      </c>
      <c r="U653" s="71"/>
      <c r="V653" s="177"/>
      <c r="W653" s="29"/>
    </row>
    <row r="654" spans="1:23" ht="15.75" customHeight="1" thickBot="1" x14ac:dyDescent="0.3">
      <c r="A654" s="180"/>
      <c r="B654" s="169"/>
      <c r="C654" s="94"/>
      <c r="D654" s="95"/>
      <c r="E654" s="95"/>
      <c r="F654" s="95" t="str">
        <f t="shared" si="261"/>
        <v/>
      </c>
      <c r="G654" s="95"/>
      <c r="H654" s="95"/>
      <c r="I654" s="95" t="str">
        <f t="shared" si="262"/>
        <v/>
      </c>
      <c r="J654" s="95" t="str">
        <f t="shared" si="263"/>
        <v/>
      </c>
      <c r="K654" s="95" t="str">
        <f t="shared" si="259"/>
        <v/>
      </c>
      <c r="L654" s="96" t="str">
        <f t="shared" si="264"/>
        <v/>
      </c>
      <c r="M654" s="96"/>
      <c r="N654" s="174"/>
      <c r="O654" s="29"/>
      <c r="P654" s="97"/>
      <c r="Q654" s="29"/>
      <c r="R654" s="98">
        <f>IF(OR(P654="",L654="NO BET"),0,IF(AND(K654=P654),IF(AND(K654="T2"),ROUNDUP(H654*0.95,2)-1,ROUNDUP(G654*0.95,2)-1),-1))</f>
        <v>0</v>
      </c>
      <c r="S654" s="29"/>
      <c r="T654" s="99" t="str">
        <f t="shared" si="265"/>
        <v/>
      </c>
      <c r="U654" s="29"/>
      <c r="V654" s="178"/>
      <c r="W654" s="29"/>
    </row>
    <row r="655" spans="1:23" ht="15.75" customHeight="1" x14ac:dyDescent="0.25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31"/>
      <c r="S655" s="29"/>
      <c r="T655" s="29"/>
      <c r="U655" s="29"/>
      <c r="V655" s="32"/>
      <c r="W655" s="29"/>
    </row>
    <row r="656" spans="1:23" ht="15.75" customHeight="1" x14ac:dyDescent="0.25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31"/>
      <c r="S656" s="29"/>
      <c r="T656" s="29"/>
      <c r="U656" s="29"/>
      <c r="V656" s="32"/>
      <c r="W656" s="29"/>
    </row>
    <row r="657" spans="1:23" ht="15.75" customHeight="1" thickBot="1" x14ac:dyDescent="0.3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31"/>
      <c r="S657" s="29"/>
      <c r="T657" s="29"/>
      <c r="U657" s="29"/>
      <c r="V657" s="32"/>
      <c r="W657" s="29"/>
    </row>
    <row r="658" spans="1:23" ht="15.75" customHeight="1" thickBot="1" x14ac:dyDescent="0.3">
      <c r="A658" s="114" t="s">
        <v>6</v>
      </c>
      <c r="B658" s="167" t="s">
        <v>22</v>
      </c>
      <c r="C658" s="72"/>
      <c r="D658" s="72" t="s">
        <v>9</v>
      </c>
      <c r="E658" s="72" t="s">
        <v>10</v>
      </c>
      <c r="F658" s="72" t="s">
        <v>11</v>
      </c>
      <c r="G658" s="72" t="s">
        <v>12</v>
      </c>
      <c r="H658" s="72" t="s">
        <v>13</v>
      </c>
      <c r="I658" s="72" t="s">
        <v>14</v>
      </c>
      <c r="J658" s="72" t="s">
        <v>15</v>
      </c>
      <c r="K658" s="72" t="s">
        <v>34</v>
      </c>
      <c r="L658" s="72" t="s">
        <v>16</v>
      </c>
      <c r="M658" s="72"/>
      <c r="N658" s="73" t="s">
        <v>17</v>
      </c>
      <c r="O658" s="74"/>
      <c r="P658" s="75" t="s">
        <v>18</v>
      </c>
      <c r="Q658" s="71"/>
      <c r="R658" s="76" t="s">
        <v>35</v>
      </c>
      <c r="S658" s="71"/>
      <c r="T658" s="75" t="s">
        <v>36</v>
      </c>
      <c r="U658" s="71"/>
      <c r="V658" s="77" t="s">
        <v>29</v>
      </c>
      <c r="W658" s="29"/>
    </row>
    <row r="659" spans="1:23" ht="15.75" customHeight="1" x14ac:dyDescent="0.25">
      <c r="A659" s="115"/>
      <c r="B659" s="168"/>
      <c r="C659" s="78"/>
      <c r="D659" s="135" t="s">
        <v>61</v>
      </c>
      <c r="E659" s="135" t="s">
        <v>57</v>
      </c>
      <c r="F659" s="79" t="str">
        <f>IF(AND(C659=""),"",1-C659)</f>
        <v/>
      </c>
      <c r="G659" s="79"/>
      <c r="H659" s="79"/>
      <c r="I659" s="79" t="str">
        <f>IF(AND(C659=""),"",G659*C659)</f>
        <v/>
      </c>
      <c r="J659" s="79" t="str">
        <f>IF(AND(C659=""),"",H659*F659)</f>
        <v/>
      </c>
      <c r="K659" s="79" t="str">
        <f t="shared" ref="K659:K668" si="266">IF(AND(I659=""),"",IF(AND(I659&gt;J659),"T1","T2"))</f>
        <v/>
      </c>
      <c r="L659" s="80" t="str">
        <f>IF(AND(K659=""),"",IF(AND((J659*0.95-1)&lt;0,(I659*0.95-1)&lt;0),"NO BET", IF(AND(K659="T1"),I659*0.95 - 1,J659*0.95 - 1)))</f>
        <v/>
      </c>
      <c r="M659" s="80"/>
      <c r="N659" s="172">
        <f>SUMIF(L659:L668,"&gt;0")</f>
        <v>0</v>
      </c>
      <c r="O659" s="74"/>
      <c r="P659" s="81"/>
      <c r="Q659" s="74"/>
      <c r="R659" s="82">
        <f t="shared" ref="R659:R667" si="267">IF(OR(P659="",L659="NO BET"),0,IF(AND(K659=P659),IF(AND(K659="T2"),ROUNDUP(H659*0.95,2)-1,ROUNDUP(G659*0.95,2)-1),-1))</f>
        <v>0</v>
      </c>
      <c r="S659" s="71"/>
      <c r="T659" s="83" t="str">
        <f>IF(AND(P659=""),"",IF(AND(C659&gt;F659),IF(AND(P659="T1"),"a","r"),IF(AND(P659="T2"),"a","r")))</f>
        <v/>
      </c>
      <c r="U659" s="71"/>
      <c r="V659" s="175">
        <f>SUM(R659:R668)</f>
        <v>0</v>
      </c>
      <c r="W659" s="29"/>
    </row>
    <row r="660" spans="1:23" ht="15.75" customHeight="1" x14ac:dyDescent="0.25">
      <c r="A660" s="179" t="s">
        <v>38</v>
      </c>
      <c r="B660" s="168"/>
      <c r="C660" s="84"/>
      <c r="D660" s="137" t="s">
        <v>59</v>
      </c>
      <c r="E660" s="137" t="s">
        <v>58</v>
      </c>
      <c r="F660" s="85" t="str">
        <f t="shared" ref="F660:F668" si="268">IF(AND(C660=""),"",1-C660)</f>
        <v/>
      </c>
      <c r="G660" s="85"/>
      <c r="H660" s="85"/>
      <c r="I660" s="85" t="str">
        <f t="shared" ref="I660:I668" si="269">IF(AND(C660=""),"",G660*C660)</f>
        <v/>
      </c>
      <c r="J660" s="85" t="str">
        <f t="shared" ref="J660:J668" si="270">IF(AND(C660=""),"",H660*F660)</f>
        <v/>
      </c>
      <c r="K660" s="85" t="str">
        <f t="shared" si="266"/>
        <v/>
      </c>
      <c r="L660" s="86" t="str">
        <f t="shared" ref="L660:L668" si="271">IF(AND(K660=""),"",IF(AND((J660*0.95-1)&lt;0,(I660*0.95-1)&lt;0),"NO BET", IF(AND(K660="T1"),I660*0.95 - 1,J660*0.95 - 1)))</f>
        <v/>
      </c>
      <c r="M660" s="86"/>
      <c r="N660" s="173"/>
      <c r="O660" s="29"/>
      <c r="P660" s="87"/>
      <c r="Q660" s="71"/>
      <c r="R660" s="88">
        <f t="shared" si="267"/>
        <v>0</v>
      </c>
      <c r="S660" s="71"/>
      <c r="T660" s="89" t="str">
        <f t="shared" ref="T660:T668" si="272">IF(AND(P660=""),"",IF(AND(C660&gt;F660),IF(AND(P660="T1"),"a","r"),IF(AND(P660="T2"),"a","r")))</f>
        <v/>
      </c>
      <c r="U660" s="71"/>
      <c r="V660" s="175"/>
      <c r="W660" s="29"/>
    </row>
    <row r="661" spans="1:23" ht="15.75" customHeight="1" x14ac:dyDescent="0.25">
      <c r="A661" s="179"/>
      <c r="B661" s="168"/>
      <c r="C661" s="90"/>
      <c r="D661" s="16"/>
      <c r="E661" s="16"/>
      <c r="F661" s="16" t="str">
        <f t="shared" si="268"/>
        <v/>
      </c>
      <c r="G661" s="16"/>
      <c r="H661" s="16"/>
      <c r="I661" s="16" t="str">
        <f t="shared" si="269"/>
        <v/>
      </c>
      <c r="J661" s="16" t="str">
        <f t="shared" si="270"/>
        <v/>
      </c>
      <c r="K661" s="16" t="str">
        <f t="shared" si="266"/>
        <v/>
      </c>
      <c r="L661" s="91" t="str">
        <f t="shared" si="271"/>
        <v/>
      </c>
      <c r="M661" s="91"/>
      <c r="N661" s="173"/>
      <c r="O661" s="74"/>
      <c r="P661" s="87"/>
      <c r="Q661" s="71"/>
      <c r="R661" s="88">
        <f t="shared" si="267"/>
        <v>0</v>
      </c>
      <c r="S661" s="71"/>
      <c r="T661" s="89" t="str">
        <f t="shared" si="272"/>
        <v/>
      </c>
      <c r="U661" s="71"/>
      <c r="V661" s="175"/>
      <c r="W661" s="29"/>
    </row>
    <row r="662" spans="1:23" ht="15.75" customHeight="1" x14ac:dyDescent="0.25">
      <c r="A662" s="179"/>
      <c r="B662" s="168"/>
      <c r="C662" s="84"/>
      <c r="D662" s="85"/>
      <c r="E662" s="85"/>
      <c r="F662" s="85" t="str">
        <f t="shared" si="268"/>
        <v/>
      </c>
      <c r="G662" s="85"/>
      <c r="H662" s="85"/>
      <c r="I662" s="85" t="str">
        <f t="shared" si="269"/>
        <v/>
      </c>
      <c r="J662" s="85" t="str">
        <f t="shared" si="270"/>
        <v/>
      </c>
      <c r="K662" s="85" t="str">
        <f t="shared" si="266"/>
        <v/>
      </c>
      <c r="L662" s="86" t="str">
        <f t="shared" si="271"/>
        <v/>
      </c>
      <c r="M662" s="86"/>
      <c r="N662" s="173"/>
      <c r="O662" s="92"/>
      <c r="P662" s="87"/>
      <c r="Q662" s="71"/>
      <c r="R662" s="88">
        <f t="shared" si="267"/>
        <v>0</v>
      </c>
      <c r="S662" s="71"/>
      <c r="T662" s="89" t="str">
        <f t="shared" si="272"/>
        <v/>
      </c>
      <c r="U662" s="71"/>
      <c r="V662" s="175"/>
      <c r="W662" s="29"/>
    </row>
    <row r="663" spans="1:23" ht="15.75" customHeight="1" x14ac:dyDescent="0.25">
      <c r="A663" s="179"/>
      <c r="B663" s="168"/>
      <c r="C663" s="90"/>
      <c r="D663" s="16"/>
      <c r="E663" s="16"/>
      <c r="F663" s="16" t="str">
        <f t="shared" si="268"/>
        <v/>
      </c>
      <c r="G663" s="16"/>
      <c r="H663" s="16"/>
      <c r="I663" s="16" t="str">
        <f t="shared" si="269"/>
        <v/>
      </c>
      <c r="J663" s="16" t="str">
        <f t="shared" si="270"/>
        <v/>
      </c>
      <c r="K663" s="16" t="str">
        <f t="shared" si="266"/>
        <v/>
      </c>
      <c r="L663" s="105" t="str">
        <f t="shared" si="271"/>
        <v/>
      </c>
      <c r="M663" s="105"/>
      <c r="N663" s="173"/>
      <c r="O663" s="92"/>
      <c r="P663" s="87"/>
      <c r="Q663" s="71"/>
      <c r="R663" s="88">
        <f t="shared" si="267"/>
        <v>0</v>
      </c>
      <c r="S663" s="71"/>
      <c r="T663" s="89" t="str">
        <f t="shared" si="272"/>
        <v/>
      </c>
      <c r="U663" s="71"/>
      <c r="V663" s="175"/>
      <c r="W663" s="29"/>
    </row>
    <row r="664" spans="1:23" ht="15.75" customHeight="1" x14ac:dyDescent="0.25">
      <c r="A664" s="179"/>
      <c r="B664" s="168"/>
      <c r="C664" s="84"/>
      <c r="D664" s="85"/>
      <c r="E664" s="85"/>
      <c r="F664" s="85" t="str">
        <f t="shared" si="268"/>
        <v/>
      </c>
      <c r="G664" s="85"/>
      <c r="H664" s="85"/>
      <c r="I664" s="85" t="str">
        <f t="shared" si="269"/>
        <v/>
      </c>
      <c r="J664" s="85" t="str">
        <f t="shared" si="270"/>
        <v/>
      </c>
      <c r="K664" s="85" t="str">
        <f t="shared" si="266"/>
        <v/>
      </c>
      <c r="L664" s="86" t="str">
        <f t="shared" si="271"/>
        <v/>
      </c>
      <c r="M664" s="86"/>
      <c r="N664" s="173"/>
      <c r="O664" s="92"/>
      <c r="P664" s="87"/>
      <c r="Q664" s="71"/>
      <c r="R664" s="88">
        <f t="shared" si="267"/>
        <v>0</v>
      </c>
      <c r="S664" s="71"/>
      <c r="T664" s="89" t="str">
        <f t="shared" si="272"/>
        <v/>
      </c>
      <c r="U664" s="71"/>
      <c r="V664" s="175"/>
      <c r="W664" s="29"/>
    </row>
    <row r="665" spans="1:23" ht="15.75" customHeight="1" thickBot="1" x14ac:dyDescent="0.3">
      <c r="A665" s="179"/>
      <c r="B665" s="168"/>
      <c r="C665" s="90"/>
      <c r="D665" s="16"/>
      <c r="E665" s="16"/>
      <c r="F665" s="16" t="str">
        <f t="shared" si="268"/>
        <v/>
      </c>
      <c r="G665" s="16"/>
      <c r="H665" s="16"/>
      <c r="I665" s="16" t="str">
        <f t="shared" si="269"/>
        <v/>
      </c>
      <c r="J665" s="16" t="str">
        <f t="shared" si="270"/>
        <v/>
      </c>
      <c r="K665" s="16" t="str">
        <f t="shared" si="266"/>
        <v/>
      </c>
      <c r="L665" s="91" t="str">
        <f t="shared" si="271"/>
        <v/>
      </c>
      <c r="M665" s="91"/>
      <c r="N665" s="173"/>
      <c r="O665" s="29"/>
      <c r="P665" s="87"/>
      <c r="Q665" s="71"/>
      <c r="R665" s="88">
        <f t="shared" si="267"/>
        <v>0</v>
      </c>
      <c r="S665" s="71"/>
      <c r="T665" s="89" t="str">
        <f t="shared" si="272"/>
        <v/>
      </c>
      <c r="U665" s="71"/>
      <c r="V665" s="93" t="s">
        <v>31</v>
      </c>
      <c r="W665" s="29"/>
    </row>
    <row r="666" spans="1:23" ht="15.75" customHeight="1" x14ac:dyDescent="0.25">
      <c r="A666" s="179"/>
      <c r="B666" s="168"/>
      <c r="C666" s="84"/>
      <c r="D666" s="85"/>
      <c r="E666" s="85"/>
      <c r="F666" s="85" t="str">
        <f t="shared" si="268"/>
        <v/>
      </c>
      <c r="G666" s="85"/>
      <c r="H666" s="85"/>
      <c r="I666" s="85" t="str">
        <f t="shared" si="269"/>
        <v/>
      </c>
      <c r="J666" s="85" t="str">
        <f t="shared" si="270"/>
        <v/>
      </c>
      <c r="K666" s="85" t="str">
        <f t="shared" si="266"/>
        <v/>
      </c>
      <c r="L666" s="106" t="str">
        <f t="shared" si="271"/>
        <v/>
      </c>
      <c r="M666" s="106"/>
      <c r="N666" s="173"/>
      <c r="O666" s="29"/>
      <c r="P666" s="87"/>
      <c r="Q666" s="71"/>
      <c r="R666" s="88">
        <f t="shared" si="267"/>
        <v>0</v>
      </c>
      <c r="S666" s="71"/>
      <c r="T666" s="89" t="str">
        <f t="shared" si="272"/>
        <v/>
      </c>
      <c r="U666" s="71"/>
      <c r="V666" s="176">
        <f>IF(AND(NOT(N659=0)),V659/N659,0)</f>
        <v>0</v>
      </c>
      <c r="W666" s="29"/>
    </row>
    <row r="667" spans="1:23" ht="15.75" customHeight="1" x14ac:dyDescent="0.25">
      <c r="A667" s="179"/>
      <c r="B667" s="168"/>
      <c r="C667" s="90"/>
      <c r="D667" s="16"/>
      <c r="E667" s="16"/>
      <c r="F667" s="16" t="str">
        <f t="shared" si="268"/>
        <v/>
      </c>
      <c r="G667" s="16"/>
      <c r="H667" s="16"/>
      <c r="I667" s="16" t="str">
        <f t="shared" si="269"/>
        <v/>
      </c>
      <c r="J667" s="16" t="str">
        <f t="shared" si="270"/>
        <v/>
      </c>
      <c r="K667" s="16" t="str">
        <f t="shared" si="266"/>
        <v/>
      </c>
      <c r="L667" s="105" t="str">
        <f t="shared" si="271"/>
        <v/>
      </c>
      <c r="M667" s="105"/>
      <c r="N667" s="173"/>
      <c r="O667" s="29"/>
      <c r="P667" s="87"/>
      <c r="Q667" s="71"/>
      <c r="R667" s="88">
        <f t="shared" si="267"/>
        <v>0</v>
      </c>
      <c r="S667" s="71"/>
      <c r="T667" s="89" t="str">
        <f t="shared" si="272"/>
        <v/>
      </c>
      <c r="U667" s="71"/>
      <c r="V667" s="177"/>
      <c r="W667" s="29"/>
    </row>
    <row r="668" spans="1:23" ht="15.75" customHeight="1" thickBot="1" x14ac:dyDescent="0.3">
      <c r="A668" s="180"/>
      <c r="B668" s="169"/>
      <c r="C668" s="94"/>
      <c r="D668" s="95"/>
      <c r="E668" s="95"/>
      <c r="F668" s="95" t="str">
        <f t="shared" si="268"/>
        <v/>
      </c>
      <c r="G668" s="95"/>
      <c r="H668" s="95"/>
      <c r="I668" s="95" t="str">
        <f t="shared" si="269"/>
        <v/>
      </c>
      <c r="J668" s="95" t="str">
        <f t="shared" si="270"/>
        <v/>
      </c>
      <c r="K668" s="95" t="str">
        <f t="shared" si="266"/>
        <v/>
      </c>
      <c r="L668" s="96" t="str">
        <f t="shared" si="271"/>
        <v/>
      </c>
      <c r="M668" s="96"/>
      <c r="N668" s="174"/>
      <c r="O668" s="29"/>
      <c r="P668" s="97"/>
      <c r="Q668" s="29"/>
      <c r="R668" s="98">
        <f>IF(OR(P668="",L668="NO BET"),0,IF(AND(K668=P668),IF(AND(K668="T2"),ROUNDUP(H668*0.95,2)-1,ROUNDUP(G668*0.95,2)-1),-1))</f>
        <v>0</v>
      </c>
      <c r="S668" s="29"/>
      <c r="T668" s="99" t="str">
        <f t="shared" si="272"/>
        <v/>
      </c>
      <c r="U668" s="29"/>
      <c r="V668" s="178"/>
      <c r="W668" s="29"/>
    </row>
    <row r="669" spans="1:23" ht="15.75" customHeight="1" x14ac:dyDescent="0.25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31"/>
      <c r="S669" s="29"/>
      <c r="T669" s="29"/>
      <c r="U669" s="29"/>
      <c r="V669" s="32"/>
      <c r="W669" s="29"/>
    </row>
    <row r="670" spans="1:23" ht="15.75" customHeight="1" x14ac:dyDescent="0.25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31"/>
      <c r="S670" s="29"/>
      <c r="T670" s="29"/>
      <c r="U670" s="29"/>
      <c r="V670" s="32"/>
      <c r="W670" s="29"/>
    </row>
    <row r="671" spans="1:23" ht="15.75" customHeight="1" thickBot="1" x14ac:dyDescent="0.3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31"/>
      <c r="S671" s="29"/>
      <c r="T671" s="29"/>
      <c r="U671" s="29"/>
      <c r="V671" s="32"/>
      <c r="W671" s="29"/>
    </row>
    <row r="672" spans="1:23" ht="15.75" customHeight="1" thickBot="1" x14ac:dyDescent="0.3">
      <c r="A672" s="114" t="s">
        <v>6</v>
      </c>
      <c r="B672" s="167" t="s">
        <v>23</v>
      </c>
      <c r="C672" s="72"/>
      <c r="D672" s="72" t="s">
        <v>9</v>
      </c>
      <c r="E672" s="72" t="s">
        <v>10</v>
      </c>
      <c r="F672" s="72" t="s">
        <v>11</v>
      </c>
      <c r="G672" s="72" t="s">
        <v>12</v>
      </c>
      <c r="H672" s="72" t="s">
        <v>13</v>
      </c>
      <c r="I672" s="72" t="s">
        <v>14</v>
      </c>
      <c r="J672" s="72" t="s">
        <v>15</v>
      </c>
      <c r="K672" s="72" t="s">
        <v>34</v>
      </c>
      <c r="L672" s="72" t="s">
        <v>16</v>
      </c>
      <c r="M672" s="72"/>
      <c r="N672" s="73" t="s">
        <v>17</v>
      </c>
      <c r="O672" s="74"/>
      <c r="P672" s="75" t="s">
        <v>18</v>
      </c>
      <c r="Q672" s="71"/>
      <c r="R672" s="76" t="s">
        <v>35</v>
      </c>
      <c r="S672" s="71"/>
      <c r="T672" s="75" t="s">
        <v>36</v>
      </c>
      <c r="U672" s="71"/>
      <c r="V672" s="77" t="s">
        <v>29</v>
      </c>
      <c r="W672" s="29"/>
    </row>
    <row r="673" spans="1:23" ht="15.75" customHeight="1" x14ac:dyDescent="0.25">
      <c r="A673" s="115"/>
      <c r="B673" s="168"/>
      <c r="C673" s="78"/>
      <c r="D673" s="79"/>
      <c r="E673" s="79"/>
      <c r="F673" s="79"/>
      <c r="G673" s="79"/>
      <c r="H673" s="79"/>
      <c r="I673" s="79"/>
      <c r="J673" s="79"/>
      <c r="K673" s="79"/>
      <c r="L673" s="80"/>
      <c r="M673" s="80"/>
      <c r="N673" s="172">
        <f>SUMIF(L687:L696,"&gt;0")</f>
        <v>0</v>
      </c>
      <c r="O673" s="74"/>
      <c r="P673" s="81"/>
      <c r="Q673" s="74"/>
      <c r="R673" s="82">
        <f t="shared" ref="R673:R682" si="273">IF(OR(P673="",L687="NO BET"),0,IF(AND(K687=P673),IF(AND(K687="T2"),ROUNDUP(H687*0.95,2)-1,ROUNDUP(G687*0.95,2)-1),-1))</f>
        <v>0</v>
      </c>
      <c r="S673" s="71"/>
      <c r="T673" s="83" t="str">
        <f t="shared" ref="T673:T682" si="274">IF(AND(P673=""),"",IF(AND(C687&gt;F687),IF(AND(P673="T1"),"a","r"),IF(AND(P673="T2"),"a","r")))</f>
        <v/>
      </c>
      <c r="U673" s="71"/>
      <c r="V673" s="175">
        <f>SUM(R673:R682)</f>
        <v>0</v>
      </c>
      <c r="W673" s="29"/>
    </row>
    <row r="674" spans="1:23" ht="15.75" customHeight="1" x14ac:dyDescent="0.25">
      <c r="A674" s="179" t="s">
        <v>38</v>
      </c>
      <c r="B674" s="168"/>
      <c r="C674" s="84"/>
      <c r="D674" s="85"/>
      <c r="E674" s="85"/>
      <c r="F674" s="85"/>
      <c r="G674" s="85"/>
      <c r="H674" s="85"/>
      <c r="I674" s="85"/>
      <c r="J674" s="85"/>
      <c r="K674" s="85"/>
      <c r="L674" s="86"/>
      <c r="M674" s="86"/>
      <c r="N674" s="173"/>
      <c r="O674" s="29"/>
      <c r="P674" s="87"/>
      <c r="Q674" s="71"/>
      <c r="R674" s="88">
        <f t="shared" si="273"/>
        <v>0</v>
      </c>
      <c r="S674" s="71"/>
      <c r="T674" s="89" t="str">
        <f t="shared" si="274"/>
        <v/>
      </c>
      <c r="U674" s="71"/>
      <c r="V674" s="175"/>
      <c r="W674" s="29"/>
    </row>
    <row r="675" spans="1:23" ht="15.75" customHeight="1" x14ac:dyDescent="0.25">
      <c r="A675" s="179"/>
      <c r="B675" s="168"/>
      <c r="C675" s="90"/>
      <c r="D675" s="16"/>
      <c r="E675" s="16"/>
      <c r="F675" s="16"/>
      <c r="G675" s="16"/>
      <c r="H675" s="16"/>
      <c r="I675" s="16"/>
      <c r="J675" s="16"/>
      <c r="K675" s="16"/>
      <c r="L675" s="91"/>
      <c r="M675" s="91"/>
      <c r="N675" s="173"/>
      <c r="O675" s="74"/>
      <c r="P675" s="87"/>
      <c r="Q675" s="71"/>
      <c r="R675" s="88">
        <f t="shared" si="273"/>
        <v>0</v>
      </c>
      <c r="S675" s="71"/>
      <c r="T675" s="89" t="str">
        <f t="shared" si="274"/>
        <v/>
      </c>
      <c r="U675" s="71"/>
      <c r="V675" s="175"/>
      <c r="W675" s="29"/>
    </row>
    <row r="676" spans="1:23" ht="15.75" customHeight="1" x14ac:dyDescent="0.25">
      <c r="A676" s="179"/>
      <c r="B676" s="168"/>
      <c r="C676" s="84"/>
      <c r="D676" s="85"/>
      <c r="E676" s="85"/>
      <c r="F676" s="85"/>
      <c r="G676" s="85"/>
      <c r="H676" s="85"/>
      <c r="I676" s="85"/>
      <c r="J676" s="85"/>
      <c r="K676" s="85"/>
      <c r="L676" s="86"/>
      <c r="M676" s="86"/>
      <c r="N676" s="173"/>
      <c r="O676" s="92"/>
      <c r="P676" s="87"/>
      <c r="Q676" s="71"/>
      <c r="R676" s="88">
        <f t="shared" si="273"/>
        <v>0</v>
      </c>
      <c r="S676" s="71"/>
      <c r="T676" s="89" t="str">
        <f t="shared" si="274"/>
        <v/>
      </c>
      <c r="U676" s="71"/>
      <c r="V676" s="175"/>
      <c r="W676" s="29"/>
    </row>
    <row r="677" spans="1:23" ht="15.75" customHeight="1" x14ac:dyDescent="0.25">
      <c r="A677" s="179"/>
      <c r="B677" s="168"/>
      <c r="C677" s="90"/>
      <c r="D677" s="16"/>
      <c r="E677" s="16"/>
      <c r="F677" s="16"/>
      <c r="G677" s="16"/>
      <c r="H677" s="16"/>
      <c r="I677" s="16"/>
      <c r="J677" s="16"/>
      <c r="K677" s="16"/>
      <c r="L677" s="105"/>
      <c r="M677" s="105"/>
      <c r="N677" s="173"/>
      <c r="O677" s="92"/>
      <c r="P677" s="87"/>
      <c r="Q677" s="71"/>
      <c r="R677" s="88">
        <f t="shared" si="273"/>
        <v>0</v>
      </c>
      <c r="S677" s="71"/>
      <c r="T677" s="89" t="str">
        <f t="shared" si="274"/>
        <v/>
      </c>
      <c r="U677" s="71"/>
      <c r="V677" s="175"/>
      <c r="W677" s="29"/>
    </row>
    <row r="678" spans="1:23" ht="15.75" customHeight="1" x14ac:dyDescent="0.25">
      <c r="A678" s="179"/>
      <c r="B678" s="168"/>
      <c r="C678" s="84"/>
      <c r="D678" s="85"/>
      <c r="E678" s="85"/>
      <c r="F678" s="85"/>
      <c r="G678" s="85"/>
      <c r="H678" s="85"/>
      <c r="I678" s="85"/>
      <c r="J678" s="85"/>
      <c r="K678" s="85"/>
      <c r="L678" s="86"/>
      <c r="M678" s="86"/>
      <c r="N678" s="173"/>
      <c r="O678" s="92"/>
      <c r="P678" s="87"/>
      <c r="Q678" s="71"/>
      <c r="R678" s="88">
        <f t="shared" si="273"/>
        <v>0</v>
      </c>
      <c r="S678" s="71"/>
      <c r="T678" s="89" t="str">
        <f t="shared" si="274"/>
        <v/>
      </c>
      <c r="U678" s="71"/>
      <c r="V678" s="175"/>
      <c r="W678" s="29"/>
    </row>
    <row r="679" spans="1:23" ht="15.75" customHeight="1" thickBot="1" x14ac:dyDescent="0.3">
      <c r="A679" s="179"/>
      <c r="B679" s="168"/>
      <c r="C679" s="90"/>
      <c r="D679" s="16"/>
      <c r="E679" s="16"/>
      <c r="F679" s="16"/>
      <c r="G679" s="16"/>
      <c r="H679" s="16"/>
      <c r="I679" s="16"/>
      <c r="J679" s="16"/>
      <c r="K679" s="16"/>
      <c r="L679" s="91"/>
      <c r="M679" s="91"/>
      <c r="N679" s="173"/>
      <c r="O679" s="29"/>
      <c r="P679" s="87"/>
      <c r="Q679" s="71"/>
      <c r="R679" s="88">
        <f t="shared" si="273"/>
        <v>0</v>
      </c>
      <c r="S679" s="71"/>
      <c r="T679" s="89" t="str">
        <f t="shared" si="274"/>
        <v/>
      </c>
      <c r="U679" s="71"/>
      <c r="V679" s="93" t="s">
        <v>31</v>
      </c>
      <c r="W679" s="29"/>
    </row>
    <row r="680" spans="1:23" ht="15.75" customHeight="1" x14ac:dyDescent="0.25">
      <c r="A680" s="179"/>
      <c r="B680" s="168"/>
      <c r="C680" s="84"/>
      <c r="D680" s="85"/>
      <c r="E680" s="85"/>
      <c r="F680" s="85"/>
      <c r="G680" s="85"/>
      <c r="H680" s="85"/>
      <c r="I680" s="85"/>
      <c r="J680" s="85"/>
      <c r="K680" s="85"/>
      <c r="L680" s="106"/>
      <c r="M680" s="106"/>
      <c r="N680" s="173"/>
      <c r="O680" s="29"/>
      <c r="P680" s="87"/>
      <c r="Q680" s="71"/>
      <c r="R680" s="88">
        <f t="shared" si="273"/>
        <v>0</v>
      </c>
      <c r="S680" s="71"/>
      <c r="T680" s="89" t="str">
        <f t="shared" si="274"/>
        <v/>
      </c>
      <c r="U680" s="71"/>
      <c r="V680" s="176">
        <f>IF(AND(NOT(N673=0)),V673/N673,0)</f>
        <v>0</v>
      </c>
      <c r="W680" s="29"/>
    </row>
    <row r="681" spans="1:23" ht="15.75" customHeight="1" x14ac:dyDescent="0.25">
      <c r="A681" s="179"/>
      <c r="B681" s="168"/>
      <c r="C681" s="90"/>
      <c r="D681" s="16"/>
      <c r="E681" s="16"/>
      <c r="F681" s="16"/>
      <c r="G681" s="16"/>
      <c r="H681" s="16"/>
      <c r="I681" s="16"/>
      <c r="J681" s="16"/>
      <c r="K681" s="16"/>
      <c r="L681" s="105"/>
      <c r="M681" s="105"/>
      <c r="N681" s="173"/>
      <c r="O681" s="29"/>
      <c r="P681" s="87"/>
      <c r="Q681" s="71"/>
      <c r="R681" s="88">
        <f t="shared" si="273"/>
        <v>0</v>
      </c>
      <c r="S681" s="71"/>
      <c r="T681" s="89" t="str">
        <f t="shared" si="274"/>
        <v/>
      </c>
      <c r="U681" s="71"/>
      <c r="V681" s="177"/>
      <c r="W681" s="29"/>
    </row>
    <row r="682" spans="1:23" ht="15.75" customHeight="1" thickBot="1" x14ac:dyDescent="0.3">
      <c r="A682" s="180"/>
      <c r="B682" s="169"/>
      <c r="C682" s="94"/>
      <c r="D682" s="95"/>
      <c r="E682" s="95"/>
      <c r="F682" s="95"/>
      <c r="G682" s="95"/>
      <c r="H682" s="95"/>
      <c r="I682" s="95"/>
      <c r="J682" s="95"/>
      <c r="K682" s="95"/>
      <c r="L682" s="96"/>
      <c r="M682" s="96"/>
      <c r="N682" s="174"/>
      <c r="O682" s="29"/>
      <c r="P682" s="97"/>
      <c r="Q682" s="29"/>
      <c r="R682" s="98">
        <f t="shared" si="273"/>
        <v>0</v>
      </c>
      <c r="S682" s="29"/>
      <c r="T682" s="99" t="str">
        <f t="shared" si="274"/>
        <v/>
      </c>
      <c r="U682" s="29"/>
      <c r="V682" s="178"/>
      <c r="W682" s="29"/>
    </row>
    <row r="683" spans="1:23" ht="15.75" customHeight="1" x14ac:dyDescent="0.25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31"/>
      <c r="S683" s="29"/>
      <c r="T683" s="29"/>
      <c r="U683" s="29"/>
      <c r="V683" s="32"/>
      <c r="W683" s="29"/>
    </row>
    <row r="684" spans="1:23" ht="15.75" customHeight="1" x14ac:dyDescent="0.25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31"/>
      <c r="S684" s="29"/>
      <c r="T684" s="29"/>
      <c r="U684" s="29"/>
      <c r="V684" s="32"/>
      <c r="W684" s="29"/>
    </row>
    <row r="685" spans="1:23" ht="15.75" customHeight="1" thickBot="1" x14ac:dyDescent="0.3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31"/>
      <c r="S685" s="29"/>
      <c r="T685" s="29"/>
      <c r="U685" s="29"/>
      <c r="V685" s="32"/>
      <c r="W685" s="29"/>
    </row>
    <row r="686" spans="1:23" ht="15.75" customHeight="1" thickBot="1" x14ac:dyDescent="0.3">
      <c r="A686" s="114" t="s">
        <v>6</v>
      </c>
      <c r="B686" s="167" t="s">
        <v>24</v>
      </c>
      <c r="C686" s="72"/>
      <c r="D686" s="72" t="s">
        <v>9</v>
      </c>
      <c r="E686" s="72" t="s">
        <v>10</v>
      </c>
      <c r="F686" s="72" t="s">
        <v>11</v>
      </c>
      <c r="G686" s="72" t="s">
        <v>12</v>
      </c>
      <c r="H686" s="72" t="s">
        <v>13</v>
      </c>
      <c r="I686" s="72" t="s">
        <v>14</v>
      </c>
      <c r="J686" s="72" t="s">
        <v>15</v>
      </c>
      <c r="K686" s="72" t="s">
        <v>34</v>
      </c>
      <c r="L686" s="72" t="s">
        <v>16</v>
      </c>
      <c r="M686" s="72"/>
      <c r="N686" s="73" t="s">
        <v>17</v>
      </c>
      <c r="O686" s="74"/>
      <c r="P686" s="75" t="s">
        <v>18</v>
      </c>
      <c r="Q686" s="71"/>
      <c r="R686" s="76" t="s">
        <v>35</v>
      </c>
      <c r="S686" s="71"/>
      <c r="T686" s="75" t="s">
        <v>36</v>
      </c>
      <c r="U686" s="71"/>
      <c r="V686" s="77" t="s">
        <v>29</v>
      </c>
      <c r="W686" s="29"/>
    </row>
    <row r="687" spans="1:23" ht="15.75" customHeight="1" x14ac:dyDescent="0.25">
      <c r="A687" s="115"/>
      <c r="B687" s="168"/>
      <c r="C687" s="78"/>
      <c r="D687" s="135"/>
      <c r="E687" s="135"/>
      <c r="F687" s="79" t="str">
        <f>IF(AND(C687=""),"",1-C687)</f>
        <v/>
      </c>
      <c r="G687" s="79"/>
      <c r="H687" s="79"/>
      <c r="I687" s="79" t="str">
        <f>IF(AND(C687=""),"",G687*C687)</f>
        <v/>
      </c>
      <c r="J687" s="79" t="str">
        <f>IF(AND(C687=""),"",H687*F687)</f>
        <v/>
      </c>
      <c r="K687" s="79" t="str">
        <f t="shared" ref="K687:K696" si="275">IF(AND(I687=""),"",IF(AND(I687&gt;J687),"T1","T2"))</f>
        <v/>
      </c>
      <c r="L687" s="80" t="str">
        <f>IF(AND(K687=""),"",IF(AND((J687*0.95-1)&lt;0,(I687*0.95-1)&lt;0),"NO BET", IF(AND(K687="T1"),I687*0.95 - 1,J687*0.95 - 1)))</f>
        <v/>
      </c>
      <c r="M687" s="80"/>
      <c r="N687" s="172">
        <f>SUMIF(L701:L710,"&gt;0")</f>
        <v>0</v>
      </c>
      <c r="O687" s="74"/>
      <c r="P687" s="81"/>
      <c r="Q687" s="74"/>
      <c r="R687" s="82">
        <f t="shared" ref="R687:R695" si="276">IF(OR(P687="",L687="NO BET"),0,IF(AND(K687=P687),IF(AND(K687="T2"),ROUNDUP(H687*0.95,2)-1,ROUNDUP(G687*0.95,2)-1),-1))</f>
        <v>0</v>
      </c>
      <c r="S687" s="71"/>
      <c r="T687" s="83" t="str">
        <f t="shared" ref="T687:T696" si="277">IF(AND(P687=""),"",IF(AND(C701&gt;F701),IF(AND(P687="T1"),"a","r"),IF(AND(P687="T2"),"a","r")))</f>
        <v/>
      </c>
      <c r="U687" s="71"/>
      <c r="V687" s="175">
        <f>SUM(R687:R696)</f>
        <v>0</v>
      </c>
      <c r="W687" s="29"/>
    </row>
    <row r="688" spans="1:23" ht="15.75" customHeight="1" x14ac:dyDescent="0.25">
      <c r="A688" s="179" t="s">
        <v>38</v>
      </c>
      <c r="B688" s="168"/>
      <c r="C688" s="84"/>
      <c r="D688" s="137"/>
      <c r="E688" s="137"/>
      <c r="F688" s="85" t="str">
        <f t="shared" ref="F688:F696" si="278">IF(AND(C688=""),"",1-C688)</f>
        <v/>
      </c>
      <c r="G688" s="85"/>
      <c r="H688" s="85"/>
      <c r="I688" s="85" t="str">
        <f t="shared" ref="I688:I696" si="279">IF(AND(C688=""),"",G688*C688)</f>
        <v/>
      </c>
      <c r="J688" s="85" t="str">
        <f t="shared" ref="J688:J696" si="280">IF(AND(C688=""),"",H688*F688)</f>
        <v/>
      </c>
      <c r="K688" s="85" t="str">
        <f t="shared" si="275"/>
        <v/>
      </c>
      <c r="L688" s="86" t="str">
        <f t="shared" ref="L688:L696" si="281">IF(AND(K688=""),"",IF(AND((J688*0.95-1)&lt;0,(I688*0.95-1)&lt;0),"NO BET", IF(AND(K688="T1"),I688*0.95 - 1,J688*0.95 - 1)))</f>
        <v/>
      </c>
      <c r="M688" s="86"/>
      <c r="N688" s="173"/>
      <c r="O688" s="29"/>
      <c r="P688" s="87"/>
      <c r="Q688" s="71"/>
      <c r="R688" s="88">
        <f t="shared" si="276"/>
        <v>0</v>
      </c>
      <c r="S688" s="71"/>
      <c r="T688" s="89" t="str">
        <f t="shared" si="277"/>
        <v/>
      </c>
      <c r="U688" s="71"/>
      <c r="V688" s="175"/>
      <c r="W688" s="29"/>
    </row>
    <row r="689" spans="1:23" ht="15.75" customHeight="1" x14ac:dyDescent="0.25">
      <c r="A689" s="179"/>
      <c r="B689" s="168"/>
      <c r="C689" s="90"/>
      <c r="D689" s="139"/>
      <c r="E689" s="139"/>
      <c r="F689" s="16" t="str">
        <f t="shared" si="278"/>
        <v/>
      </c>
      <c r="G689" s="16"/>
      <c r="H689" s="16"/>
      <c r="I689" s="16" t="str">
        <f t="shared" si="279"/>
        <v/>
      </c>
      <c r="J689" s="16" t="str">
        <f t="shared" si="280"/>
        <v/>
      </c>
      <c r="K689" s="16" t="str">
        <f t="shared" si="275"/>
        <v/>
      </c>
      <c r="L689" s="91" t="str">
        <f t="shared" si="281"/>
        <v/>
      </c>
      <c r="M689" s="91"/>
      <c r="N689" s="173"/>
      <c r="O689" s="74"/>
      <c r="P689" s="87"/>
      <c r="Q689" s="71"/>
      <c r="R689" s="88">
        <f t="shared" si="276"/>
        <v>0</v>
      </c>
      <c r="S689" s="71"/>
      <c r="T689" s="89" t="str">
        <f t="shared" si="277"/>
        <v/>
      </c>
      <c r="U689" s="71"/>
      <c r="V689" s="175"/>
      <c r="W689" s="29"/>
    </row>
    <row r="690" spans="1:23" ht="15.75" customHeight="1" x14ac:dyDescent="0.25">
      <c r="A690" s="179"/>
      <c r="B690" s="168"/>
      <c r="C690" s="84"/>
      <c r="D690" s="137"/>
      <c r="E690" s="137"/>
      <c r="F690" s="85" t="str">
        <f t="shared" si="278"/>
        <v/>
      </c>
      <c r="G690" s="85"/>
      <c r="H690" s="85"/>
      <c r="I690" s="85" t="str">
        <f t="shared" si="279"/>
        <v/>
      </c>
      <c r="J690" s="85" t="str">
        <f t="shared" si="280"/>
        <v/>
      </c>
      <c r="K690" s="85" t="str">
        <f t="shared" si="275"/>
        <v/>
      </c>
      <c r="L690" s="86" t="str">
        <f t="shared" si="281"/>
        <v/>
      </c>
      <c r="M690" s="86"/>
      <c r="N690" s="173"/>
      <c r="O690" s="92"/>
      <c r="P690" s="87"/>
      <c r="Q690" s="71"/>
      <c r="R690" s="88">
        <f t="shared" si="276"/>
        <v>0</v>
      </c>
      <c r="S690" s="71"/>
      <c r="T690" s="89" t="str">
        <f t="shared" si="277"/>
        <v/>
      </c>
      <c r="U690" s="71"/>
      <c r="V690" s="175"/>
      <c r="W690" s="29"/>
    </row>
    <row r="691" spans="1:23" ht="15.75" customHeight="1" x14ac:dyDescent="0.25">
      <c r="A691" s="179"/>
      <c r="B691" s="168"/>
      <c r="C691" s="90"/>
      <c r="D691" s="139"/>
      <c r="E691" s="139"/>
      <c r="F691" s="16" t="str">
        <f t="shared" si="278"/>
        <v/>
      </c>
      <c r="G691" s="16"/>
      <c r="H691" s="16"/>
      <c r="I691" s="16" t="str">
        <f t="shared" si="279"/>
        <v/>
      </c>
      <c r="J691" s="16" t="str">
        <f t="shared" si="280"/>
        <v/>
      </c>
      <c r="K691" s="16" t="str">
        <f t="shared" si="275"/>
        <v/>
      </c>
      <c r="L691" s="105" t="str">
        <f t="shared" si="281"/>
        <v/>
      </c>
      <c r="M691" s="105"/>
      <c r="N691" s="173"/>
      <c r="O691" s="92"/>
      <c r="P691" s="87"/>
      <c r="Q691" s="71"/>
      <c r="R691" s="88">
        <f t="shared" si="276"/>
        <v>0</v>
      </c>
      <c r="S691" s="71"/>
      <c r="T691" s="89" t="str">
        <f t="shared" si="277"/>
        <v/>
      </c>
      <c r="U691" s="71"/>
      <c r="V691" s="175"/>
      <c r="W691" s="29"/>
    </row>
    <row r="692" spans="1:23" ht="15.75" customHeight="1" x14ac:dyDescent="0.25">
      <c r="A692" s="179"/>
      <c r="B692" s="168"/>
      <c r="C692" s="84"/>
      <c r="D692" s="137"/>
      <c r="E692" s="137"/>
      <c r="F692" s="85" t="str">
        <f t="shared" si="278"/>
        <v/>
      </c>
      <c r="G692" s="85"/>
      <c r="H692" s="85"/>
      <c r="I692" s="85" t="str">
        <f t="shared" si="279"/>
        <v/>
      </c>
      <c r="J692" s="85" t="str">
        <f t="shared" si="280"/>
        <v/>
      </c>
      <c r="K692" s="85" t="str">
        <f t="shared" si="275"/>
        <v/>
      </c>
      <c r="L692" s="86" t="str">
        <f t="shared" si="281"/>
        <v/>
      </c>
      <c r="M692" s="86"/>
      <c r="N692" s="173"/>
      <c r="O692" s="92"/>
      <c r="P692" s="87"/>
      <c r="Q692" s="71"/>
      <c r="R692" s="88">
        <f t="shared" si="276"/>
        <v>0</v>
      </c>
      <c r="S692" s="71"/>
      <c r="T692" s="89" t="str">
        <f t="shared" si="277"/>
        <v/>
      </c>
      <c r="U692" s="71"/>
      <c r="V692" s="175"/>
      <c r="W692" s="29"/>
    </row>
    <row r="693" spans="1:23" ht="15.75" customHeight="1" thickBot="1" x14ac:dyDescent="0.3">
      <c r="A693" s="179"/>
      <c r="B693" s="168"/>
      <c r="C693" s="90"/>
      <c r="D693" s="16"/>
      <c r="E693" s="16"/>
      <c r="F693" s="16" t="str">
        <f t="shared" si="278"/>
        <v/>
      </c>
      <c r="G693" s="16"/>
      <c r="H693" s="16"/>
      <c r="I693" s="16" t="str">
        <f t="shared" si="279"/>
        <v/>
      </c>
      <c r="J693" s="16" t="str">
        <f t="shared" si="280"/>
        <v/>
      </c>
      <c r="K693" s="16" t="str">
        <f t="shared" si="275"/>
        <v/>
      </c>
      <c r="L693" s="91" t="str">
        <f t="shared" si="281"/>
        <v/>
      </c>
      <c r="M693" s="91"/>
      <c r="N693" s="173"/>
      <c r="O693" s="29"/>
      <c r="P693" s="87"/>
      <c r="Q693" s="71"/>
      <c r="R693" s="88">
        <f t="shared" si="276"/>
        <v>0</v>
      </c>
      <c r="S693" s="71"/>
      <c r="T693" s="89" t="str">
        <f t="shared" si="277"/>
        <v/>
      </c>
      <c r="U693" s="71"/>
      <c r="V693" s="93" t="s">
        <v>31</v>
      </c>
      <c r="W693" s="29"/>
    </row>
    <row r="694" spans="1:23" ht="15.75" customHeight="1" x14ac:dyDescent="0.25">
      <c r="A694" s="179"/>
      <c r="B694" s="168"/>
      <c r="C694" s="84"/>
      <c r="D694" s="85"/>
      <c r="E694" s="85"/>
      <c r="F694" s="85" t="str">
        <f t="shared" si="278"/>
        <v/>
      </c>
      <c r="G694" s="85"/>
      <c r="H694" s="85"/>
      <c r="I694" s="85" t="str">
        <f t="shared" si="279"/>
        <v/>
      </c>
      <c r="J694" s="85" t="str">
        <f t="shared" si="280"/>
        <v/>
      </c>
      <c r="K694" s="85" t="str">
        <f t="shared" si="275"/>
        <v/>
      </c>
      <c r="L694" s="106" t="str">
        <f t="shared" si="281"/>
        <v/>
      </c>
      <c r="M694" s="106"/>
      <c r="N694" s="173"/>
      <c r="O694" s="29"/>
      <c r="P694" s="87"/>
      <c r="Q694" s="71"/>
      <c r="R694" s="88">
        <f t="shared" si="276"/>
        <v>0</v>
      </c>
      <c r="S694" s="71"/>
      <c r="T694" s="89" t="str">
        <f t="shared" si="277"/>
        <v/>
      </c>
      <c r="U694" s="71"/>
      <c r="V694" s="176">
        <f>IF(AND(NOT(N687=0)),V687/N687,0)</f>
        <v>0</v>
      </c>
      <c r="W694" s="29"/>
    </row>
    <row r="695" spans="1:23" ht="15.75" customHeight="1" x14ac:dyDescent="0.25">
      <c r="A695" s="179"/>
      <c r="B695" s="168"/>
      <c r="C695" s="90"/>
      <c r="D695" s="16"/>
      <c r="E695" s="16"/>
      <c r="F695" s="16" t="str">
        <f t="shared" si="278"/>
        <v/>
      </c>
      <c r="G695" s="16"/>
      <c r="H695" s="16"/>
      <c r="I695" s="16" t="str">
        <f t="shared" si="279"/>
        <v/>
      </c>
      <c r="J695" s="16" t="str">
        <f t="shared" si="280"/>
        <v/>
      </c>
      <c r="K695" s="16" t="str">
        <f t="shared" si="275"/>
        <v/>
      </c>
      <c r="L695" s="105" t="str">
        <f t="shared" si="281"/>
        <v/>
      </c>
      <c r="M695" s="105"/>
      <c r="N695" s="173"/>
      <c r="O695" s="29"/>
      <c r="P695" s="87"/>
      <c r="Q695" s="71"/>
      <c r="R695" s="88">
        <f t="shared" si="276"/>
        <v>0</v>
      </c>
      <c r="S695" s="71"/>
      <c r="T695" s="89" t="str">
        <f t="shared" si="277"/>
        <v/>
      </c>
      <c r="U695" s="71"/>
      <c r="V695" s="177"/>
      <c r="W695" s="29"/>
    </row>
    <row r="696" spans="1:23" ht="15.75" customHeight="1" thickBot="1" x14ac:dyDescent="0.3">
      <c r="A696" s="180"/>
      <c r="B696" s="169"/>
      <c r="C696" s="94"/>
      <c r="D696" s="95"/>
      <c r="E696" s="95"/>
      <c r="F696" s="95" t="str">
        <f t="shared" si="278"/>
        <v/>
      </c>
      <c r="G696" s="95"/>
      <c r="H696" s="95"/>
      <c r="I696" s="95" t="str">
        <f t="shared" si="279"/>
        <v/>
      </c>
      <c r="J696" s="95" t="str">
        <f t="shared" si="280"/>
        <v/>
      </c>
      <c r="K696" s="95" t="str">
        <f t="shared" si="275"/>
        <v/>
      </c>
      <c r="L696" s="96" t="str">
        <f t="shared" si="281"/>
        <v/>
      </c>
      <c r="M696" s="96"/>
      <c r="N696" s="174"/>
      <c r="O696" s="29"/>
      <c r="P696" s="97"/>
      <c r="Q696" s="29"/>
      <c r="R696" s="98">
        <f>IF(OR(P696="",L696="NO BET"),0,IF(AND(K696=P696),IF(AND(K696="T2"),ROUNDUP(H696*0.95,2)-1,ROUNDUP(G696*0.95,2)-1),-1))</f>
        <v>0</v>
      </c>
      <c r="S696" s="29"/>
      <c r="T696" s="99" t="str">
        <f t="shared" si="277"/>
        <v/>
      </c>
      <c r="U696" s="29"/>
      <c r="V696" s="178"/>
      <c r="W696" s="29"/>
    </row>
    <row r="697" spans="1:23" ht="15.75" customHeight="1" x14ac:dyDescent="0.25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31"/>
      <c r="S697" s="29"/>
      <c r="T697" s="29"/>
      <c r="U697" s="29"/>
      <c r="V697" s="32"/>
      <c r="W697" s="29"/>
    </row>
    <row r="698" spans="1:23" ht="15.75" customHeight="1" x14ac:dyDescent="0.25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31"/>
      <c r="S698" s="29"/>
      <c r="T698" s="29"/>
      <c r="U698" s="29"/>
      <c r="V698" s="32"/>
      <c r="W698" s="29"/>
    </row>
    <row r="699" spans="1:23" ht="15.75" customHeight="1" thickBot="1" x14ac:dyDescent="0.3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31"/>
      <c r="S699" s="29"/>
      <c r="T699" s="29"/>
      <c r="U699" s="29"/>
      <c r="V699" s="32"/>
      <c r="W699" s="29"/>
    </row>
    <row r="700" spans="1:23" ht="15.75" customHeight="1" thickBot="1" x14ac:dyDescent="0.3">
      <c r="A700" s="114" t="s">
        <v>6</v>
      </c>
      <c r="B700" s="167" t="s">
        <v>25</v>
      </c>
      <c r="C700" s="72"/>
      <c r="D700" s="72" t="s">
        <v>9</v>
      </c>
      <c r="E700" s="72" t="s">
        <v>10</v>
      </c>
      <c r="F700" s="72" t="s">
        <v>11</v>
      </c>
      <c r="G700" s="72" t="s">
        <v>12</v>
      </c>
      <c r="H700" s="72" t="s">
        <v>13</v>
      </c>
      <c r="I700" s="72" t="s">
        <v>14</v>
      </c>
      <c r="J700" s="72" t="s">
        <v>15</v>
      </c>
      <c r="K700" s="72" t="s">
        <v>34</v>
      </c>
      <c r="L700" s="72" t="s">
        <v>16</v>
      </c>
      <c r="M700" s="72"/>
      <c r="N700" s="73" t="s">
        <v>17</v>
      </c>
      <c r="O700" s="74"/>
      <c r="P700" s="75" t="s">
        <v>18</v>
      </c>
      <c r="Q700" s="71"/>
      <c r="R700" s="76" t="s">
        <v>35</v>
      </c>
      <c r="S700" s="71"/>
      <c r="T700" s="75" t="s">
        <v>36</v>
      </c>
      <c r="U700" s="71"/>
      <c r="V700" s="77" t="s">
        <v>29</v>
      </c>
      <c r="W700" s="29"/>
    </row>
    <row r="701" spans="1:23" ht="15.75" customHeight="1" x14ac:dyDescent="0.25">
      <c r="A701" s="115"/>
      <c r="B701" s="168"/>
      <c r="C701" s="78"/>
      <c r="D701" s="135"/>
      <c r="E701" s="135"/>
      <c r="F701" s="79" t="str">
        <f>IF(AND(C701=""),"",1-C701)</f>
        <v/>
      </c>
      <c r="G701" s="79"/>
      <c r="H701" s="79"/>
      <c r="I701" s="79" t="str">
        <f>IF(AND(C701=""),"",G701*C701)</f>
        <v/>
      </c>
      <c r="J701" s="79" t="str">
        <f>IF(AND(C701=""),"",H701*F701)</f>
        <v/>
      </c>
      <c r="K701" s="79" t="str">
        <f t="shared" ref="K701:K710" si="282">IF(AND(I701=""),"",IF(AND(I701&gt;J701),"T1","T2"))</f>
        <v/>
      </c>
      <c r="L701" s="80" t="str">
        <f>IF(AND(K701=""),"",IF(AND((J701*0.95-1)&lt;0,(I701*0.95-1)&lt;0),"NO BET", IF(AND(K701="T1"),I701*0.95 - 1,J701*0.95 - 1)))</f>
        <v/>
      </c>
      <c r="M701" s="80"/>
      <c r="N701" s="172">
        <f>SUMIF(L701:L710,"&gt;0")</f>
        <v>0</v>
      </c>
      <c r="O701" s="74"/>
      <c r="P701" s="81"/>
      <c r="Q701" s="74"/>
      <c r="R701" s="82">
        <f t="shared" ref="R701:R709" si="283">IF(OR(P701="",L701="NO BET"),0,IF(AND(K701=P701),IF(AND(K701="T2"),ROUNDUP(H701*0.95,2)-1,ROUNDUP(G701*0.95,2)-1),-1))</f>
        <v>0</v>
      </c>
      <c r="S701" s="71"/>
      <c r="T701" s="83" t="str">
        <f>IF(AND(P701=""),"",IF(AND(C701&gt;F701),IF(AND(P701="T1"),"a","r"),IF(AND(P701="T2"),"a","r")))</f>
        <v/>
      </c>
      <c r="U701" s="71"/>
      <c r="V701" s="175">
        <f>SUM(R701:R710)</f>
        <v>0</v>
      </c>
      <c r="W701" s="29"/>
    </row>
    <row r="702" spans="1:23" ht="15.75" customHeight="1" x14ac:dyDescent="0.25">
      <c r="A702" s="179" t="s">
        <v>38</v>
      </c>
      <c r="B702" s="168"/>
      <c r="C702" s="84"/>
      <c r="D702" s="137"/>
      <c r="E702" s="137"/>
      <c r="F702" s="85" t="str">
        <f t="shared" ref="F702:F710" si="284">IF(AND(C702=""),"",1-C702)</f>
        <v/>
      </c>
      <c r="G702" s="85"/>
      <c r="H702" s="85"/>
      <c r="I702" s="85" t="str">
        <f t="shared" ref="I702:I710" si="285">IF(AND(C702=""),"",G702*C702)</f>
        <v/>
      </c>
      <c r="J702" s="85" t="str">
        <f t="shared" ref="J702:J710" si="286">IF(AND(C702=""),"",H702*F702)</f>
        <v/>
      </c>
      <c r="K702" s="85" t="str">
        <f t="shared" si="282"/>
        <v/>
      </c>
      <c r="L702" s="86" t="str">
        <f t="shared" ref="L702:L710" si="287">IF(AND(K702=""),"",IF(AND((J702*0.95-1)&lt;0,(I702*0.95-1)&lt;0),"NO BET", IF(AND(K702="T1"),I702*0.95 - 1,J702*0.95 - 1)))</f>
        <v/>
      </c>
      <c r="M702" s="86"/>
      <c r="N702" s="173"/>
      <c r="O702" s="29"/>
      <c r="P702" s="87"/>
      <c r="Q702" s="71"/>
      <c r="R702" s="88">
        <f t="shared" si="283"/>
        <v>0</v>
      </c>
      <c r="S702" s="71"/>
      <c r="T702" s="89" t="str">
        <f t="shared" ref="T702:T710" si="288">IF(AND(P702=""),"",IF(AND(C702&gt;F702),IF(AND(P702="T1"),"a","r"),IF(AND(P702="T2"),"a","r")))</f>
        <v/>
      </c>
      <c r="U702" s="71"/>
      <c r="V702" s="175"/>
      <c r="W702" s="29"/>
    </row>
    <row r="703" spans="1:23" ht="15.75" customHeight="1" x14ac:dyDescent="0.25">
      <c r="A703" s="179"/>
      <c r="B703" s="168"/>
      <c r="C703" s="90"/>
      <c r="D703" s="139"/>
      <c r="E703" s="139"/>
      <c r="F703" s="16" t="str">
        <f t="shared" si="284"/>
        <v/>
      </c>
      <c r="G703" s="16"/>
      <c r="H703" s="16"/>
      <c r="I703" s="16" t="str">
        <f t="shared" si="285"/>
        <v/>
      </c>
      <c r="J703" s="16" t="str">
        <f t="shared" si="286"/>
        <v/>
      </c>
      <c r="K703" s="16" t="str">
        <f t="shared" si="282"/>
        <v/>
      </c>
      <c r="L703" s="91" t="str">
        <f t="shared" si="287"/>
        <v/>
      </c>
      <c r="M703" s="91"/>
      <c r="N703" s="173"/>
      <c r="O703" s="74"/>
      <c r="P703" s="87"/>
      <c r="Q703" s="71"/>
      <c r="R703" s="88">
        <f t="shared" si="283"/>
        <v>0</v>
      </c>
      <c r="S703" s="71"/>
      <c r="T703" s="89" t="str">
        <f t="shared" si="288"/>
        <v/>
      </c>
      <c r="U703" s="71"/>
      <c r="V703" s="175"/>
      <c r="W703" s="29"/>
    </row>
    <row r="704" spans="1:23" ht="15.75" customHeight="1" x14ac:dyDescent="0.25">
      <c r="A704" s="179"/>
      <c r="B704" s="168"/>
      <c r="C704" s="84"/>
      <c r="D704" s="137"/>
      <c r="E704" s="137"/>
      <c r="F704" s="85" t="str">
        <f t="shared" si="284"/>
        <v/>
      </c>
      <c r="G704" s="85"/>
      <c r="H704" s="85"/>
      <c r="I704" s="85" t="str">
        <f t="shared" si="285"/>
        <v/>
      </c>
      <c r="J704" s="85" t="str">
        <f t="shared" si="286"/>
        <v/>
      </c>
      <c r="K704" s="85" t="str">
        <f t="shared" si="282"/>
        <v/>
      </c>
      <c r="L704" s="86" t="str">
        <f t="shared" si="287"/>
        <v/>
      </c>
      <c r="M704" s="86"/>
      <c r="N704" s="173"/>
      <c r="O704" s="92"/>
      <c r="P704" s="87"/>
      <c r="Q704" s="71"/>
      <c r="R704" s="88">
        <f t="shared" si="283"/>
        <v>0</v>
      </c>
      <c r="S704" s="71"/>
      <c r="T704" s="89" t="str">
        <f t="shared" si="288"/>
        <v/>
      </c>
      <c r="U704" s="71"/>
      <c r="V704" s="175"/>
      <c r="W704" s="29"/>
    </row>
    <row r="705" spans="1:23" ht="15.75" customHeight="1" x14ac:dyDescent="0.25">
      <c r="A705" s="179"/>
      <c r="B705" s="168"/>
      <c r="C705" s="90"/>
      <c r="D705" s="139"/>
      <c r="E705" s="139"/>
      <c r="F705" s="16" t="str">
        <f t="shared" si="284"/>
        <v/>
      </c>
      <c r="G705" s="16"/>
      <c r="H705" s="16"/>
      <c r="I705" s="16" t="str">
        <f t="shared" si="285"/>
        <v/>
      </c>
      <c r="J705" s="16" t="str">
        <f t="shared" si="286"/>
        <v/>
      </c>
      <c r="K705" s="16" t="str">
        <f t="shared" si="282"/>
        <v/>
      </c>
      <c r="L705" s="105" t="str">
        <f t="shared" si="287"/>
        <v/>
      </c>
      <c r="M705" s="105"/>
      <c r="N705" s="173"/>
      <c r="O705" s="92"/>
      <c r="P705" s="87"/>
      <c r="Q705" s="71"/>
      <c r="R705" s="88">
        <f t="shared" si="283"/>
        <v>0</v>
      </c>
      <c r="S705" s="71"/>
      <c r="T705" s="89" t="str">
        <f t="shared" si="288"/>
        <v/>
      </c>
      <c r="U705" s="71"/>
      <c r="V705" s="175"/>
      <c r="W705" s="29"/>
    </row>
    <row r="706" spans="1:23" ht="15.75" customHeight="1" x14ac:dyDescent="0.25">
      <c r="A706" s="179"/>
      <c r="B706" s="168"/>
      <c r="C706" s="84"/>
      <c r="D706" s="137"/>
      <c r="E706" s="137"/>
      <c r="F706" s="85" t="str">
        <f t="shared" si="284"/>
        <v/>
      </c>
      <c r="G706" s="85"/>
      <c r="H706" s="85"/>
      <c r="I706" s="85" t="str">
        <f t="shared" si="285"/>
        <v/>
      </c>
      <c r="J706" s="85" t="str">
        <f t="shared" si="286"/>
        <v/>
      </c>
      <c r="K706" s="85" t="str">
        <f t="shared" si="282"/>
        <v/>
      </c>
      <c r="L706" s="86" t="str">
        <f t="shared" si="287"/>
        <v/>
      </c>
      <c r="M706" s="86"/>
      <c r="N706" s="173"/>
      <c r="O706" s="92"/>
      <c r="P706" s="87"/>
      <c r="Q706" s="71"/>
      <c r="R706" s="88">
        <f t="shared" si="283"/>
        <v>0</v>
      </c>
      <c r="S706" s="71"/>
      <c r="T706" s="89" t="str">
        <f t="shared" si="288"/>
        <v/>
      </c>
      <c r="U706" s="71"/>
      <c r="V706" s="175"/>
      <c r="W706" s="29"/>
    </row>
    <row r="707" spans="1:23" ht="15.75" customHeight="1" thickBot="1" x14ac:dyDescent="0.3">
      <c r="A707" s="179"/>
      <c r="B707" s="168"/>
      <c r="C707" s="90"/>
      <c r="D707" s="139"/>
      <c r="E707" s="139"/>
      <c r="F707" s="16" t="str">
        <f t="shared" si="284"/>
        <v/>
      </c>
      <c r="G707" s="16"/>
      <c r="H707" s="16"/>
      <c r="I707" s="16" t="str">
        <f t="shared" si="285"/>
        <v/>
      </c>
      <c r="J707" s="16" t="str">
        <f t="shared" si="286"/>
        <v/>
      </c>
      <c r="K707" s="16" t="str">
        <f t="shared" si="282"/>
        <v/>
      </c>
      <c r="L707" s="91" t="str">
        <f t="shared" si="287"/>
        <v/>
      </c>
      <c r="M707" s="91"/>
      <c r="N707" s="173"/>
      <c r="O707" s="29"/>
      <c r="P707" s="87"/>
      <c r="Q707" s="71"/>
      <c r="R707" s="88">
        <f t="shared" si="283"/>
        <v>0</v>
      </c>
      <c r="S707" s="71"/>
      <c r="T707" s="89" t="str">
        <f t="shared" si="288"/>
        <v/>
      </c>
      <c r="U707" s="71"/>
      <c r="V707" s="93" t="s">
        <v>31</v>
      </c>
      <c r="W707" s="29"/>
    </row>
    <row r="708" spans="1:23" ht="15.75" customHeight="1" x14ac:dyDescent="0.25">
      <c r="A708" s="179"/>
      <c r="B708" s="168"/>
      <c r="C708" s="84"/>
      <c r="D708" s="137"/>
      <c r="E708" s="137"/>
      <c r="F708" s="85" t="str">
        <f t="shared" si="284"/>
        <v/>
      </c>
      <c r="G708" s="85"/>
      <c r="H708" s="85"/>
      <c r="I708" s="85" t="str">
        <f t="shared" si="285"/>
        <v/>
      </c>
      <c r="J708" s="85" t="str">
        <f t="shared" si="286"/>
        <v/>
      </c>
      <c r="K708" s="85" t="str">
        <f t="shared" si="282"/>
        <v/>
      </c>
      <c r="L708" s="106" t="str">
        <f t="shared" si="287"/>
        <v/>
      </c>
      <c r="M708" s="106"/>
      <c r="N708" s="173"/>
      <c r="O708" s="29"/>
      <c r="P708" s="87"/>
      <c r="Q708" s="71"/>
      <c r="R708" s="88">
        <f t="shared" si="283"/>
        <v>0</v>
      </c>
      <c r="S708" s="71"/>
      <c r="T708" s="89" t="str">
        <f t="shared" si="288"/>
        <v/>
      </c>
      <c r="U708" s="71"/>
      <c r="V708" s="176">
        <f>IF(AND(NOT(N701=0)),V701/N701,0)</f>
        <v>0</v>
      </c>
      <c r="W708" s="29"/>
    </row>
    <row r="709" spans="1:23" ht="15.75" customHeight="1" x14ac:dyDescent="0.25">
      <c r="A709" s="179"/>
      <c r="B709" s="168"/>
      <c r="C709" s="90"/>
      <c r="D709" s="16"/>
      <c r="E709" s="16"/>
      <c r="F709" s="16" t="str">
        <f t="shared" si="284"/>
        <v/>
      </c>
      <c r="G709" s="16"/>
      <c r="H709" s="16"/>
      <c r="I709" s="16" t="str">
        <f t="shared" si="285"/>
        <v/>
      </c>
      <c r="J709" s="16" t="str">
        <f t="shared" si="286"/>
        <v/>
      </c>
      <c r="K709" s="16" t="str">
        <f t="shared" si="282"/>
        <v/>
      </c>
      <c r="L709" s="105" t="str">
        <f t="shared" si="287"/>
        <v/>
      </c>
      <c r="M709" s="105"/>
      <c r="N709" s="173"/>
      <c r="O709" s="29"/>
      <c r="P709" s="87"/>
      <c r="Q709" s="71"/>
      <c r="R709" s="88">
        <f t="shared" si="283"/>
        <v>0</v>
      </c>
      <c r="S709" s="71"/>
      <c r="T709" s="89" t="str">
        <f t="shared" si="288"/>
        <v/>
      </c>
      <c r="U709" s="71"/>
      <c r="V709" s="177"/>
      <c r="W709" s="29"/>
    </row>
    <row r="710" spans="1:23" ht="15.75" customHeight="1" thickBot="1" x14ac:dyDescent="0.3">
      <c r="A710" s="180"/>
      <c r="B710" s="169"/>
      <c r="C710" s="94"/>
      <c r="D710" s="95"/>
      <c r="E710" s="95"/>
      <c r="F710" s="95" t="str">
        <f t="shared" si="284"/>
        <v/>
      </c>
      <c r="G710" s="95"/>
      <c r="H710" s="95"/>
      <c r="I710" s="95" t="str">
        <f t="shared" si="285"/>
        <v/>
      </c>
      <c r="J710" s="95" t="str">
        <f t="shared" si="286"/>
        <v/>
      </c>
      <c r="K710" s="95" t="str">
        <f t="shared" si="282"/>
        <v/>
      </c>
      <c r="L710" s="96" t="str">
        <f t="shared" si="287"/>
        <v/>
      </c>
      <c r="M710" s="96"/>
      <c r="N710" s="174"/>
      <c r="O710" s="29"/>
      <c r="P710" s="97"/>
      <c r="Q710" s="29"/>
      <c r="R710" s="98">
        <f>IF(OR(P710="",L710="NO BET"),0,IF(AND(K710=P710),IF(AND(K710="T2"),ROUNDUP(H710*0.95,2)-1,ROUNDUP(G710*0.95,2)-1),-1))</f>
        <v>0</v>
      </c>
      <c r="S710" s="29"/>
      <c r="T710" s="99" t="str">
        <f t="shared" si="288"/>
        <v/>
      </c>
      <c r="U710" s="29"/>
      <c r="V710" s="178"/>
      <c r="W710" s="29"/>
    </row>
    <row r="711" spans="1:23" ht="15.75" customHeight="1" x14ac:dyDescent="0.25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31"/>
      <c r="S711" s="29"/>
      <c r="T711" s="29"/>
      <c r="U711" s="29"/>
      <c r="V711" s="32"/>
      <c r="W711" s="29"/>
    </row>
    <row r="712" spans="1:23" ht="15.75" customHeight="1" x14ac:dyDescent="0.25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31"/>
      <c r="S712" s="29"/>
      <c r="T712" s="29"/>
      <c r="U712" s="29"/>
      <c r="V712" s="32"/>
      <c r="W712" s="29"/>
    </row>
    <row r="713" spans="1:23" ht="15.75" customHeight="1" thickBot="1" x14ac:dyDescent="0.3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31"/>
      <c r="S713" s="29"/>
      <c r="T713" s="29"/>
      <c r="U713" s="29"/>
      <c r="V713" s="32"/>
      <c r="W713" s="29"/>
    </row>
    <row r="714" spans="1:23" ht="15.75" customHeight="1" thickBot="1" x14ac:dyDescent="0.3">
      <c r="A714" s="114" t="s">
        <v>6</v>
      </c>
      <c r="B714" s="167" t="s">
        <v>26</v>
      </c>
      <c r="C714" s="122"/>
      <c r="D714" s="72" t="s">
        <v>9</v>
      </c>
      <c r="E714" s="72" t="s">
        <v>10</v>
      </c>
      <c r="F714" s="72" t="s">
        <v>11</v>
      </c>
      <c r="G714" s="72" t="s">
        <v>12</v>
      </c>
      <c r="H714" s="72" t="s">
        <v>13</v>
      </c>
      <c r="I714" s="72" t="s">
        <v>14</v>
      </c>
      <c r="J714" s="72" t="s">
        <v>15</v>
      </c>
      <c r="K714" s="72" t="s">
        <v>34</v>
      </c>
      <c r="L714" s="72" t="s">
        <v>16</v>
      </c>
      <c r="M714" s="72"/>
      <c r="N714" s="73" t="s">
        <v>17</v>
      </c>
      <c r="O714" s="74"/>
      <c r="P714" s="75" t="s">
        <v>18</v>
      </c>
      <c r="Q714" s="71"/>
      <c r="R714" s="76" t="s">
        <v>35</v>
      </c>
      <c r="S714" s="71"/>
      <c r="T714" s="75" t="s">
        <v>36</v>
      </c>
      <c r="U714" s="71"/>
      <c r="V714" s="77" t="s">
        <v>29</v>
      </c>
      <c r="W714" s="29"/>
    </row>
    <row r="715" spans="1:23" ht="15.75" customHeight="1" x14ac:dyDescent="0.25">
      <c r="A715" s="115"/>
      <c r="B715" s="168"/>
      <c r="C715" s="101"/>
      <c r="D715" s="135"/>
      <c r="E715" s="135"/>
      <c r="F715" s="79" t="str">
        <f>IF(AND(C715=""),"",1-C715)</f>
        <v/>
      </c>
      <c r="G715" s="79"/>
      <c r="H715" s="79"/>
      <c r="I715" s="79" t="str">
        <f>IF(AND(C715=""),"",G715*C715)</f>
        <v/>
      </c>
      <c r="J715" s="79" t="str">
        <f>IF(AND(C715=""),"",H715*F715)</f>
        <v/>
      </c>
      <c r="K715" s="79" t="str">
        <f t="shared" ref="K715:K724" si="289">IF(AND(I715=""),"",IF(AND(I715&gt;J715),"T1","T2"))</f>
        <v/>
      </c>
      <c r="L715" s="80" t="str">
        <f>IF(AND(K715=""),"",IF(AND((J715*0.95-1)&lt;0,(I715*0.95-1)&lt;0),"NO BET", IF(AND(K715="T1"),I715*0.95 - 1,J715*0.95 - 1)))</f>
        <v/>
      </c>
      <c r="M715" s="80"/>
      <c r="N715" s="172">
        <f>SUMIF(L715:L724,"&gt;0")</f>
        <v>0</v>
      </c>
      <c r="O715" s="74"/>
      <c r="P715" s="81"/>
      <c r="Q715" s="74"/>
      <c r="R715" s="82">
        <f t="shared" ref="R715:R723" si="290">IF(OR(P715="",L715="NO BET"),0,IF(AND(K715=P715),IF(AND(K715="T2"),ROUNDUP(H715*0.95,2)-1,ROUNDUP(G715*0.95,2)-1),-1))</f>
        <v>0</v>
      </c>
      <c r="S715" s="71"/>
      <c r="T715" s="83" t="str">
        <f>IF(AND(P715=""),"",IF(AND(C715&gt;F715),IF(AND(P715="T1"),"a","r"),IF(AND(P715="T2"),"a","r")))</f>
        <v/>
      </c>
      <c r="U715" s="71"/>
      <c r="V715" s="175">
        <f>SUM(R715:R724)</f>
        <v>0</v>
      </c>
      <c r="W715" s="29"/>
    </row>
    <row r="716" spans="1:23" ht="15.75" customHeight="1" x14ac:dyDescent="0.25">
      <c r="A716" s="179" t="s">
        <v>38</v>
      </c>
      <c r="B716" s="168"/>
      <c r="C716" s="102"/>
      <c r="D716" s="137"/>
      <c r="E716" s="137"/>
      <c r="F716" s="85" t="str">
        <f t="shared" ref="F716:F724" si="291">IF(AND(C716=""),"",1-C716)</f>
        <v/>
      </c>
      <c r="G716" s="85"/>
      <c r="H716" s="85"/>
      <c r="I716" s="85" t="str">
        <f t="shared" ref="I716:I724" si="292">IF(AND(C716=""),"",G716*C716)</f>
        <v/>
      </c>
      <c r="J716" s="85" t="str">
        <f t="shared" ref="J716:J724" si="293">IF(AND(C716=""),"",H716*F716)</f>
        <v/>
      </c>
      <c r="K716" s="85" t="str">
        <f t="shared" si="289"/>
        <v/>
      </c>
      <c r="L716" s="86" t="str">
        <f t="shared" ref="L716:L724" si="294">IF(AND(K716=""),"",IF(AND((J716*0.95-1)&lt;0,(I716*0.95-1)&lt;0),"NO BET", IF(AND(K716="T1"),I716*0.95 - 1,J716*0.95 - 1)))</f>
        <v/>
      </c>
      <c r="M716" s="86"/>
      <c r="N716" s="173"/>
      <c r="O716" s="29"/>
      <c r="P716" s="87"/>
      <c r="Q716" s="71"/>
      <c r="R716" s="88">
        <f t="shared" si="290"/>
        <v>0</v>
      </c>
      <c r="S716" s="71"/>
      <c r="T716" s="89" t="str">
        <f t="shared" ref="T716:T724" si="295">IF(AND(P716=""),"",IF(AND(C716&gt;F716),IF(AND(P716="T1"),"a","r"),IF(AND(P716="T2"),"a","r")))</f>
        <v/>
      </c>
      <c r="U716" s="71"/>
      <c r="V716" s="175"/>
      <c r="W716" s="29"/>
    </row>
    <row r="717" spans="1:23" ht="15.75" customHeight="1" x14ac:dyDescent="0.25">
      <c r="A717" s="179"/>
      <c r="B717" s="168"/>
      <c r="C717" s="103"/>
      <c r="D717" s="139"/>
      <c r="E717" s="139"/>
      <c r="F717" s="16" t="str">
        <f t="shared" si="291"/>
        <v/>
      </c>
      <c r="G717" s="16"/>
      <c r="H717" s="16"/>
      <c r="I717" s="16" t="str">
        <f t="shared" si="292"/>
        <v/>
      </c>
      <c r="J717" s="16" t="str">
        <f t="shared" si="293"/>
        <v/>
      </c>
      <c r="K717" s="16" t="str">
        <f t="shared" si="289"/>
        <v/>
      </c>
      <c r="L717" s="91" t="str">
        <f t="shared" si="294"/>
        <v/>
      </c>
      <c r="M717" s="91"/>
      <c r="N717" s="173"/>
      <c r="O717" s="74"/>
      <c r="P717" s="87"/>
      <c r="Q717" s="71"/>
      <c r="R717" s="88">
        <f t="shared" si="290"/>
        <v>0</v>
      </c>
      <c r="S717" s="71"/>
      <c r="T717" s="89" t="str">
        <f t="shared" si="295"/>
        <v/>
      </c>
      <c r="U717" s="71"/>
      <c r="V717" s="175"/>
      <c r="W717" s="29"/>
    </row>
    <row r="718" spans="1:23" ht="15.75" customHeight="1" x14ac:dyDescent="0.25">
      <c r="A718" s="179"/>
      <c r="B718" s="168"/>
      <c r="C718" s="102"/>
      <c r="D718" s="137"/>
      <c r="E718" s="137"/>
      <c r="F718" s="85" t="str">
        <f t="shared" si="291"/>
        <v/>
      </c>
      <c r="G718" s="85"/>
      <c r="H718" s="85"/>
      <c r="I718" s="85" t="str">
        <f t="shared" si="292"/>
        <v/>
      </c>
      <c r="J718" s="85" t="str">
        <f t="shared" si="293"/>
        <v/>
      </c>
      <c r="K718" s="85" t="str">
        <f t="shared" si="289"/>
        <v/>
      </c>
      <c r="L718" s="86" t="str">
        <f t="shared" si="294"/>
        <v/>
      </c>
      <c r="M718" s="86"/>
      <c r="N718" s="173"/>
      <c r="O718" s="92"/>
      <c r="P718" s="87"/>
      <c r="Q718" s="71"/>
      <c r="R718" s="88">
        <f t="shared" si="290"/>
        <v>0</v>
      </c>
      <c r="S718" s="71"/>
      <c r="T718" s="89" t="str">
        <f t="shared" si="295"/>
        <v/>
      </c>
      <c r="U718" s="71"/>
      <c r="V718" s="175"/>
      <c r="W718" s="29"/>
    </row>
    <row r="719" spans="1:23" ht="15.75" customHeight="1" x14ac:dyDescent="0.25">
      <c r="A719" s="179"/>
      <c r="B719" s="168"/>
      <c r="C719" s="103"/>
      <c r="D719" s="139"/>
      <c r="E719" s="139"/>
      <c r="F719" s="16" t="str">
        <f t="shared" si="291"/>
        <v/>
      </c>
      <c r="G719" s="16"/>
      <c r="H719" s="16"/>
      <c r="I719" s="16" t="str">
        <f t="shared" si="292"/>
        <v/>
      </c>
      <c r="J719" s="16" t="str">
        <f t="shared" si="293"/>
        <v/>
      </c>
      <c r="K719" s="16" t="str">
        <f t="shared" si="289"/>
        <v/>
      </c>
      <c r="L719" s="105" t="str">
        <f t="shared" si="294"/>
        <v/>
      </c>
      <c r="M719" s="105"/>
      <c r="N719" s="173"/>
      <c r="O719" s="92"/>
      <c r="P719" s="87"/>
      <c r="Q719" s="71"/>
      <c r="R719" s="88">
        <f t="shared" si="290"/>
        <v>0</v>
      </c>
      <c r="S719" s="71"/>
      <c r="T719" s="89" t="str">
        <f t="shared" si="295"/>
        <v/>
      </c>
      <c r="U719" s="71"/>
      <c r="V719" s="175"/>
      <c r="W719" s="29"/>
    </row>
    <row r="720" spans="1:23" ht="15.75" customHeight="1" x14ac:dyDescent="0.25">
      <c r="A720" s="179"/>
      <c r="B720" s="168"/>
      <c r="C720" s="102"/>
      <c r="D720" s="137"/>
      <c r="E720" s="137"/>
      <c r="F720" s="85"/>
      <c r="G720" s="85"/>
      <c r="H720" s="85"/>
      <c r="I720" s="85"/>
      <c r="J720" s="85"/>
      <c r="K720" s="85"/>
      <c r="L720" s="86"/>
      <c r="M720" s="86"/>
      <c r="N720" s="173"/>
      <c r="O720" s="92"/>
      <c r="P720" s="87"/>
      <c r="Q720" s="71"/>
      <c r="R720" s="88">
        <f t="shared" si="290"/>
        <v>0</v>
      </c>
      <c r="S720" s="71"/>
      <c r="T720" s="89" t="str">
        <f t="shared" si="295"/>
        <v/>
      </c>
      <c r="U720" s="71"/>
      <c r="V720" s="175"/>
      <c r="W720" s="29"/>
    </row>
    <row r="721" spans="1:23" ht="15.75" customHeight="1" thickBot="1" x14ac:dyDescent="0.3">
      <c r="A721" s="179"/>
      <c r="B721" s="168"/>
      <c r="C721" s="103"/>
      <c r="D721" s="139"/>
      <c r="E721" s="139"/>
      <c r="F721" s="16" t="str">
        <f t="shared" si="291"/>
        <v/>
      </c>
      <c r="G721" s="16"/>
      <c r="H721" s="16"/>
      <c r="I721" s="16" t="str">
        <f t="shared" si="292"/>
        <v/>
      </c>
      <c r="J721" s="16" t="str">
        <f t="shared" si="293"/>
        <v/>
      </c>
      <c r="K721" s="16" t="str">
        <f t="shared" si="289"/>
        <v/>
      </c>
      <c r="L721" s="91" t="str">
        <f t="shared" si="294"/>
        <v/>
      </c>
      <c r="M721" s="91"/>
      <c r="N721" s="173"/>
      <c r="O721" s="29"/>
      <c r="P721" s="87"/>
      <c r="Q721" s="71"/>
      <c r="R721" s="88">
        <f t="shared" si="290"/>
        <v>0</v>
      </c>
      <c r="S721" s="71"/>
      <c r="T721" s="89" t="str">
        <f t="shared" si="295"/>
        <v/>
      </c>
      <c r="U721" s="71"/>
      <c r="V721" s="93" t="s">
        <v>31</v>
      </c>
      <c r="W721" s="29"/>
    </row>
    <row r="722" spans="1:23" ht="15.75" customHeight="1" x14ac:dyDescent="0.25">
      <c r="A722" s="179"/>
      <c r="B722" s="168"/>
      <c r="C722" s="102"/>
      <c r="D722" s="137"/>
      <c r="E722" s="137"/>
      <c r="F722" s="85" t="str">
        <f t="shared" si="291"/>
        <v/>
      </c>
      <c r="G722" s="85"/>
      <c r="H722" s="85"/>
      <c r="I722" s="85" t="str">
        <f t="shared" si="292"/>
        <v/>
      </c>
      <c r="J722" s="85" t="str">
        <f t="shared" si="293"/>
        <v/>
      </c>
      <c r="K722" s="85" t="str">
        <f t="shared" si="289"/>
        <v/>
      </c>
      <c r="L722" s="106" t="str">
        <f t="shared" si="294"/>
        <v/>
      </c>
      <c r="M722" s="106"/>
      <c r="N722" s="173"/>
      <c r="O722" s="29"/>
      <c r="P722" s="87"/>
      <c r="Q722" s="71"/>
      <c r="R722" s="88">
        <f t="shared" si="290"/>
        <v>0</v>
      </c>
      <c r="S722" s="71"/>
      <c r="T722" s="89" t="str">
        <f t="shared" si="295"/>
        <v/>
      </c>
      <c r="U722" s="71"/>
      <c r="V722" s="176">
        <f>IF(AND(NOT(N715=0)),V715/N715,0)</f>
        <v>0</v>
      </c>
      <c r="W722" s="29"/>
    </row>
    <row r="723" spans="1:23" ht="15.75" customHeight="1" x14ac:dyDescent="0.25">
      <c r="A723" s="179"/>
      <c r="B723" s="168"/>
      <c r="C723" s="103"/>
      <c r="D723" s="16"/>
      <c r="E723" s="16"/>
      <c r="F723" s="16" t="str">
        <f t="shared" si="291"/>
        <v/>
      </c>
      <c r="G723" s="16"/>
      <c r="H723" s="16"/>
      <c r="I723" s="16" t="str">
        <f t="shared" si="292"/>
        <v/>
      </c>
      <c r="J723" s="16" t="str">
        <f t="shared" si="293"/>
        <v/>
      </c>
      <c r="K723" s="16" t="str">
        <f t="shared" si="289"/>
        <v/>
      </c>
      <c r="L723" s="105" t="str">
        <f t="shared" si="294"/>
        <v/>
      </c>
      <c r="M723" s="105"/>
      <c r="N723" s="173"/>
      <c r="O723" s="29"/>
      <c r="P723" s="87"/>
      <c r="Q723" s="71"/>
      <c r="R723" s="88">
        <f t="shared" si="290"/>
        <v>0</v>
      </c>
      <c r="S723" s="71"/>
      <c r="T723" s="89" t="str">
        <f t="shared" si="295"/>
        <v/>
      </c>
      <c r="U723" s="71"/>
      <c r="V723" s="177"/>
      <c r="W723" s="29"/>
    </row>
    <row r="724" spans="1:23" ht="15.75" customHeight="1" thickBot="1" x14ac:dyDescent="0.3">
      <c r="A724" s="180"/>
      <c r="B724" s="169"/>
      <c r="C724" s="107"/>
      <c r="D724" s="95"/>
      <c r="E724" s="95"/>
      <c r="F724" s="95" t="str">
        <f t="shared" si="291"/>
        <v/>
      </c>
      <c r="G724" s="95"/>
      <c r="H724" s="95"/>
      <c r="I724" s="95" t="str">
        <f t="shared" si="292"/>
        <v/>
      </c>
      <c r="J724" s="95" t="str">
        <f t="shared" si="293"/>
        <v/>
      </c>
      <c r="K724" s="95" t="str">
        <f t="shared" si="289"/>
        <v/>
      </c>
      <c r="L724" s="96" t="str">
        <f t="shared" si="294"/>
        <v/>
      </c>
      <c r="M724" s="96"/>
      <c r="N724" s="174"/>
      <c r="O724" s="29"/>
      <c r="P724" s="97"/>
      <c r="Q724" s="29"/>
      <c r="R724" s="98">
        <f>IF(OR(P724="",L724="NO BET"),0,IF(AND(K724=P724),IF(AND(K724="T2"),ROUNDUP(H724*0.95,2)-1,ROUNDUP(G724*0.95,2)-1),-1))</f>
        <v>0</v>
      </c>
      <c r="S724" s="29"/>
      <c r="T724" s="99" t="str">
        <f t="shared" si="295"/>
        <v/>
      </c>
      <c r="U724" s="29"/>
      <c r="V724" s="178"/>
      <c r="W724" s="29"/>
    </row>
    <row r="725" spans="1:23" ht="15.75" customHeight="1" x14ac:dyDescent="0.25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31"/>
      <c r="S725" s="29"/>
      <c r="T725" s="29"/>
      <c r="U725" s="29"/>
      <c r="V725" s="32"/>
      <c r="W725" s="29"/>
    </row>
    <row r="726" spans="1:23" ht="15.75" customHeight="1" x14ac:dyDescent="0.25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31"/>
      <c r="S726" s="29"/>
      <c r="T726" s="29"/>
      <c r="U726" s="29"/>
      <c r="V726" s="32"/>
      <c r="W726" s="29"/>
    </row>
    <row r="727" spans="1:23" ht="15.75" customHeight="1" thickBot="1" x14ac:dyDescent="0.3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31"/>
      <c r="S727" s="29"/>
      <c r="T727" s="29"/>
      <c r="U727" s="29"/>
      <c r="V727" s="32"/>
      <c r="W727" s="29"/>
    </row>
    <row r="728" spans="1:23" ht="15.75" customHeight="1" thickBot="1" x14ac:dyDescent="0.3">
      <c r="A728" s="114" t="s">
        <v>6</v>
      </c>
      <c r="B728" s="167" t="s">
        <v>27</v>
      </c>
      <c r="C728" s="122"/>
      <c r="D728" s="72" t="s">
        <v>9</v>
      </c>
      <c r="E728" s="72" t="s">
        <v>10</v>
      </c>
      <c r="F728" s="72" t="s">
        <v>11</v>
      </c>
      <c r="G728" s="72" t="s">
        <v>12</v>
      </c>
      <c r="H728" s="72" t="s">
        <v>13</v>
      </c>
      <c r="I728" s="72" t="s">
        <v>14</v>
      </c>
      <c r="J728" s="72" t="s">
        <v>15</v>
      </c>
      <c r="K728" s="72" t="s">
        <v>34</v>
      </c>
      <c r="L728" s="72" t="s">
        <v>16</v>
      </c>
      <c r="M728" s="72"/>
      <c r="N728" s="73" t="s">
        <v>17</v>
      </c>
      <c r="O728" s="74"/>
      <c r="P728" s="75" t="s">
        <v>18</v>
      </c>
      <c r="Q728" s="71"/>
      <c r="R728" s="76" t="s">
        <v>35</v>
      </c>
      <c r="S728" s="71"/>
      <c r="T728" s="75" t="s">
        <v>36</v>
      </c>
      <c r="U728" s="71"/>
      <c r="V728" s="77" t="s">
        <v>29</v>
      </c>
      <c r="W728" s="29"/>
    </row>
    <row r="729" spans="1:23" ht="15.75" customHeight="1" x14ac:dyDescent="0.25">
      <c r="A729" s="115"/>
      <c r="B729" s="168"/>
      <c r="C729" s="101"/>
      <c r="D729" s="135"/>
      <c r="E729" s="135"/>
      <c r="F729" s="79" t="str">
        <f>IF(AND(C729=""),"",1-C729)</f>
        <v/>
      </c>
      <c r="G729" s="79"/>
      <c r="H729" s="79"/>
      <c r="I729" s="79" t="str">
        <f>IF(AND(C729=""),"",G729*C729)</f>
        <v/>
      </c>
      <c r="J729" s="79" t="str">
        <f>IF(AND(C729=""),"",H729*F729)</f>
        <v/>
      </c>
      <c r="K729" s="79" t="str">
        <f t="shared" ref="K729:K738" si="296">IF(AND(I729=""),"",IF(AND(I729&gt;J729),"T1","T2"))</f>
        <v/>
      </c>
      <c r="L729" s="80" t="str">
        <f>IF(AND(K729=""),"",IF(AND((J729*0.95-1)&lt;0,(I729*0.95-1)&lt;0),"NO BET", IF(AND(K729="T1"),I729*0.95 - 1,J729*0.95 - 1)))</f>
        <v/>
      </c>
      <c r="M729" s="80"/>
      <c r="N729" s="172">
        <f>SUMIF(L729:L738,"&gt;0")</f>
        <v>0</v>
      </c>
      <c r="O729" s="74"/>
      <c r="P729" s="81"/>
      <c r="Q729" s="74"/>
      <c r="R729" s="82">
        <f t="shared" ref="R729:R737" si="297">IF(OR(P729="",L729="NO BET"),0,IF(AND(K729=P729),IF(AND(K729="T2"),ROUNDUP(H729*0.95,2)-1,ROUNDUP(G729*0.95,2)-1),-1))</f>
        <v>0</v>
      </c>
      <c r="S729" s="71"/>
      <c r="T729" s="83" t="str">
        <f>IF(AND(P729=""),"",IF(AND(C729&gt;F729),IF(AND(P729="T1"),"a","r"),IF(AND(P729="T2"),"a","r")))</f>
        <v/>
      </c>
      <c r="U729" s="71"/>
      <c r="V729" s="175">
        <f>SUM(R729:R738)</f>
        <v>0</v>
      </c>
      <c r="W729" s="29"/>
    </row>
    <row r="730" spans="1:23" ht="15.75" customHeight="1" x14ac:dyDescent="0.25">
      <c r="A730" s="179" t="s">
        <v>38</v>
      </c>
      <c r="B730" s="168"/>
      <c r="C730" s="102"/>
      <c r="D730" s="137"/>
      <c r="E730" s="137"/>
      <c r="F730" s="85" t="str">
        <f t="shared" ref="F730:F738" si="298">IF(AND(C730=""),"",1-C730)</f>
        <v/>
      </c>
      <c r="G730" s="85"/>
      <c r="H730" s="85"/>
      <c r="I730" s="85" t="str">
        <f t="shared" ref="I730:I738" si="299">IF(AND(C730=""),"",G730*C730)</f>
        <v/>
      </c>
      <c r="J730" s="85" t="str">
        <f t="shared" ref="J730:J738" si="300">IF(AND(C730=""),"",H730*F730)</f>
        <v/>
      </c>
      <c r="K730" s="85" t="str">
        <f t="shared" si="296"/>
        <v/>
      </c>
      <c r="L730" s="86" t="str">
        <f t="shared" ref="L730:L738" si="301">IF(AND(K730=""),"",IF(AND((J730*0.95-1)&lt;0,(I730*0.95-1)&lt;0),"NO BET", IF(AND(K730="T1"),I730*0.95 - 1,J730*0.95 - 1)))</f>
        <v/>
      </c>
      <c r="M730" s="86"/>
      <c r="N730" s="173"/>
      <c r="O730" s="29"/>
      <c r="P730" s="87"/>
      <c r="Q730" s="71"/>
      <c r="R730" s="88">
        <f t="shared" si="297"/>
        <v>0</v>
      </c>
      <c r="S730" s="71"/>
      <c r="T730" s="89" t="str">
        <f t="shared" ref="T730:T738" si="302">IF(AND(P730=""),"",IF(AND(C730&gt;F730),IF(AND(P730="T1"),"a","r"),IF(AND(P730="T2"),"a","r")))</f>
        <v/>
      </c>
      <c r="U730" s="71"/>
      <c r="V730" s="175"/>
      <c r="W730" s="29"/>
    </row>
    <row r="731" spans="1:23" ht="15.75" customHeight="1" x14ac:dyDescent="0.25">
      <c r="A731" s="179"/>
      <c r="B731" s="168"/>
      <c r="C731" s="103"/>
      <c r="D731" s="139"/>
      <c r="E731" s="139"/>
      <c r="F731" s="16" t="str">
        <f t="shared" si="298"/>
        <v/>
      </c>
      <c r="G731" s="16"/>
      <c r="H731" s="16"/>
      <c r="I731" s="16" t="str">
        <f t="shared" si="299"/>
        <v/>
      </c>
      <c r="J731" s="16" t="str">
        <f t="shared" si="300"/>
        <v/>
      </c>
      <c r="K731" s="16" t="str">
        <f t="shared" si="296"/>
        <v/>
      </c>
      <c r="L731" s="91" t="str">
        <f t="shared" si="301"/>
        <v/>
      </c>
      <c r="M731" s="91"/>
      <c r="N731" s="173"/>
      <c r="O731" s="74"/>
      <c r="P731" s="87"/>
      <c r="Q731" s="71"/>
      <c r="R731" s="88">
        <f t="shared" si="297"/>
        <v>0</v>
      </c>
      <c r="S731" s="71"/>
      <c r="T731" s="89" t="str">
        <f t="shared" si="302"/>
        <v/>
      </c>
      <c r="U731" s="71"/>
      <c r="V731" s="175"/>
      <c r="W731" s="29"/>
    </row>
    <row r="732" spans="1:23" ht="15.75" customHeight="1" x14ac:dyDescent="0.25">
      <c r="A732" s="179"/>
      <c r="B732" s="168"/>
      <c r="C732" s="102"/>
      <c r="D732" s="137"/>
      <c r="E732" s="137"/>
      <c r="F732" s="85" t="str">
        <f t="shared" si="298"/>
        <v/>
      </c>
      <c r="G732" s="85"/>
      <c r="H732" s="85"/>
      <c r="I732" s="85" t="str">
        <f t="shared" si="299"/>
        <v/>
      </c>
      <c r="J732" s="85" t="str">
        <f t="shared" si="300"/>
        <v/>
      </c>
      <c r="K732" s="85" t="str">
        <f t="shared" si="296"/>
        <v/>
      </c>
      <c r="L732" s="86" t="str">
        <f t="shared" si="301"/>
        <v/>
      </c>
      <c r="M732" s="86"/>
      <c r="N732" s="173"/>
      <c r="O732" s="92"/>
      <c r="P732" s="87"/>
      <c r="Q732" s="71"/>
      <c r="R732" s="88">
        <f t="shared" si="297"/>
        <v>0</v>
      </c>
      <c r="S732" s="71"/>
      <c r="T732" s="89" t="str">
        <f t="shared" si="302"/>
        <v/>
      </c>
      <c r="U732" s="71"/>
      <c r="V732" s="175"/>
      <c r="W732" s="29"/>
    </row>
    <row r="733" spans="1:23" ht="15.75" customHeight="1" x14ac:dyDescent="0.25">
      <c r="A733" s="179"/>
      <c r="B733" s="168"/>
      <c r="C733" s="103"/>
      <c r="D733" s="139"/>
      <c r="E733" s="139"/>
      <c r="F733" s="16" t="str">
        <f t="shared" si="298"/>
        <v/>
      </c>
      <c r="G733" s="16"/>
      <c r="H733" s="16"/>
      <c r="I733" s="16" t="str">
        <f t="shared" si="299"/>
        <v/>
      </c>
      <c r="J733" s="16" t="str">
        <f t="shared" si="300"/>
        <v/>
      </c>
      <c r="K733" s="16" t="str">
        <f t="shared" si="296"/>
        <v/>
      </c>
      <c r="L733" s="105" t="str">
        <f t="shared" si="301"/>
        <v/>
      </c>
      <c r="M733" s="105"/>
      <c r="N733" s="173"/>
      <c r="O733" s="92"/>
      <c r="P733" s="87"/>
      <c r="Q733" s="71"/>
      <c r="R733" s="88">
        <f t="shared" si="297"/>
        <v>0</v>
      </c>
      <c r="S733" s="71"/>
      <c r="T733" s="89" t="str">
        <f t="shared" si="302"/>
        <v/>
      </c>
      <c r="U733" s="71"/>
      <c r="V733" s="175"/>
      <c r="W733" s="29"/>
    </row>
    <row r="734" spans="1:23" ht="15.75" customHeight="1" x14ac:dyDescent="0.25">
      <c r="A734" s="179"/>
      <c r="B734" s="168"/>
      <c r="C734" s="102"/>
      <c r="D734" s="137"/>
      <c r="E734" s="137"/>
      <c r="F734" s="85" t="str">
        <f t="shared" si="298"/>
        <v/>
      </c>
      <c r="G734" s="85"/>
      <c r="H734" s="85"/>
      <c r="I734" s="85" t="str">
        <f t="shared" si="299"/>
        <v/>
      </c>
      <c r="J734" s="85" t="str">
        <f t="shared" si="300"/>
        <v/>
      </c>
      <c r="K734" s="85" t="str">
        <f t="shared" si="296"/>
        <v/>
      </c>
      <c r="L734" s="86" t="str">
        <f t="shared" si="301"/>
        <v/>
      </c>
      <c r="M734" s="86"/>
      <c r="N734" s="173"/>
      <c r="O734" s="92"/>
      <c r="P734" s="87"/>
      <c r="Q734" s="71"/>
      <c r="R734" s="88">
        <f t="shared" si="297"/>
        <v>0</v>
      </c>
      <c r="S734" s="71"/>
      <c r="T734" s="89" t="str">
        <f t="shared" si="302"/>
        <v/>
      </c>
      <c r="U734" s="71"/>
      <c r="V734" s="175"/>
      <c r="W734" s="29"/>
    </row>
    <row r="735" spans="1:23" ht="15.75" customHeight="1" thickBot="1" x14ac:dyDescent="0.3">
      <c r="A735" s="179"/>
      <c r="B735" s="168"/>
      <c r="C735" s="103"/>
      <c r="D735" s="139"/>
      <c r="E735" s="139"/>
      <c r="F735" s="16" t="str">
        <f t="shared" si="298"/>
        <v/>
      </c>
      <c r="G735" s="16"/>
      <c r="H735" s="16"/>
      <c r="I735" s="16" t="str">
        <f t="shared" si="299"/>
        <v/>
      </c>
      <c r="J735" s="16" t="str">
        <f t="shared" si="300"/>
        <v/>
      </c>
      <c r="K735" s="16" t="str">
        <f t="shared" si="296"/>
        <v/>
      </c>
      <c r="L735" s="91" t="str">
        <f t="shared" si="301"/>
        <v/>
      </c>
      <c r="M735" s="91"/>
      <c r="N735" s="173"/>
      <c r="O735" s="29"/>
      <c r="P735" s="87"/>
      <c r="Q735" s="71"/>
      <c r="R735" s="88">
        <f t="shared" si="297"/>
        <v>0</v>
      </c>
      <c r="S735" s="71"/>
      <c r="T735" s="89" t="str">
        <f t="shared" si="302"/>
        <v/>
      </c>
      <c r="U735" s="71"/>
      <c r="V735" s="93" t="s">
        <v>31</v>
      </c>
      <c r="W735" s="29"/>
    </row>
    <row r="736" spans="1:23" ht="15.75" customHeight="1" x14ac:dyDescent="0.25">
      <c r="A736" s="179"/>
      <c r="B736" s="168"/>
      <c r="C736" s="102"/>
      <c r="D736" s="137"/>
      <c r="E736" s="137"/>
      <c r="F736" s="85" t="str">
        <f t="shared" si="298"/>
        <v/>
      </c>
      <c r="G736" s="85"/>
      <c r="H736" s="85"/>
      <c r="I736" s="85" t="str">
        <f t="shared" si="299"/>
        <v/>
      </c>
      <c r="J736" s="85" t="str">
        <f t="shared" si="300"/>
        <v/>
      </c>
      <c r="K736" s="85" t="str">
        <f t="shared" si="296"/>
        <v/>
      </c>
      <c r="L736" s="106" t="str">
        <f t="shared" si="301"/>
        <v/>
      </c>
      <c r="M736" s="106"/>
      <c r="N736" s="173"/>
      <c r="O736" s="29"/>
      <c r="P736" s="87"/>
      <c r="Q736" s="71"/>
      <c r="R736" s="88">
        <f t="shared" si="297"/>
        <v>0</v>
      </c>
      <c r="S736" s="71"/>
      <c r="T736" s="89" t="str">
        <f t="shared" si="302"/>
        <v/>
      </c>
      <c r="U736" s="71"/>
      <c r="V736" s="176">
        <f>IF(AND(NOT(N729=0)),V729/N729,0)</f>
        <v>0</v>
      </c>
      <c r="W736" s="29"/>
    </row>
    <row r="737" spans="1:23" ht="15.75" customHeight="1" x14ac:dyDescent="0.25">
      <c r="A737" s="179"/>
      <c r="B737" s="168"/>
      <c r="C737" s="103"/>
      <c r="D737" s="139"/>
      <c r="E737" s="139"/>
      <c r="F737" s="16" t="str">
        <f t="shared" si="298"/>
        <v/>
      </c>
      <c r="G737" s="16"/>
      <c r="H737" s="16"/>
      <c r="I737" s="16" t="str">
        <f t="shared" si="299"/>
        <v/>
      </c>
      <c r="J737" s="16" t="str">
        <f t="shared" si="300"/>
        <v/>
      </c>
      <c r="K737" s="16" t="str">
        <f t="shared" si="296"/>
        <v/>
      </c>
      <c r="L737" s="105" t="str">
        <f t="shared" si="301"/>
        <v/>
      </c>
      <c r="M737" s="105"/>
      <c r="N737" s="173"/>
      <c r="O737" s="29"/>
      <c r="P737" s="87"/>
      <c r="Q737" s="71"/>
      <c r="R737" s="88">
        <f t="shared" si="297"/>
        <v>0</v>
      </c>
      <c r="S737" s="71"/>
      <c r="T737" s="89" t="str">
        <f t="shared" si="302"/>
        <v/>
      </c>
      <c r="U737" s="71"/>
      <c r="V737" s="177"/>
      <c r="W737" s="29"/>
    </row>
    <row r="738" spans="1:23" ht="15.75" customHeight="1" thickBot="1" x14ac:dyDescent="0.3">
      <c r="A738" s="180"/>
      <c r="B738" s="169"/>
      <c r="C738" s="107"/>
      <c r="D738" s="95"/>
      <c r="E738" s="95"/>
      <c r="F738" s="95" t="str">
        <f t="shared" si="298"/>
        <v/>
      </c>
      <c r="G738" s="95"/>
      <c r="H738" s="95"/>
      <c r="I738" s="95" t="str">
        <f t="shared" si="299"/>
        <v/>
      </c>
      <c r="J738" s="95" t="str">
        <f t="shared" si="300"/>
        <v/>
      </c>
      <c r="K738" s="95" t="str">
        <f t="shared" si="296"/>
        <v/>
      </c>
      <c r="L738" s="96" t="str">
        <f t="shared" si="301"/>
        <v/>
      </c>
      <c r="M738" s="96"/>
      <c r="N738" s="174"/>
      <c r="O738" s="29"/>
      <c r="P738" s="97"/>
      <c r="Q738" s="29"/>
      <c r="R738" s="98">
        <f>IF(OR(P738="",L738="NO BET"),0,IF(AND(K738=P738),IF(AND(K738="T2"),ROUNDUP(H738*0.95,2)-1,ROUNDUP(G738*0.95,2)-1),-1))</f>
        <v>0</v>
      </c>
      <c r="S738" s="29"/>
      <c r="T738" s="99" t="str">
        <f t="shared" si="302"/>
        <v/>
      </c>
      <c r="U738" s="29"/>
      <c r="V738" s="178"/>
      <c r="W738" s="29"/>
    </row>
    <row r="739" spans="1:23" ht="15.75" customHeight="1" x14ac:dyDescent="0.25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31"/>
      <c r="S739" s="29"/>
      <c r="T739" s="29"/>
      <c r="U739" s="29"/>
      <c r="V739" s="32"/>
      <c r="W739" s="29"/>
    </row>
    <row r="740" spans="1:23" ht="15.75" customHeight="1" x14ac:dyDescent="0.25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31"/>
      <c r="S740" s="29"/>
      <c r="T740" s="29"/>
      <c r="U740" s="29"/>
      <c r="V740" s="32"/>
      <c r="W740" s="29"/>
    </row>
    <row r="741" spans="1:23" ht="15.75" customHeight="1" thickBot="1" x14ac:dyDescent="0.3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31"/>
      <c r="S741" s="29"/>
      <c r="T741" s="29"/>
      <c r="U741" s="29"/>
      <c r="V741" s="32"/>
      <c r="W741" s="29"/>
    </row>
    <row r="742" spans="1:23" ht="15.75" customHeight="1" thickBot="1" x14ac:dyDescent="0.3">
      <c r="A742" s="114" t="s">
        <v>6</v>
      </c>
      <c r="B742" s="167" t="s">
        <v>28</v>
      </c>
      <c r="C742" s="122"/>
      <c r="D742" s="72" t="s">
        <v>9</v>
      </c>
      <c r="E742" s="72" t="s">
        <v>10</v>
      </c>
      <c r="F742" s="72" t="s">
        <v>11</v>
      </c>
      <c r="G742" s="72" t="s">
        <v>12</v>
      </c>
      <c r="H742" s="72" t="s">
        <v>13</v>
      </c>
      <c r="I742" s="72" t="s">
        <v>14</v>
      </c>
      <c r="J742" s="72" t="s">
        <v>15</v>
      </c>
      <c r="K742" s="72" t="s">
        <v>34</v>
      </c>
      <c r="L742" s="72" t="s">
        <v>16</v>
      </c>
      <c r="M742" s="72"/>
      <c r="N742" s="73" t="s">
        <v>17</v>
      </c>
      <c r="O742" s="74"/>
      <c r="P742" s="75" t="s">
        <v>18</v>
      </c>
      <c r="Q742" s="71"/>
      <c r="R742" s="76" t="s">
        <v>35</v>
      </c>
      <c r="S742" s="71"/>
      <c r="T742" s="75" t="s">
        <v>36</v>
      </c>
      <c r="U742" s="71"/>
      <c r="V742" s="77" t="s">
        <v>29</v>
      </c>
      <c r="W742" s="29"/>
    </row>
    <row r="743" spans="1:23" ht="15.75" customHeight="1" x14ac:dyDescent="0.25">
      <c r="A743" s="115"/>
      <c r="B743" s="168"/>
      <c r="C743" s="101"/>
      <c r="D743" s="79"/>
      <c r="E743" s="79"/>
      <c r="F743" s="79" t="str">
        <f>IF(AND(C743=""),"",1-C743)</f>
        <v/>
      </c>
      <c r="G743" s="79"/>
      <c r="H743" s="79"/>
      <c r="I743" s="79" t="str">
        <f>IF(AND(C743=""),"",G743*C743)</f>
        <v/>
      </c>
      <c r="J743" s="79" t="str">
        <f>IF(AND(C743=""),"",H743*F743)</f>
        <v/>
      </c>
      <c r="K743" s="79" t="str">
        <f t="shared" ref="K743:K752" si="303">IF(AND(I743=""),"",IF(AND(I743&gt;J743),"T1","T2"))</f>
        <v/>
      </c>
      <c r="L743" s="80" t="str">
        <f>IF(AND(K743=""),"",IF(AND((J743*0.95-1)&lt;0,(I743*0.95-1)&lt;0),"NO BET", IF(AND(K743="T1"),I743*0.95 - 1,J743*0.95 - 1)))</f>
        <v/>
      </c>
      <c r="M743" s="80"/>
      <c r="N743" s="172">
        <f>SUMIF(L743:L752,"&gt;0")</f>
        <v>0</v>
      </c>
      <c r="O743" s="74"/>
      <c r="P743" s="81"/>
      <c r="Q743" s="74"/>
      <c r="R743" s="82">
        <f t="shared" ref="R743:R751" si="304">IF(OR(P743="",L743="NO BET"),0,IF(AND(K743=P743),IF(AND(K743="T2"),ROUNDUP(H743*0.95,2)-1,ROUNDUP(G743*0.95,2)-1),-1))</f>
        <v>0</v>
      </c>
      <c r="S743" s="71"/>
      <c r="T743" s="83" t="str">
        <f>IF(AND(P743=""),"",IF(AND(C743&gt;F743),IF(AND(P743="T1"),"a","r"),IF(AND(P743="T2"),"a","r")))</f>
        <v/>
      </c>
      <c r="U743" s="71"/>
      <c r="V743" s="175">
        <f>SUM(R743:R752)</f>
        <v>0</v>
      </c>
      <c r="W743" s="29"/>
    </row>
    <row r="744" spans="1:23" ht="15.75" customHeight="1" x14ac:dyDescent="0.25">
      <c r="A744" s="179" t="s">
        <v>38</v>
      </c>
      <c r="B744" s="168"/>
      <c r="C744" s="102"/>
      <c r="D744" s="85"/>
      <c r="E744" s="85"/>
      <c r="F744" s="85" t="str">
        <f t="shared" ref="F744:F752" si="305">IF(AND(C744=""),"",1-C744)</f>
        <v/>
      </c>
      <c r="G744" s="85"/>
      <c r="H744" s="85"/>
      <c r="I744" s="85" t="str">
        <f t="shared" ref="I744:I752" si="306">IF(AND(C744=""),"",G744*C744)</f>
        <v/>
      </c>
      <c r="J744" s="85" t="str">
        <f t="shared" ref="J744:J752" si="307">IF(AND(C744=""),"",H744*F744)</f>
        <v/>
      </c>
      <c r="K744" s="85" t="str">
        <f t="shared" si="303"/>
        <v/>
      </c>
      <c r="L744" s="86" t="str">
        <f t="shared" ref="L744:L752" si="308">IF(AND(K744=""),"",IF(AND((J744*0.95-1)&lt;0,(I744*0.95-1)&lt;0),"NO BET", IF(AND(K744="T1"),I744*0.95 - 1,J744*0.95 - 1)))</f>
        <v/>
      </c>
      <c r="M744" s="86"/>
      <c r="N744" s="173"/>
      <c r="O744" s="29"/>
      <c r="P744" s="87"/>
      <c r="Q744" s="71"/>
      <c r="R744" s="88">
        <f t="shared" si="304"/>
        <v>0</v>
      </c>
      <c r="S744" s="71"/>
      <c r="T744" s="89" t="str">
        <f t="shared" ref="T744:T752" si="309">IF(AND(P744=""),"",IF(AND(C744&gt;F744),IF(AND(P744="T1"),"a","r"),IF(AND(P744="T2"),"a","r")))</f>
        <v/>
      </c>
      <c r="U744" s="71"/>
      <c r="V744" s="175"/>
      <c r="W744" s="29"/>
    </row>
    <row r="745" spans="1:23" ht="15.75" customHeight="1" x14ac:dyDescent="0.25">
      <c r="A745" s="179"/>
      <c r="B745" s="168"/>
      <c r="C745" s="103"/>
      <c r="D745" s="16"/>
      <c r="E745" s="16"/>
      <c r="F745" s="16" t="str">
        <f t="shared" si="305"/>
        <v/>
      </c>
      <c r="G745" s="16"/>
      <c r="H745" s="16"/>
      <c r="I745" s="16" t="str">
        <f t="shared" si="306"/>
        <v/>
      </c>
      <c r="J745" s="16" t="str">
        <f t="shared" si="307"/>
        <v/>
      </c>
      <c r="K745" s="16" t="str">
        <f t="shared" si="303"/>
        <v/>
      </c>
      <c r="L745" s="91" t="str">
        <f t="shared" si="308"/>
        <v/>
      </c>
      <c r="M745" s="91"/>
      <c r="N745" s="173"/>
      <c r="O745" s="74"/>
      <c r="P745" s="87"/>
      <c r="Q745" s="71"/>
      <c r="R745" s="88">
        <f t="shared" si="304"/>
        <v>0</v>
      </c>
      <c r="S745" s="71"/>
      <c r="T745" s="89" t="str">
        <f t="shared" si="309"/>
        <v/>
      </c>
      <c r="U745" s="71"/>
      <c r="V745" s="175"/>
      <c r="W745" s="29"/>
    </row>
    <row r="746" spans="1:23" ht="15.75" customHeight="1" x14ac:dyDescent="0.25">
      <c r="A746" s="179"/>
      <c r="B746" s="168"/>
      <c r="C746" s="102"/>
      <c r="D746" s="85"/>
      <c r="E746" s="85"/>
      <c r="F746" s="85" t="str">
        <f t="shared" si="305"/>
        <v/>
      </c>
      <c r="G746" s="85"/>
      <c r="H746" s="85"/>
      <c r="I746" s="85" t="str">
        <f t="shared" si="306"/>
        <v/>
      </c>
      <c r="J746" s="85" t="str">
        <f t="shared" si="307"/>
        <v/>
      </c>
      <c r="K746" s="85" t="str">
        <f t="shared" si="303"/>
        <v/>
      </c>
      <c r="L746" s="86" t="str">
        <f t="shared" si="308"/>
        <v/>
      </c>
      <c r="M746" s="86"/>
      <c r="N746" s="173"/>
      <c r="O746" s="92"/>
      <c r="P746" s="87"/>
      <c r="Q746" s="71"/>
      <c r="R746" s="88">
        <f t="shared" si="304"/>
        <v>0</v>
      </c>
      <c r="S746" s="71"/>
      <c r="T746" s="89" t="str">
        <f t="shared" si="309"/>
        <v/>
      </c>
      <c r="U746" s="71"/>
      <c r="V746" s="175"/>
      <c r="W746" s="29"/>
    </row>
    <row r="747" spans="1:23" ht="15.75" customHeight="1" x14ac:dyDescent="0.25">
      <c r="A747" s="179"/>
      <c r="B747" s="168"/>
      <c r="C747" s="103"/>
      <c r="D747" s="16"/>
      <c r="E747" s="16"/>
      <c r="F747" s="16" t="str">
        <f t="shared" si="305"/>
        <v/>
      </c>
      <c r="G747" s="16"/>
      <c r="H747" s="16"/>
      <c r="I747" s="16" t="str">
        <f t="shared" si="306"/>
        <v/>
      </c>
      <c r="J747" s="16" t="str">
        <f t="shared" si="307"/>
        <v/>
      </c>
      <c r="K747" s="16" t="str">
        <f t="shared" si="303"/>
        <v/>
      </c>
      <c r="L747" s="105" t="str">
        <f t="shared" si="308"/>
        <v/>
      </c>
      <c r="M747" s="105"/>
      <c r="N747" s="173"/>
      <c r="O747" s="92"/>
      <c r="P747" s="87"/>
      <c r="Q747" s="71"/>
      <c r="R747" s="88">
        <f t="shared" si="304"/>
        <v>0</v>
      </c>
      <c r="S747" s="71"/>
      <c r="T747" s="89" t="str">
        <f t="shared" si="309"/>
        <v/>
      </c>
      <c r="U747" s="71"/>
      <c r="V747" s="175"/>
      <c r="W747" s="29"/>
    </row>
    <row r="748" spans="1:23" ht="15.75" customHeight="1" x14ac:dyDescent="0.25">
      <c r="A748" s="179"/>
      <c r="B748" s="168"/>
      <c r="C748" s="102"/>
      <c r="D748" s="85"/>
      <c r="E748" s="85"/>
      <c r="F748" s="85" t="str">
        <f t="shared" si="305"/>
        <v/>
      </c>
      <c r="G748" s="85"/>
      <c r="H748" s="85"/>
      <c r="I748" s="85" t="str">
        <f t="shared" si="306"/>
        <v/>
      </c>
      <c r="J748" s="85" t="str">
        <f t="shared" si="307"/>
        <v/>
      </c>
      <c r="K748" s="85" t="str">
        <f t="shared" si="303"/>
        <v/>
      </c>
      <c r="L748" s="86" t="str">
        <f t="shared" si="308"/>
        <v/>
      </c>
      <c r="M748" s="86"/>
      <c r="N748" s="173"/>
      <c r="O748" s="92"/>
      <c r="P748" s="87"/>
      <c r="Q748" s="71"/>
      <c r="R748" s="88">
        <f t="shared" si="304"/>
        <v>0</v>
      </c>
      <c r="S748" s="71"/>
      <c r="T748" s="89" t="str">
        <f t="shared" si="309"/>
        <v/>
      </c>
      <c r="U748" s="71"/>
      <c r="V748" s="175"/>
      <c r="W748" s="29"/>
    </row>
    <row r="749" spans="1:23" ht="15.75" customHeight="1" thickBot="1" x14ac:dyDescent="0.3">
      <c r="A749" s="179"/>
      <c r="B749" s="168"/>
      <c r="C749" s="103"/>
      <c r="D749" s="16"/>
      <c r="E749" s="16"/>
      <c r="F749" s="16" t="str">
        <f t="shared" si="305"/>
        <v/>
      </c>
      <c r="G749" s="16"/>
      <c r="H749" s="16"/>
      <c r="I749" s="16" t="str">
        <f t="shared" si="306"/>
        <v/>
      </c>
      <c r="J749" s="16" t="str">
        <f t="shared" si="307"/>
        <v/>
      </c>
      <c r="K749" s="16" t="str">
        <f t="shared" si="303"/>
        <v/>
      </c>
      <c r="L749" s="91" t="str">
        <f t="shared" si="308"/>
        <v/>
      </c>
      <c r="M749" s="91"/>
      <c r="N749" s="173"/>
      <c r="O749" s="29"/>
      <c r="P749" s="87"/>
      <c r="Q749" s="71"/>
      <c r="R749" s="88">
        <f t="shared" si="304"/>
        <v>0</v>
      </c>
      <c r="S749" s="71"/>
      <c r="T749" s="89" t="str">
        <f t="shared" si="309"/>
        <v/>
      </c>
      <c r="U749" s="71"/>
      <c r="V749" s="93" t="s">
        <v>31</v>
      </c>
      <c r="W749" s="29"/>
    </row>
    <row r="750" spans="1:23" ht="15.75" customHeight="1" x14ac:dyDescent="0.25">
      <c r="A750" s="179"/>
      <c r="B750" s="168"/>
      <c r="C750" s="102"/>
      <c r="D750" s="85"/>
      <c r="E750" s="85"/>
      <c r="F750" s="85" t="str">
        <f t="shared" si="305"/>
        <v/>
      </c>
      <c r="G750" s="85"/>
      <c r="H750" s="85"/>
      <c r="I750" s="85" t="str">
        <f t="shared" si="306"/>
        <v/>
      </c>
      <c r="J750" s="85" t="str">
        <f t="shared" si="307"/>
        <v/>
      </c>
      <c r="K750" s="85" t="str">
        <f t="shared" si="303"/>
        <v/>
      </c>
      <c r="L750" s="106" t="str">
        <f t="shared" si="308"/>
        <v/>
      </c>
      <c r="M750" s="106"/>
      <c r="N750" s="173"/>
      <c r="O750" s="29"/>
      <c r="P750" s="87"/>
      <c r="Q750" s="71"/>
      <c r="R750" s="88">
        <f t="shared" si="304"/>
        <v>0</v>
      </c>
      <c r="S750" s="71"/>
      <c r="T750" s="89" t="str">
        <f t="shared" si="309"/>
        <v/>
      </c>
      <c r="U750" s="71"/>
      <c r="V750" s="176">
        <f>IF(AND(NOT(N743=0)),V743/N743,0)</f>
        <v>0</v>
      </c>
      <c r="W750" s="29"/>
    </row>
    <row r="751" spans="1:23" ht="15.75" customHeight="1" x14ac:dyDescent="0.25">
      <c r="A751" s="179"/>
      <c r="B751" s="168"/>
      <c r="C751" s="103"/>
      <c r="D751" s="16"/>
      <c r="E751" s="16"/>
      <c r="F751" s="16" t="str">
        <f t="shared" si="305"/>
        <v/>
      </c>
      <c r="G751" s="16"/>
      <c r="H751" s="16"/>
      <c r="I751" s="16" t="str">
        <f t="shared" si="306"/>
        <v/>
      </c>
      <c r="J751" s="16" t="str">
        <f t="shared" si="307"/>
        <v/>
      </c>
      <c r="K751" s="16" t="str">
        <f t="shared" si="303"/>
        <v/>
      </c>
      <c r="L751" s="105" t="str">
        <f t="shared" si="308"/>
        <v/>
      </c>
      <c r="M751" s="105"/>
      <c r="N751" s="173"/>
      <c r="O751" s="29"/>
      <c r="P751" s="87"/>
      <c r="Q751" s="71"/>
      <c r="R751" s="88">
        <f t="shared" si="304"/>
        <v>0</v>
      </c>
      <c r="S751" s="71"/>
      <c r="T751" s="89" t="str">
        <f t="shared" si="309"/>
        <v/>
      </c>
      <c r="U751" s="71"/>
      <c r="V751" s="177"/>
      <c r="W751" s="29"/>
    </row>
    <row r="752" spans="1:23" ht="15.75" customHeight="1" thickBot="1" x14ac:dyDescent="0.3">
      <c r="A752" s="180"/>
      <c r="B752" s="169"/>
      <c r="C752" s="107"/>
      <c r="D752" s="95"/>
      <c r="E752" s="95"/>
      <c r="F752" s="95" t="str">
        <f t="shared" si="305"/>
        <v/>
      </c>
      <c r="G752" s="95"/>
      <c r="H752" s="95"/>
      <c r="I752" s="95" t="str">
        <f t="shared" si="306"/>
        <v/>
      </c>
      <c r="J752" s="95" t="str">
        <f t="shared" si="307"/>
        <v/>
      </c>
      <c r="K752" s="95" t="str">
        <f t="shared" si="303"/>
        <v/>
      </c>
      <c r="L752" s="96" t="str">
        <f t="shared" si="308"/>
        <v/>
      </c>
      <c r="M752" s="96"/>
      <c r="N752" s="174"/>
      <c r="O752" s="29"/>
      <c r="P752" s="97"/>
      <c r="Q752" s="29"/>
      <c r="R752" s="98">
        <f>IF(OR(P752="",L752="NO BET"),0,IF(AND(K752=P752),IF(AND(K752="T2"),ROUNDUP(H752*0.95,2)-1,ROUNDUP(G752*0.95,2)-1),-1))</f>
        <v>0</v>
      </c>
      <c r="S752" s="29"/>
      <c r="T752" s="99" t="str">
        <f t="shared" si="309"/>
        <v/>
      </c>
      <c r="U752" s="29"/>
      <c r="V752" s="178"/>
      <c r="W752" s="29"/>
    </row>
    <row r="753" spans="1:23" ht="15.75" customHeight="1" x14ac:dyDescent="0.25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71"/>
      <c r="P753" s="71"/>
      <c r="Q753" s="71"/>
      <c r="R753" s="120"/>
      <c r="S753" s="71"/>
      <c r="T753" s="71"/>
      <c r="U753" s="71"/>
      <c r="V753" s="121"/>
      <c r="W753" s="29"/>
    </row>
    <row r="754" spans="1:23" x14ac:dyDescent="0.25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71"/>
      <c r="P754" s="71"/>
      <c r="Q754" s="71"/>
      <c r="R754" s="120"/>
      <c r="S754" s="71"/>
      <c r="T754" s="71"/>
      <c r="U754" s="71"/>
      <c r="V754" s="121"/>
      <c r="W754" s="29"/>
    </row>
    <row r="755" spans="1:23" x14ac:dyDescent="0.25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71"/>
      <c r="P755" s="71"/>
      <c r="Q755" s="71"/>
      <c r="R755" s="120"/>
      <c r="S755" s="71"/>
      <c r="T755" s="71"/>
      <c r="U755" s="71"/>
      <c r="V755" s="121"/>
      <c r="W755" s="29"/>
    </row>
    <row r="756" spans="1:23" x14ac:dyDescent="0.25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74"/>
      <c r="P756" s="126"/>
      <c r="Q756" s="71"/>
      <c r="R756" s="127"/>
      <c r="S756" s="71"/>
      <c r="T756" s="71"/>
      <c r="U756" s="71"/>
      <c r="V756" s="128"/>
      <c r="W756" s="29"/>
    </row>
    <row r="757" spans="1:23" ht="15.75" customHeight="1" x14ac:dyDescent="0.25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74"/>
      <c r="P757" s="92"/>
      <c r="Q757" s="74"/>
      <c r="R757" s="123"/>
      <c r="S757" s="71"/>
      <c r="T757" s="71"/>
      <c r="U757" s="71"/>
      <c r="V757" s="129"/>
      <c r="W757" s="29"/>
    </row>
    <row r="758" spans="1:23" ht="15.75" customHeight="1" x14ac:dyDescent="0.25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71"/>
      <c r="P758" s="92"/>
      <c r="Q758" s="71"/>
      <c r="R758" s="123"/>
      <c r="S758" s="71"/>
      <c r="T758" s="71"/>
      <c r="U758" s="71"/>
      <c r="V758" s="129"/>
      <c r="W758" s="29"/>
    </row>
    <row r="759" spans="1:23" ht="15.75" customHeight="1" x14ac:dyDescent="0.25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74"/>
      <c r="P759" s="92"/>
      <c r="Q759" s="71"/>
      <c r="R759" s="123"/>
      <c r="S759" s="71"/>
      <c r="T759" s="71"/>
      <c r="U759" s="71"/>
      <c r="V759" s="129"/>
      <c r="W759" s="29"/>
    </row>
    <row r="760" spans="1:23" ht="15.75" customHeight="1" x14ac:dyDescent="0.25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92"/>
      <c r="P760" s="92"/>
      <c r="Q760" s="71"/>
      <c r="R760" s="123"/>
      <c r="S760" s="71"/>
      <c r="T760" s="71"/>
      <c r="U760" s="71"/>
      <c r="V760" s="129"/>
      <c r="W760" s="29"/>
    </row>
    <row r="761" spans="1:23" ht="15.75" customHeight="1" x14ac:dyDescent="0.25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92"/>
      <c r="P761" s="92"/>
      <c r="Q761" s="71"/>
      <c r="R761" s="123"/>
      <c r="S761" s="71"/>
      <c r="T761" s="71"/>
      <c r="U761" s="71"/>
      <c r="V761" s="129"/>
      <c r="W761" s="29"/>
    </row>
    <row r="762" spans="1:23" ht="15.75" customHeight="1" x14ac:dyDescent="0.25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92"/>
      <c r="P762" s="92"/>
      <c r="Q762" s="71"/>
      <c r="R762" s="123"/>
      <c r="S762" s="71"/>
      <c r="T762" s="71"/>
      <c r="U762" s="71"/>
      <c r="V762" s="129"/>
      <c r="W762" s="29"/>
    </row>
    <row r="763" spans="1:23" x14ac:dyDescent="0.25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71"/>
      <c r="P763" s="92"/>
      <c r="Q763" s="71"/>
      <c r="R763" s="123"/>
      <c r="S763" s="71"/>
      <c r="T763" s="71"/>
      <c r="U763" s="71"/>
      <c r="V763" s="128"/>
      <c r="W763" s="29"/>
    </row>
    <row r="764" spans="1:23" x14ac:dyDescent="0.25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71"/>
      <c r="P764" s="92"/>
      <c r="Q764" s="71"/>
      <c r="R764" s="123"/>
      <c r="S764" s="71"/>
      <c r="T764" s="71"/>
      <c r="U764" s="71"/>
      <c r="V764" s="130"/>
      <c r="W764" s="29"/>
    </row>
    <row r="765" spans="1:23" x14ac:dyDescent="0.25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31"/>
      <c r="S765" s="29"/>
      <c r="T765" s="29"/>
      <c r="U765" s="29"/>
      <c r="V765" s="32"/>
      <c r="W765" s="29"/>
    </row>
    <row r="766" spans="1:23" x14ac:dyDescent="0.25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31"/>
      <c r="S766" s="29"/>
      <c r="T766" s="29"/>
      <c r="U766" s="29"/>
      <c r="V766" s="32"/>
      <c r="W766" s="29"/>
    </row>
    <row r="767" spans="1:23" x14ac:dyDescent="0.25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31"/>
      <c r="S767" s="29"/>
      <c r="T767" s="29"/>
      <c r="U767" s="29"/>
      <c r="V767" s="32"/>
      <c r="W767" s="29"/>
    </row>
    <row r="768" spans="1:23" x14ac:dyDescent="0.25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31"/>
      <c r="S768" s="29"/>
      <c r="T768" s="29"/>
      <c r="U768" s="29"/>
      <c r="V768" s="32"/>
      <c r="W768" s="29"/>
    </row>
    <row r="769" spans="1:23" x14ac:dyDescent="0.25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31"/>
      <c r="S769" s="29"/>
      <c r="T769" s="29"/>
      <c r="U769" s="29"/>
      <c r="V769" s="32"/>
      <c r="W769" s="29"/>
    </row>
    <row r="770" spans="1:23" x14ac:dyDescent="0.25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31"/>
      <c r="S770" s="29"/>
      <c r="T770" s="29"/>
      <c r="U770" s="29"/>
      <c r="V770" s="32"/>
      <c r="W770" s="29"/>
    </row>
    <row r="771" spans="1:23" x14ac:dyDescent="0.25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31"/>
      <c r="S771" s="29"/>
      <c r="T771" s="29"/>
      <c r="U771" s="29"/>
      <c r="V771" s="32"/>
      <c r="W771" s="29"/>
    </row>
    <row r="772" spans="1:23" x14ac:dyDescent="0.25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31"/>
      <c r="S772" s="29"/>
      <c r="T772" s="29"/>
      <c r="U772" s="29"/>
      <c r="V772" s="32"/>
      <c r="W772" s="29"/>
    </row>
    <row r="773" spans="1:23" x14ac:dyDescent="0.25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31"/>
      <c r="S773" s="29"/>
      <c r="T773" s="29"/>
      <c r="U773" s="29"/>
      <c r="V773" s="32"/>
      <c r="W773" s="29"/>
    </row>
    <row r="774" spans="1:23" x14ac:dyDescent="0.25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31"/>
      <c r="S774" s="29"/>
      <c r="T774" s="29"/>
      <c r="U774" s="29"/>
      <c r="V774" s="32"/>
      <c r="W774" s="29"/>
    </row>
    <row r="775" spans="1:23" x14ac:dyDescent="0.25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31"/>
      <c r="S775" s="29"/>
      <c r="T775" s="29"/>
      <c r="U775" s="29"/>
      <c r="V775" s="32"/>
      <c r="W775" s="29"/>
    </row>
    <row r="776" spans="1:23" x14ac:dyDescent="0.25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31"/>
      <c r="S776" s="29"/>
      <c r="T776" s="29"/>
      <c r="U776" s="29"/>
      <c r="V776" s="32"/>
      <c r="W776" s="29"/>
    </row>
    <row r="777" spans="1:23" x14ac:dyDescent="0.25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31"/>
      <c r="S777" s="29"/>
      <c r="T777" s="29"/>
      <c r="U777" s="29"/>
      <c r="V777" s="32"/>
      <c r="W777" s="29"/>
    </row>
    <row r="778" spans="1:23" x14ac:dyDescent="0.25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31"/>
      <c r="S778" s="29"/>
      <c r="T778" s="29"/>
      <c r="U778" s="29"/>
      <c r="V778" s="32"/>
      <c r="W778" s="29"/>
    </row>
    <row r="779" spans="1:23" x14ac:dyDescent="0.25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31"/>
      <c r="S779" s="29"/>
      <c r="T779" s="29"/>
      <c r="U779" s="29"/>
      <c r="V779" s="32"/>
      <c r="W779" s="29"/>
    </row>
    <row r="780" spans="1:23" x14ac:dyDescent="0.25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31"/>
      <c r="S780" s="29"/>
      <c r="T780" s="29"/>
      <c r="U780" s="29"/>
      <c r="V780" s="32"/>
      <c r="W780" s="29"/>
    </row>
    <row r="781" spans="1:23" ht="16.5" thickBot="1" x14ac:dyDescent="0.3"/>
    <row r="782" spans="1:23" ht="19.5" customHeight="1" thickBot="1" x14ac:dyDescent="0.3">
      <c r="A782" s="114"/>
      <c r="B782" s="167"/>
      <c r="C782" s="122"/>
      <c r="F782" s="72"/>
      <c r="G782" s="72"/>
      <c r="H782" s="72"/>
      <c r="I782" s="72"/>
      <c r="J782" s="72"/>
      <c r="K782" s="72"/>
      <c r="L782" s="72"/>
      <c r="M782" s="72"/>
      <c r="N782" s="73"/>
      <c r="O782" s="74"/>
      <c r="P782" s="75"/>
      <c r="Q782" s="71"/>
      <c r="R782" s="76"/>
      <c r="S782" s="71"/>
      <c r="T782" s="75"/>
      <c r="U782" s="71"/>
      <c r="V782" s="77"/>
    </row>
    <row r="783" spans="1:23" ht="18" customHeight="1" x14ac:dyDescent="0.25">
      <c r="A783" s="115"/>
      <c r="B783" s="168"/>
      <c r="C783" s="101"/>
      <c r="F783" s="79"/>
      <c r="G783" s="79"/>
      <c r="H783" s="79"/>
      <c r="I783" s="79"/>
      <c r="J783" s="79"/>
      <c r="K783" s="79"/>
      <c r="L783" s="80"/>
      <c r="M783" s="80"/>
      <c r="N783" s="172"/>
      <c r="O783" s="74"/>
      <c r="P783" s="81"/>
      <c r="Q783" s="74"/>
      <c r="R783" s="82"/>
      <c r="S783" s="71"/>
      <c r="T783" s="83"/>
      <c r="U783" s="71"/>
      <c r="V783" s="175"/>
    </row>
    <row r="784" spans="1:23" ht="18" customHeight="1" x14ac:dyDescent="0.25">
      <c r="A784" s="262"/>
      <c r="B784" s="168"/>
      <c r="C784" s="102"/>
      <c r="F784" s="85"/>
      <c r="G784" s="85"/>
      <c r="H784" s="85"/>
      <c r="I784" s="85"/>
      <c r="J784" s="85"/>
      <c r="K784" s="85"/>
      <c r="L784" s="86"/>
      <c r="M784" s="86"/>
      <c r="N784" s="173"/>
      <c r="O784" s="29"/>
      <c r="P784" s="87"/>
      <c r="Q784" s="71"/>
      <c r="R784" s="88"/>
      <c r="S784" s="71"/>
      <c r="T784" s="89"/>
      <c r="U784" s="71"/>
      <c r="V784" s="175"/>
    </row>
    <row r="785" spans="1:22" ht="18" customHeight="1" x14ac:dyDescent="0.25">
      <c r="A785" s="262"/>
      <c r="B785" s="168"/>
      <c r="C785" s="103"/>
      <c r="F785" s="16"/>
      <c r="G785" s="16"/>
      <c r="H785" s="16"/>
      <c r="I785" s="16"/>
      <c r="J785" s="16"/>
      <c r="K785" s="16"/>
      <c r="L785" s="91"/>
      <c r="M785" s="91"/>
      <c r="N785" s="173"/>
      <c r="O785" s="74"/>
      <c r="P785" s="87"/>
      <c r="Q785" s="71"/>
      <c r="R785" s="88"/>
      <c r="S785" s="71"/>
      <c r="T785" s="89"/>
      <c r="U785" s="71"/>
      <c r="V785" s="175"/>
    </row>
    <row r="786" spans="1:22" ht="18" customHeight="1" x14ac:dyDescent="0.25">
      <c r="A786" s="262"/>
      <c r="B786" s="168"/>
      <c r="C786" s="102"/>
      <c r="F786" s="85"/>
      <c r="G786" s="85"/>
      <c r="H786" s="85"/>
      <c r="I786" s="85"/>
      <c r="J786" s="85"/>
      <c r="K786" s="85"/>
      <c r="L786" s="86"/>
      <c r="M786" s="86"/>
      <c r="N786" s="173"/>
      <c r="O786" s="92"/>
      <c r="P786" s="87"/>
      <c r="Q786" s="71"/>
      <c r="R786" s="88"/>
      <c r="S786" s="71"/>
      <c r="T786" s="89"/>
      <c r="U786" s="71"/>
      <c r="V786" s="175"/>
    </row>
    <row r="787" spans="1:22" ht="18" customHeight="1" x14ac:dyDescent="0.25">
      <c r="A787" s="262"/>
      <c r="B787" s="168"/>
      <c r="C787" s="103"/>
      <c r="F787" s="16"/>
      <c r="G787" s="16"/>
      <c r="H787" s="16"/>
      <c r="I787" s="16"/>
      <c r="J787" s="16"/>
      <c r="K787" s="16"/>
      <c r="L787" s="105"/>
      <c r="M787" s="105"/>
      <c r="N787" s="173"/>
      <c r="O787" s="92"/>
      <c r="P787" s="87"/>
      <c r="Q787" s="71"/>
      <c r="R787" s="88"/>
      <c r="S787" s="71"/>
      <c r="T787" s="89"/>
      <c r="U787" s="71"/>
      <c r="V787" s="175"/>
    </row>
    <row r="788" spans="1:22" ht="18" customHeight="1" x14ac:dyDescent="0.25">
      <c r="A788" s="262"/>
      <c r="B788" s="168"/>
      <c r="C788" s="102"/>
      <c r="F788" s="85"/>
      <c r="G788" s="85"/>
      <c r="H788" s="85"/>
      <c r="I788" s="85"/>
      <c r="J788" s="85"/>
      <c r="K788" s="85"/>
      <c r="L788" s="86"/>
      <c r="M788" s="86"/>
      <c r="N788" s="173"/>
      <c r="O788" s="92"/>
      <c r="P788" s="87"/>
      <c r="Q788" s="71"/>
      <c r="R788" s="88"/>
      <c r="S788" s="71"/>
      <c r="T788" s="89"/>
      <c r="U788" s="71"/>
      <c r="V788" s="175"/>
    </row>
    <row r="789" spans="1:22" ht="18.75" thickBot="1" x14ac:dyDescent="0.3">
      <c r="A789" s="262"/>
      <c r="B789" s="168"/>
      <c r="C789" s="131"/>
      <c r="F789" s="132"/>
      <c r="G789" s="132"/>
      <c r="H789" s="132"/>
      <c r="I789" s="132"/>
      <c r="J789" s="132"/>
      <c r="K789" s="132"/>
      <c r="L789" s="133"/>
      <c r="M789" s="133"/>
      <c r="N789" s="173"/>
      <c r="O789" s="29"/>
      <c r="P789" s="87"/>
      <c r="Q789" s="71"/>
      <c r="R789" s="88"/>
      <c r="S789" s="71"/>
      <c r="T789" s="89"/>
      <c r="U789" s="71"/>
      <c r="V789" s="93"/>
    </row>
    <row r="790" spans="1:22" ht="18" x14ac:dyDescent="0.25">
      <c r="A790" s="262"/>
      <c r="B790" s="168"/>
      <c r="C790" s="102"/>
      <c r="F790" s="85"/>
      <c r="G790" s="85"/>
      <c r="H790" s="85"/>
      <c r="I790" s="85"/>
      <c r="J790" s="85"/>
      <c r="K790" s="85"/>
      <c r="L790" s="106"/>
      <c r="M790" s="106"/>
      <c r="N790" s="173"/>
      <c r="O790" s="29"/>
      <c r="P790" s="87"/>
      <c r="Q790" s="71"/>
      <c r="R790" s="88"/>
      <c r="S790" s="71"/>
      <c r="T790" s="89"/>
      <c r="U790" s="71"/>
      <c r="V790" s="176"/>
    </row>
    <row r="791" spans="1:22" ht="18" x14ac:dyDescent="0.25">
      <c r="A791" s="262"/>
      <c r="B791" s="168"/>
      <c r="C791" s="103"/>
      <c r="F791" s="16"/>
      <c r="G791" s="16"/>
      <c r="H791" s="16"/>
      <c r="I791" s="16"/>
      <c r="J791" s="16"/>
      <c r="K791" s="16"/>
      <c r="L791" s="105"/>
      <c r="M791" s="105"/>
      <c r="N791" s="173"/>
      <c r="O791" s="29"/>
      <c r="P791" s="87"/>
      <c r="Q791" s="71"/>
      <c r="R791" s="88"/>
      <c r="S791" s="71"/>
      <c r="T791" s="89"/>
      <c r="U791" s="71"/>
      <c r="V791" s="177"/>
    </row>
    <row r="792" spans="1:22" ht="18.75" thickBot="1" x14ac:dyDescent="0.3">
      <c r="A792" s="263"/>
      <c r="B792" s="169"/>
      <c r="C792" s="107"/>
      <c r="F792" s="95"/>
      <c r="G792" s="95"/>
      <c r="H792" s="95"/>
      <c r="I792" s="95"/>
      <c r="J792" s="95"/>
      <c r="K792" s="95"/>
      <c r="L792" s="96"/>
      <c r="M792" s="96"/>
      <c r="N792" s="174"/>
      <c r="O792" s="29"/>
      <c r="P792" s="97"/>
      <c r="Q792" s="29"/>
      <c r="R792" s="98"/>
      <c r="S792" s="29"/>
      <c r="T792" s="99"/>
      <c r="U792" s="29"/>
      <c r="V792" s="178"/>
    </row>
    <row r="793" spans="1:22" ht="19.5" thickBot="1" x14ac:dyDescent="0.3">
      <c r="A793" s="114"/>
      <c r="B793" s="167"/>
      <c r="C793" s="122"/>
      <c r="F793" s="72"/>
      <c r="G793" s="72"/>
      <c r="H793" s="72"/>
      <c r="I793" s="72"/>
      <c r="J793" s="72"/>
      <c r="K793" s="72"/>
      <c r="L793" s="72"/>
      <c r="M793" s="72"/>
      <c r="N793" s="73"/>
      <c r="O793" s="74"/>
      <c r="P793" s="75"/>
      <c r="Q793" s="71"/>
      <c r="R793" s="76"/>
      <c r="S793" s="71"/>
      <c r="T793" s="75"/>
      <c r="U793" s="71"/>
      <c r="V793" s="77"/>
    </row>
    <row r="794" spans="1:22" ht="18" x14ac:dyDescent="0.25">
      <c r="A794" s="115"/>
      <c r="B794" s="168"/>
      <c r="C794" s="101"/>
      <c r="F794" s="79"/>
      <c r="G794" s="79"/>
      <c r="H794" s="79"/>
      <c r="I794" s="79"/>
      <c r="J794" s="79"/>
      <c r="K794" s="79"/>
      <c r="L794" s="80"/>
      <c r="M794" s="80"/>
      <c r="N794" s="172"/>
      <c r="O794" s="74"/>
      <c r="P794" s="81"/>
      <c r="Q794" s="74"/>
      <c r="R794" s="82"/>
      <c r="S794" s="71"/>
      <c r="T794" s="83"/>
      <c r="U794" s="71"/>
      <c r="V794" s="175"/>
    </row>
    <row r="795" spans="1:22" ht="18" x14ac:dyDescent="0.25">
      <c r="A795" s="262"/>
      <c r="B795" s="168"/>
      <c r="C795" s="102"/>
      <c r="F795" s="85"/>
      <c r="G795" s="85"/>
      <c r="H795" s="85"/>
      <c r="I795" s="85"/>
      <c r="J795" s="85"/>
      <c r="K795" s="85"/>
      <c r="L795" s="86"/>
      <c r="M795" s="86"/>
      <c r="N795" s="173"/>
      <c r="O795" s="29"/>
      <c r="P795" s="87"/>
      <c r="Q795" s="71"/>
      <c r="R795" s="88"/>
      <c r="S795" s="71"/>
      <c r="T795" s="89"/>
      <c r="U795" s="71"/>
      <c r="V795" s="175"/>
    </row>
    <row r="796" spans="1:22" ht="18" x14ac:dyDescent="0.25">
      <c r="A796" s="262"/>
      <c r="B796" s="168"/>
      <c r="C796" s="103"/>
      <c r="F796" s="16"/>
      <c r="G796" s="16"/>
      <c r="H796" s="16"/>
      <c r="I796" s="16"/>
      <c r="J796" s="16"/>
      <c r="K796" s="16"/>
      <c r="L796" s="91"/>
      <c r="M796" s="91"/>
      <c r="N796" s="173"/>
      <c r="O796" s="74"/>
      <c r="P796" s="87"/>
      <c r="Q796" s="71"/>
      <c r="R796" s="88"/>
      <c r="S796" s="71"/>
      <c r="T796" s="89"/>
      <c r="U796" s="71"/>
      <c r="V796" s="175"/>
    </row>
    <row r="797" spans="1:22" ht="18" x14ac:dyDescent="0.25">
      <c r="A797" s="262"/>
      <c r="B797" s="168"/>
      <c r="C797" s="102"/>
      <c r="F797" s="85"/>
      <c r="G797" s="85"/>
      <c r="H797" s="85"/>
      <c r="I797" s="85"/>
      <c r="J797" s="85"/>
      <c r="K797" s="85"/>
      <c r="L797" s="86"/>
      <c r="M797" s="86"/>
      <c r="N797" s="173"/>
      <c r="O797" s="92"/>
      <c r="P797" s="87"/>
      <c r="Q797" s="71"/>
      <c r="R797" s="88"/>
      <c r="S797" s="71"/>
      <c r="T797" s="89"/>
      <c r="U797" s="71"/>
      <c r="V797" s="175"/>
    </row>
    <row r="798" spans="1:22" ht="18" x14ac:dyDescent="0.25">
      <c r="A798" s="262"/>
      <c r="B798" s="168"/>
      <c r="C798" s="103"/>
      <c r="F798" s="16"/>
      <c r="G798" s="16"/>
      <c r="H798" s="16"/>
      <c r="I798" s="16"/>
      <c r="J798" s="16"/>
      <c r="K798" s="16"/>
      <c r="L798" s="105"/>
      <c r="M798" s="105"/>
      <c r="N798" s="173"/>
      <c r="O798" s="92"/>
      <c r="P798" s="87"/>
      <c r="Q798" s="71"/>
      <c r="R798" s="88"/>
      <c r="S798" s="71"/>
      <c r="T798" s="89"/>
      <c r="U798" s="71"/>
      <c r="V798" s="175"/>
    </row>
    <row r="799" spans="1:22" ht="18" x14ac:dyDescent="0.25">
      <c r="A799" s="262"/>
      <c r="B799" s="168"/>
      <c r="C799" s="102"/>
      <c r="F799" s="85"/>
      <c r="G799" s="85"/>
      <c r="H799" s="85"/>
      <c r="I799" s="85"/>
      <c r="J799" s="85"/>
      <c r="K799" s="85"/>
      <c r="L799" s="86"/>
      <c r="M799" s="86"/>
      <c r="N799" s="173"/>
      <c r="O799" s="92"/>
      <c r="P799" s="87"/>
      <c r="Q799" s="71"/>
      <c r="R799" s="88"/>
      <c r="S799" s="71"/>
      <c r="T799" s="89"/>
      <c r="U799" s="71"/>
      <c r="V799" s="175"/>
    </row>
    <row r="800" spans="1:22" ht="18.75" thickBot="1" x14ac:dyDescent="0.3">
      <c r="A800" s="262"/>
      <c r="B800" s="168"/>
      <c r="C800" s="103"/>
      <c r="F800" s="16"/>
      <c r="G800" s="16"/>
      <c r="H800" s="16"/>
      <c r="I800" s="16"/>
      <c r="J800" s="16"/>
      <c r="K800" s="16"/>
      <c r="L800" s="105"/>
      <c r="M800" s="105"/>
      <c r="N800" s="173"/>
      <c r="O800" s="29"/>
      <c r="P800" s="87"/>
      <c r="Q800" s="71"/>
      <c r="R800" s="88"/>
      <c r="S800" s="71"/>
      <c r="T800" s="89"/>
      <c r="U800" s="71"/>
      <c r="V800" s="93"/>
    </row>
    <row r="801" spans="1:22" ht="18" x14ac:dyDescent="0.25">
      <c r="A801" s="262"/>
      <c r="B801" s="168"/>
      <c r="C801" s="102"/>
      <c r="F801" s="85"/>
      <c r="G801" s="85"/>
      <c r="H801" s="85"/>
      <c r="I801" s="85"/>
      <c r="J801" s="85"/>
      <c r="K801" s="85"/>
      <c r="L801" s="106"/>
      <c r="M801" s="106"/>
      <c r="N801" s="173"/>
      <c r="O801" s="29"/>
      <c r="P801" s="87"/>
      <c r="Q801" s="71"/>
      <c r="R801" s="88"/>
      <c r="S801" s="71"/>
      <c r="T801" s="89"/>
      <c r="U801" s="71"/>
      <c r="V801" s="176"/>
    </row>
    <row r="802" spans="1:22" ht="18" x14ac:dyDescent="0.25">
      <c r="A802" s="262"/>
      <c r="B802" s="168"/>
      <c r="C802" s="103"/>
      <c r="F802" s="16"/>
      <c r="G802" s="16"/>
      <c r="H802" s="16"/>
      <c r="I802" s="16"/>
      <c r="J802" s="16"/>
      <c r="K802" s="16"/>
      <c r="L802" s="105"/>
      <c r="M802" s="105"/>
      <c r="N802" s="173"/>
      <c r="O802" s="29"/>
      <c r="P802" s="87"/>
      <c r="Q802" s="71"/>
      <c r="R802" s="88"/>
      <c r="S802" s="71"/>
      <c r="T802" s="89"/>
      <c r="U802" s="71"/>
      <c r="V802" s="177"/>
    </row>
    <row r="803" spans="1:22" ht="18.75" thickBot="1" x14ac:dyDescent="0.3">
      <c r="A803" s="263"/>
      <c r="B803" s="169"/>
      <c r="C803" s="107"/>
      <c r="F803" s="95"/>
      <c r="G803" s="95"/>
      <c r="H803" s="95"/>
      <c r="I803" s="95"/>
      <c r="J803" s="95"/>
      <c r="K803" s="95"/>
      <c r="L803" s="96"/>
      <c r="M803" s="96"/>
      <c r="N803" s="174"/>
      <c r="O803" s="29"/>
      <c r="P803" s="97"/>
      <c r="Q803" s="29"/>
      <c r="R803" s="98"/>
      <c r="S803" s="29"/>
      <c r="T803" s="99"/>
      <c r="U803" s="29"/>
      <c r="V803" s="178"/>
    </row>
  </sheetData>
  <mergeCells count="295">
    <mergeCell ref="B793:B803"/>
    <mergeCell ref="N794:N803"/>
    <mergeCell ref="V794:V799"/>
    <mergeCell ref="A795:A803"/>
    <mergeCell ref="V801:V803"/>
    <mergeCell ref="B728:B738"/>
    <mergeCell ref="N729:N738"/>
    <mergeCell ref="V729:V734"/>
    <mergeCell ref="A730:A738"/>
    <mergeCell ref="V736:V738"/>
    <mergeCell ref="B742:B752"/>
    <mergeCell ref="N743:N752"/>
    <mergeCell ref="V743:V748"/>
    <mergeCell ref="A744:A752"/>
    <mergeCell ref="V750:V752"/>
    <mergeCell ref="V783:V788"/>
    <mergeCell ref="B782:B792"/>
    <mergeCell ref="N783:N792"/>
    <mergeCell ref="A784:A792"/>
    <mergeCell ref="V790:V792"/>
    <mergeCell ref="B700:B710"/>
    <mergeCell ref="N701:N710"/>
    <mergeCell ref="V701:V706"/>
    <mergeCell ref="A702:A710"/>
    <mergeCell ref="V708:V710"/>
    <mergeCell ref="B714:B724"/>
    <mergeCell ref="N715:N724"/>
    <mergeCell ref="V715:V720"/>
    <mergeCell ref="A716:A724"/>
    <mergeCell ref="V722:V724"/>
    <mergeCell ref="B672:B682"/>
    <mergeCell ref="N673:N682"/>
    <mergeCell ref="V673:V678"/>
    <mergeCell ref="A674:A682"/>
    <mergeCell ref="V680:V682"/>
    <mergeCell ref="B686:B696"/>
    <mergeCell ref="N687:N696"/>
    <mergeCell ref="V687:V692"/>
    <mergeCell ref="A688:A696"/>
    <mergeCell ref="V694:V696"/>
    <mergeCell ref="B644:B654"/>
    <mergeCell ref="N645:N654"/>
    <mergeCell ref="V645:V650"/>
    <mergeCell ref="A646:A654"/>
    <mergeCell ref="V652:V654"/>
    <mergeCell ref="B658:B668"/>
    <mergeCell ref="N659:N668"/>
    <mergeCell ref="V659:V664"/>
    <mergeCell ref="A660:A668"/>
    <mergeCell ref="V666:V668"/>
    <mergeCell ref="B616:B626"/>
    <mergeCell ref="N617:N626"/>
    <mergeCell ref="V617:V622"/>
    <mergeCell ref="A618:A626"/>
    <mergeCell ref="V624:V626"/>
    <mergeCell ref="B630:B640"/>
    <mergeCell ref="N631:N640"/>
    <mergeCell ref="V631:V636"/>
    <mergeCell ref="A632:A640"/>
    <mergeCell ref="V638:V640"/>
    <mergeCell ref="B586:B596"/>
    <mergeCell ref="A588:A596"/>
    <mergeCell ref="N475:N484"/>
    <mergeCell ref="V482:V484"/>
    <mergeCell ref="N489:N498"/>
    <mergeCell ref="V489:V494"/>
    <mergeCell ref="V496:V498"/>
    <mergeCell ref="N503:N512"/>
    <mergeCell ref="V503:V508"/>
    <mergeCell ref="V510:V512"/>
    <mergeCell ref="N517:N526"/>
    <mergeCell ref="V517:V522"/>
    <mergeCell ref="V524:V526"/>
    <mergeCell ref="A546:A554"/>
    <mergeCell ref="B544:B554"/>
    <mergeCell ref="A490:A498"/>
    <mergeCell ref="B488:B498"/>
    <mergeCell ref="B502:B512"/>
    <mergeCell ref="A504:A512"/>
    <mergeCell ref="A518:A526"/>
    <mergeCell ref="B516:B526"/>
    <mergeCell ref="N573:N582"/>
    <mergeCell ref="V580:V582"/>
    <mergeCell ref="A476:A484"/>
    <mergeCell ref="A560:A568"/>
    <mergeCell ref="A574:A582"/>
    <mergeCell ref="B474:B484"/>
    <mergeCell ref="B572:B582"/>
    <mergeCell ref="K1:L1"/>
    <mergeCell ref="K2:L3"/>
    <mergeCell ref="I2:J3"/>
    <mergeCell ref="B558:B568"/>
    <mergeCell ref="B460:B470"/>
    <mergeCell ref="B530:B540"/>
    <mergeCell ref="F120:H120"/>
    <mergeCell ref="E125:E126"/>
    <mergeCell ref="L105:L106"/>
    <mergeCell ref="L94:L95"/>
    <mergeCell ref="A176:A186"/>
    <mergeCell ref="A162:A172"/>
    <mergeCell ref="B162:B172"/>
    <mergeCell ref="A120:A126"/>
    <mergeCell ref="F107:H107"/>
    <mergeCell ref="A204:A214"/>
    <mergeCell ref="A218:A228"/>
    <mergeCell ref="A232:A242"/>
    <mergeCell ref="N403:N412"/>
    <mergeCell ref="V396:V398"/>
    <mergeCell ref="V410:V412"/>
    <mergeCell ref="V424:V426"/>
    <mergeCell ref="V438:V440"/>
    <mergeCell ref="A532:A540"/>
    <mergeCell ref="N587:N596"/>
    <mergeCell ref="V587:V592"/>
    <mergeCell ref="V594:V596"/>
    <mergeCell ref="V468:V470"/>
    <mergeCell ref="N461:N470"/>
    <mergeCell ref="V573:V578"/>
    <mergeCell ref="V545:V550"/>
    <mergeCell ref="N531:N540"/>
    <mergeCell ref="V531:V536"/>
    <mergeCell ref="V538:V540"/>
    <mergeCell ref="N545:N554"/>
    <mergeCell ref="V552:V554"/>
    <mergeCell ref="N559:N568"/>
    <mergeCell ref="V559:V564"/>
    <mergeCell ref="V566:V568"/>
    <mergeCell ref="V461:V466"/>
    <mergeCell ref="V475:V480"/>
    <mergeCell ref="A462:A470"/>
    <mergeCell ref="V431:V436"/>
    <mergeCell ref="V368:V370"/>
    <mergeCell ref="N375:N384"/>
    <mergeCell ref="B332:B342"/>
    <mergeCell ref="A334:A342"/>
    <mergeCell ref="B346:B356"/>
    <mergeCell ref="V382:V384"/>
    <mergeCell ref="V389:V394"/>
    <mergeCell ref="V403:V408"/>
    <mergeCell ref="V417:V422"/>
    <mergeCell ref="B388:B398"/>
    <mergeCell ref="A404:A412"/>
    <mergeCell ref="B416:B426"/>
    <mergeCell ref="A418:A426"/>
    <mergeCell ref="B430:B440"/>
    <mergeCell ref="A432:A440"/>
    <mergeCell ref="A390:A398"/>
    <mergeCell ref="N417:N426"/>
    <mergeCell ref="N431:N440"/>
    <mergeCell ref="A348:A356"/>
    <mergeCell ref="B360:B370"/>
    <mergeCell ref="A362:A370"/>
    <mergeCell ref="B374:B384"/>
    <mergeCell ref="A376:A384"/>
    <mergeCell ref="B402:B412"/>
    <mergeCell ref="V198:V200"/>
    <mergeCell ref="V212:V214"/>
    <mergeCell ref="V226:V228"/>
    <mergeCell ref="V240:V242"/>
    <mergeCell ref="V254:V256"/>
    <mergeCell ref="V268:V270"/>
    <mergeCell ref="V282:V284"/>
    <mergeCell ref="N191:N200"/>
    <mergeCell ref="N205:N214"/>
    <mergeCell ref="N219:N228"/>
    <mergeCell ref="V361:V366"/>
    <mergeCell ref="V375:V380"/>
    <mergeCell ref="V333:V338"/>
    <mergeCell ref="V347:V352"/>
    <mergeCell ref="N347:N356"/>
    <mergeCell ref="V326:V328"/>
    <mergeCell ref="V340:V342"/>
    <mergeCell ref="V354:V356"/>
    <mergeCell ref="B218:B228"/>
    <mergeCell ref="N333:N342"/>
    <mergeCell ref="N361:N370"/>
    <mergeCell ref="B190:B200"/>
    <mergeCell ref="N389:N398"/>
    <mergeCell ref="N94:P95"/>
    <mergeCell ref="N96:P96"/>
    <mergeCell ref="L79:L80"/>
    <mergeCell ref="N90:P91"/>
    <mergeCell ref="L92:L93"/>
    <mergeCell ref="N92:P93"/>
    <mergeCell ref="N177:N186"/>
    <mergeCell ref="V184:V186"/>
    <mergeCell ref="V305:V310"/>
    <mergeCell ref="N163:N172"/>
    <mergeCell ref="N120:P121"/>
    <mergeCell ref="L122:L123"/>
    <mergeCell ref="N122:P123"/>
    <mergeCell ref="L124:L125"/>
    <mergeCell ref="N124:P125"/>
    <mergeCell ref="N126:P126"/>
    <mergeCell ref="N105:P106"/>
    <mergeCell ref="N233:N242"/>
    <mergeCell ref="N247:N256"/>
    <mergeCell ref="L107:L108"/>
    <mergeCell ref="N107:P108"/>
    <mergeCell ref="L120:L121"/>
    <mergeCell ref="N75:P76"/>
    <mergeCell ref="N77:P78"/>
    <mergeCell ref="L77:L78"/>
    <mergeCell ref="L75:L76"/>
    <mergeCell ref="L90:L91"/>
    <mergeCell ref="F77:H77"/>
    <mergeCell ref="F78:H78"/>
    <mergeCell ref="F79:H79"/>
    <mergeCell ref="F80:H81"/>
    <mergeCell ref="N79:P80"/>
    <mergeCell ref="N81:P81"/>
    <mergeCell ref="F90:H90"/>
    <mergeCell ref="F91:H91"/>
    <mergeCell ref="F75:H75"/>
    <mergeCell ref="F76:H76"/>
    <mergeCell ref="L109:L110"/>
    <mergeCell ref="V163:V168"/>
    <mergeCell ref="V177:V182"/>
    <mergeCell ref="N261:N270"/>
    <mergeCell ref="N275:N284"/>
    <mergeCell ref="B274:B284"/>
    <mergeCell ref="A274:A284"/>
    <mergeCell ref="N319:N328"/>
    <mergeCell ref="B318:B328"/>
    <mergeCell ref="A320:A328"/>
    <mergeCell ref="V170:V172"/>
    <mergeCell ref="B176:B186"/>
    <mergeCell ref="F124:H124"/>
    <mergeCell ref="F125:H126"/>
    <mergeCell ref="A190:A200"/>
    <mergeCell ref="F109:H109"/>
    <mergeCell ref="V319:V324"/>
    <mergeCell ref="V275:V280"/>
    <mergeCell ref="N109:P110"/>
    <mergeCell ref="N111:P111"/>
    <mergeCell ref="V191:V196"/>
    <mergeCell ref="V205:V210"/>
    <mergeCell ref="V219:V224"/>
    <mergeCell ref="V233:V238"/>
    <mergeCell ref="V247:V252"/>
    <mergeCell ref="V261:V266"/>
    <mergeCell ref="E80:E81"/>
    <mergeCell ref="A50:A58"/>
    <mergeCell ref="A246:A256"/>
    <mergeCell ref="A260:A270"/>
    <mergeCell ref="B232:B242"/>
    <mergeCell ref="B246:B256"/>
    <mergeCell ref="B260:B270"/>
    <mergeCell ref="E95:E96"/>
    <mergeCell ref="F95:H96"/>
    <mergeCell ref="A90:A96"/>
    <mergeCell ref="F92:H92"/>
    <mergeCell ref="F93:H93"/>
    <mergeCell ref="F94:H94"/>
    <mergeCell ref="A75:A81"/>
    <mergeCell ref="E110:E111"/>
    <mergeCell ref="F110:H111"/>
    <mergeCell ref="A105:A111"/>
    <mergeCell ref="F105:H105"/>
    <mergeCell ref="F106:H106"/>
    <mergeCell ref="B204:B214"/>
    <mergeCell ref="F121:H121"/>
    <mergeCell ref="F122:H122"/>
    <mergeCell ref="F123:H123"/>
    <mergeCell ref="F108:H108"/>
    <mergeCell ref="K7:L7"/>
    <mergeCell ref="K8:L9"/>
    <mergeCell ref="K4:L4"/>
    <mergeCell ref="K5:L6"/>
    <mergeCell ref="F8:F9"/>
    <mergeCell ref="A1:B9"/>
    <mergeCell ref="F7:H7"/>
    <mergeCell ref="F1:H1"/>
    <mergeCell ref="F2:H3"/>
    <mergeCell ref="F4:H4"/>
    <mergeCell ref="F5:H6"/>
    <mergeCell ref="I1:J1"/>
    <mergeCell ref="E2:E3"/>
    <mergeCell ref="E5:E6"/>
    <mergeCell ref="E8:E9"/>
    <mergeCell ref="I4:J4"/>
    <mergeCell ref="I7:J7"/>
    <mergeCell ref="I5:J6"/>
    <mergeCell ref="I8:J9"/>
    <mergeCell ref="A148:A158"/>
    <mergeCell ref="B148:B158"/>
    <mergeCell ref="U149:U154"/>
    <mergeCell ref="U156:U158"/>
    <mergeCell ref="N149:N158"/>
    <mergeCell ref="V149:V154"/>
    <mergeCell ref="V156:V158"/>
    <mergeCell ref="B304:B314"/>
    <mergeCell ref="A306:A314"/>
    <mergeCell ref="V312:V314"/>
    <mergeCell ref="N305:N314"/>
  </mergeCells>
  <conditionalFormatting sqref="P758">
    <cfRule type="expression" priority="6673">
      <formula>(P758="")</formula>
    </cfRule>
  </conditionalFormatting>
  <conditionalFormatting sqref="P4:P7">
    <cfRule type="cellIs" dxfId="1402" priority="7093" operator="between">
      <formula>0</formula>
      <formula>-100</formula>
    </cfRule>
    <cfRule type="cellIs" dxfId="1401" priority="7094" operator="between">
      <formula>2</formula>
      <formula>100</formula>
    </cfRule>
    <cfRule type="cellIs" dxfId="1400" priority="7095" operator="between">
      <formula>1</formula>
      <formula>2</formula>
    </cfRule>
    <cfRule type="cellIs" dxfId="1399" priority="7096" operator="between">
      <formula>0</formula>
      <formula>1</formula>
    </cfRule>
  </conditionalFormatting>
  <conditionalFormatting sqref="P759">
    <cfRule type="expression" priority="6672">
      <formula>(P759="")</formula>
    </cfRule>
  </conditionalFormatting>
  <conditionalFormatting sqref="P760">
    <cfRule type="expression" priority="6671">
      <formula>(P760="")</formula>
    </cfRule>
  </conditionalFormatting>
  <conditionalFormatting sqref="P761">
    <cfRule type="expression" priority="6670">
      <formula>(P761="")</formula>
    </cfRule>
  </conditionalFormatting>
  <conditionalFormatting sqref="P762">
    <cfRule type="expression" priority="6669">
      <formula>(P762="")</formula>
    </cfRule>
  </conditionalFormatting>
  <conditionalFormatting sqref="P763">
    <cfRule type="expression" priority="6668">
      <formula>(P763="")</formula>
    </cfRule>
  </conditionalFormatting>
  <conditionalFormatting sqref="P764">
    <cfRule type="expression" priority="6667">
      <formula>(P764="")</formula>
    </cfRule>
  </conditionalFormatting>
  <conditionalFormatting sqref="P758">
    <cfRule type="expression" priority="6666">
      <formula>(P758="")</formula>
    </cfRule>
  </conditionalFormatting>
  <conditionalFormatting sqref="P759">
    <cfRule type="expression" priority="6665">
      <formula>(P759="")</formula>
    </cfRule>
  </conditionalFormatting>
  <conditionalFormatting sqref="P760">
    <cfRule type="expression" priority="6664">
      <formula>(P760="")</formula>
    </cfRule>
  </conditionalFormatting>
  <conditionalFormatting sqref="P761">
    <cfRule type="expression" priority="6663">
      <formula>(P761="")</formula>
    </cfRule>
  </conditionalFormatting>
  <conditionalFormatting sqref="P762">
    <cfRule type="expression" priority="6662">
      <formula>(P762="")</formula>
    </cfRule>
  </conditionalFormatting>
  <conditionalFormatting sqref="P763">
    <cfRule type="expression" priority="6661">
      <formula>(P763="")</formula>
    </cfRule>
  </conditionalFormatting>
  <conditionalFormatting sqref="P764">
    <cfRule type="expression" priority="6660">
      <formula>(P764="")</formula>
    </cfRule>
  </conditionalFormatting>
  <conditionalFormatting sqref="P757:P764">
    <cfRule type="expression" dxfId="1398" priority="6675">
      <formula>AND(NOT(K757=P757),NOT(P757=""))</formula>
    </cfRule>
    <cfRule type="expression" dxfId="1397" priority="6676">
      <formula>AND((K757=P757),NOT(P757=""))</formula>
    </cfRule>
  </conditionalFormatting>
  <conditionalFormatting sqref="P757">
    <cfRule type="expression" priority="6674">
      <formula>(P757="")</formula>
    </cfRule>
  </conditionalFormatting>
  <conditionalFormatting sqref="R757:R764">
    <cfRule type="expression" dxfId="1396" priority="6650">
      <formula>R757=0</formula>
    </cfRule>
  </conditionalFormatting>
  <conditionalFormatting sqref="R597">
    <cfRule type="expression" dxfId="1395" priority="6516">
      <formula>R597=0</formula>
    </cfRule>
  </conditionalFormatting>
  <conditionalFormatting sqref="T163:T172">
    <cfRule type="containsText" dxfId="1394" priority="5489" operator="containsText" text="a">
      <formula>NOT(ISERROR(SEARCH("a",T163)))</formula>
    </cfRule>
    <cfRule type="containsText" dxfId="1393" priority="5490" operator="containsText" text="r">
      <formula>NOT(ISERROR(SEARCH("r",T163)))</formula>
    </cfRule>
  </conditionalFormatting>
  <conditionalFormatting sqref="T177:T186">
    <cfRule type="containsText" dxfId="1392" priority="5485" operator="containsText" text="a">
      <formula>NOT(ISERROR(SEARCH("a",T177)))</formula>
    </cfRule>
    <cfRule type="containsText" dxfId="1391" priority="5486" operator="containsText" text="r">
      <formula>NOT(ISERROR(SEARCH("r",T177)))</formula>
    </cfRule>
  </conditionalFormatting>
  <conditionalFormatting sqref="T191:T200">
    <cfRule type="containsText" dxfId="1390" priority="5481" operator="containsText" text="a">
      <formula>NOT(ISERROR(SEARCH("a",T191)))</formula>
    </cfRule>
    <cfRule type="containsText" dxfId="1389" priority="5482" operator="containsText" text="r">
      <formula>NOT(ISERROR(SEARCH("r",T191)))</formula>
    </cfRule>
  </conditionalFormatting>
  <conditionalFormatting sqref="T205:T214">
    <cfRule type="containsText" dxfId="1388" priority="5477" operator="containsText" text="a">
      <formula>NOT(ISERROR(SEARCH("a",T205)))</formula>
    </cfRule>
    <cfRule type="containsText" dxfId="1387" priority="5478" operator="containsText" text="r">
      <formula>NOT(ISERROR(SEARCH("r",T205)))</formula>
    </cfRule>
  </conditionalFormatting>
  <conditionalFormatting sqref="T219:T228">
    <cfRule type="containsText" dxfId="1386" priority="5473" operator="containsText" text="a">
      <formula>NOT(ISERROR(SEARCH("a",T219)))</formula>
    </cfRule>
    <cfRule type="containsText" dxfId="1385" priority="5474" operator="containsText" text="r">
      <formula>NOT(ISERROR(SEARCH("r",T219)))</formula>
    </cfRule>
  </conditionalFormatting>
  <conditionalFormatting sqref="T233:T242">
    <cfRule type="containsText" dxfId="1384" priority="5469" operator="containsText" text="a">
      <formula>NOT(ISERROR(SEARCH("a",T233)))</formula>
    </cfRule>
    <cfRule type="containsText" dxfId="1383" priority="5470" operator="containsText" text="r">
      <formula>NOT(ISERROR(SEARCH("r",T233)))</formula>
    </cfRule>
  </conditionalFormatting>
  <conditionalFormatting sqref="T247:T256">
    <cfRule type="containsText" dxfId="1382" priority="5465" operator="containsText" text="a">
      <formula>NOT(ISERROR(SEARCH("a",T247)))</formula>
    </cfRule>
    <cfRule type="containsText" dxfId="1381" priority="5466" operator="containsText" text="r">
      <formula>NOT(ISERROR(SEARCH("r",T247)))</formula>
    </cfRule>
  </conditionalFormatting>
  <conditionalFormatting sqref="T261:T270">
    <cfRule type="containsText" dxfId="1380" priority="5461" operator="containsText" text="a">
      <formula>NOT(ISERROR(SEARCH("a",T261)))</formula>
    </cfRule>
    <cfRule type="containsText" dxfId="1379" priority="5462" operator="containsText" text="r">
      <formula>NOT(ISERROR(SEARCH("r",T261)))</formula>
    </cfRule>
  </conditionalFormatting>
  <conditionalFormatting sqref="T275:T284">
    <cfRule type="containsText" dxfId="1378" priority="5457" operator="containsText" text="a">
      <formula>NOT(ISERROR(SEARCH("a",T275)))</formula>
    </cfRule>
    <cfRule type="containsText" dxfId="1377" priority="5458" operator="containsText" text="r">
      <formula>NOT(ISERROR(SEARCH("r",T275)))</formula>
    </cfRule>
  </conditionalFormatting>
  <conditionalFormatting sqref="T319:T328">
    <cfRule type="containsText" dxfId="1376" priority="5453" operator="containsText" text="a">
      <formula>NOT(ISERROR(SEARCH("a",T319)))</formula>
    </cfRule>
    <cfRule type="containsText" dxfId="1375" priority="5454" operator="containsText" text="r">
      <formula>NOT(ISERROR(SEARCH("r",T319)))</formula>
    </cfRule>
  </conditionalFormatting>
  <conditionalFormatting sqref="T333:T342">
    <cfRule type="containsText" dxfId="1374" priority="5449" operator="containsText" text="a">
      <formula>NOT(ISERROR(SEARCH("a",T333)))</formula>
    </cfRule>
    <cfRule type="containsText" dxfId="1373" priority="5450" operator="containsText" text="r">
      <formula>NOT(ISERROR(SEARCH("r",T333)))</formula>
    </cfRule>
  </conditionalFormatting>
  <conditionalFormatting sqref="T347:T356">
    <cfRule type="containsText" dxfId="1372" priority="5445" operator="containsText" text="a">
      <formula>NOT(ISERROR(SEARCH("a",T347)))</formula>
    </cfRule>
    <cfRule type="containsText" dxfId="1371" priority="5446" operator="containsText" text="r">
      <formula>NOT(ISERROR(SEARCH("r",T347)))</formula>
    </cfRule>
  </conditionalFormatting>
  <conditionalFormatting sqref="T361:T370">
    <cfRule type="containsText" dxfId="1370" priority="5441" operator="containsText" text="a">
      <formula>NOT(ISERROR(SEARCH("a",T361)))</formula>
    </cfRule>
    <cfRule type="containsText" dxfId="1369" priority="5442" operator="containsText" text="r">
      <formula>NOT(ISERROR(SEARCH("r",T361)))</formula>
    </cfRule>
  </conditionalFormatting>
  <conditionalFormatting sqref="T375:T384">
    <cfRule type="containsText" dxfId="1368" priority="5437" operator="containsText" text="a">
      <formula>NOT(ISERROR(SEARCH("a",T375)))</formula>
    </cfRule>
    <cfRule type="containsText" dxfId="1367" priority="5438" operator="containsText" text="r">
      <formula>NOT(ISERROR(SEARCH("r",T375)))</formula>
    </cfRule>
  </conditionalFormatting>
  <conditionalFormatting sqref="T389:T398">
    <cfRule type="containsText" dxfId="1366" priority="5433" operator="containsText" text="a">
      <formula>NOT(ISERROR(SEARCH("a",T389)))</formula>
    </cfRule>
    <cfRule type="containsText" dxfId="1365" priority="5434" operator="containsText" text="r">
      <formula>NOT(ISERROR(SEARCH("r",T389)))</formula>
    </cfRule>
  </conditionalFormatting>
  <conditionalFormatting sqref="T403:T412">
    <cfRule type="containsText" dxfId="1364" priority="5429" operator="containsText" text="a">
      <formula>NOT(ISERROR(SEARCH("a",T403)))</formula>
    </cfRule>
    <cfRule type="containsText" dxfId="1363" priority="5430" operator="containsText" text="r">
      <formula>NOT(ISERROR(SEARCH("r",T403)))</formula>
    </cfRule>
  </conditionalFormatting>
  <conditionalFormatting sqref="T417:T426">
    <cfRule type="containsText" dxfId="1362" priority="5425" operator="containsText" text="a">
      <formula>NOT(ISERROR(SEARCH("a",T417)))</formula>
    </cfRule>
    <cfRule type="containsText" dxfId="1361" priority="5426" operator="containsText" text="r">
      <formula>NOT(ISERROR(SEARCH("r",T417)))</formula>
    </cfRule>
  </conditionalFormatting>
  <conditionalFormatting sqref="T431:T440">
    <cfRule type="containsText" dxfId="1360" priority="5421" operator="containsText" text="a">
      <formula>NOT(ISERROR(SEARCH("a",T431)))</formula>
    </cfRule>
    <cfRule type="containsText" dxfId="1359" priority="5422" operator="containsText" text="r">
      <formula>NOT(ISERROR(SEARCH("r",T431)))</formula>
    </cfRule>
  </conditionalFormatting>
  <conditionalFormatting sqref="T461:T470">
    <cfRule type="containsText" dxfId="1358" priority="5417" operator="containsText" text="a">
      <formula>NOT(ISERROR(SEARCH("a",T461)))</formula>
    </cfRule>
    <cfRule type="containsText" dxfId="1357" priority="5418" operator="containsText" text="r">
      <formula>NOT(ISERROR(SEARCH("r",T461)))</formula>
    </cfRule>
  </conditionalFormatting>
  <conditionalFormatting sqref="T475:T484">
    <cfRule type="containsText" dxfId="1356" priority="5413" operator="containsText" text="a">
      <formula>NOT(ISERROR(SEARCH("a",T475)))</formula>
    </cfRule>
    <cfRule type="containsText" dxfId="1355" priority="5414" operator="containsText" text="r">
      <formula>NOT(ISERROR(SEARCH("r",T475)))</formula>
    </cfRule>
  </conditionalFormatting>
  <conditionalFormatting sqref="T489:T498">
    <cfRule type="containsText" dxfId="1354" priority="5409" operator="containsText" text="a">
      <formula>NOT(ISERROR(SEARCH("a",T489)))</formula>
    </cfRule>
    <cfRule type="containsText" dxfId="1353" priority="5410" operator="containsText" text="r">
      <formula>NOT(ISERROR(SEARCH("r",T489)))</formula>
    </cfRule>
  </conditionalFormatting>
  <conditionalFormatting sqref="T503:T512">
    <cfRule type="containsText" dxfId="1352" priority="5405" operator="containsText" text="a">
      <formula>NOT(ISERROR(SEARCH("a",T503)))</formula>
    </cfRule>
    <cfRule type="containsText" dxfId="1351" priority="5406" operator="containsText" text="r">
      <formula>NOT(ISERROR(SEARCH("r",T503)))</formula>
    </cfRule>
  </conditionalFormatting>
  <conditionalFormatting sqref="T517:T526">
    <cfRule type="containsText" dxfId="1350" priority="5401" operator="containsText" text="a">
      <formula>NOT(ISERROR(SEARCH("a",T517)))</formula>
    </cfRule>
    <cfRule type="containsText" dxfId="1349" priority="5402" operator="containsText" text="r">
      <formula>NOT(ISERROR(SEARCH("r",T517)))</formula>
    </cfRule>
  </conditionalFormatting>
  <conditionalFormatting sqref="T531:T540">
    <cfRule type="containsText" dxfId="1348" priority="5397" operator="containsText" text="a">
      <formula>NOT(ISERROR(SEARCH("a",T531)))</formula>
    </cfRule>
    <cfRule type="containsText" dxfId="1347" priority="5398" operator="containsText" text="r">
      <formula>NOT(ISERROR(SEARCH("r",T531)))</formula>
    </cfRule>
  </conditionalFormatting>
  <conditionalFormatting sqref="T545:T554">
    <cfRule type="containsText" dxfId="1346" priority="5393" operator="containsText" text="a">
      <formula>NOT(ISERROR(SEARCH("a",T545)))</formula>
    </cfRule>
    <cfRule type="containsText" dxfId="1345" priority="5394" operator="containsText" text="r">
      <formula>NOT(ISERROR(SEARCH("r",T545)))</formula>
    </cfRule>
  </conditionalFormatting>
  <conditionalFormatting sqref="T559:T568">
    <cfRule type="containsText" dxfId="1344" priority="5389" operator="containsText" text="a">
      <formula>NOT(ISERROR(SEARCH("a",T559)))</formula>
    </cfRule>
    <cfRule type="containsText" dxfId="1343" priority="5390" operator="containsText" text="r">
      <formula>NOT(ISERROR(SEARCH("r",T559)))</formula>
    </cfRule>
  </conditionalFormatting>
  <conditionalFormatting sqref="T573:T582">
    <cfRule type="containsText" dxfId="1342" priority="5385" operator="containsText" text="a">
      <formula>NOT(ISERROR(SEARCH("a",T573)))</formula>
    </cfRule>
    <cfRule type="containsText" dxfId="1341" priority="5386" operator="containsText" text="r">
      <formula>NOT(ISERROR(SEARCH("r",T573)))</formula>
    </cfRule>
  </conditionalFormatting>
  <conditionalFormatting sqref="T587:T596">
    <cfRule type="containsText" dxfId="1340" priority="5381" operator="containsText" text="a">
      <formula>NOT(ISERROR(SEARCH("a",T587)))</formula>
    </cfRule>
    <cfRule type="containsText" dxfId="1339" priority="5382" operator="containsText" text="r">
      <formula>NOT(ISERROR(SEARCH("r",T587)))</formula>
    </cfRule>
  </conditionalFormatting>
  <conditionalFormatting sqref="P617:P622">
    <cfRule type="expression" dxfId="1338" priority="3674">
      <formula>AND(NOT(K617=P617),NOT(P617=""))</formula>
    </cfRule>
    <cfRule type="expression" dxfId="1337" priority="3675">
      <formula>AND((K617=P617),NOT(P617=""))</formula>
    </cfRule>
  </conditionalFormatting>
  <conditionalFormatting sqref="P617">
    <cfRule type="expression" priority="3673">
      <formula>(P617="")</formula>
    </cfRule>
  </conditionalFormatting>
  <conditionalFormatting sqref="P618">
    <cfRule type="expression" dxfId="1336" priority="3522">
      <formula>IF(L618="NO BET", TRUE, FALSE)</formula>
    </cfRule>
    <cfRule type="expression" priority="3672">
      <formula>(P618="")</formula>
    </cfRule>
  </conditionalFormatting>
  <conditionalFormatting sqref="P619">
    <cfRule type="expression" priority="3671">
      <formula>(P619="")</formula>
    </cfRule>
  </conditionalFormatting>
  <conditionalFormatting sqref="P620">
    <cfRule type="expression" priority="3670">
      <formula>(P620="")</formula>
    </cfRule>
  </conditionalFormatting>
  <conditionalFormatting sqref="P621">
    <cfRule type="expression" priority="3669">
      <formula>(P621="")</formula>
    </cfRule>
  </conditionalFormatting>
  <conditionalFormatting sqref="P622">
    <cfRule type="expression" priority="3668">
      <formula>(P622="")</formula>
    </cfRule>
  </conditionalFormatting>
  <conditionalFormatting sqref="P618">
    <cfRule type="expression" priority="3667">
      <formula>(P618="")</formula>
    </cfRule>
  </conditionalFormatting>
  <conditionalFormatting sqref="P619">
    <cfRule type="expression" priority="3666">
      <formula>(P619="")</formula>
    </cfRule>
  </conditionalFormatting>
  <conditionalFormatting sqref="P620">
    <cfRule type="expression" priority="3665">
      <formula>(P620="")</formula>
    </cfRule>
  </conditionalFormatting>
  <conditionalFormatting sqref="P621">
    <cfRule type="expression" priority="3664">
      <formula>(P621="")</formula>
    </cfRule>
  </conditionalFormatting>
  <conditionalFormatting sqref="P622">
    <cfRule type="expression" priority="3663">
      <formula>(P622="")</formula>
    </cfRule>
  </conditionalFormatting>
  <conditionalFormatting sqref="L631:M637">
    <cfRule type="cellIs" dxfId="1335" priority="3659" operator="between">
      <formula>0</formula>
      <formula>-100</formula>
    </cfRule>
    <cfRule type="cellIs" dxfId="1334" priority="3660" operator="between">
      <formula>2</formula>
      <formula>100</formula>
    </cfRule>
    <cfRule type="cellIs" dxfId="1333" priority="3661" operator="between">
      <formula>1</formula>
      <formula>2</formula>
    </cfRule>
    <cfRule type="cellIs" dxfId="1332" priority="3662" operator="between">
      <formula>0</formula>
      <formula>1</formula>
    </cfRule>
  </conditionalFormatting>
  <conditionalFormatting sqref="L639:M640">
    <cfRule type="cellIs" dxfId="1331" priority="3651" operator="between">
      <formula>0</formula>
      <formula>-100</formula>
    </cfRule>
    <cfRule type="cellIs" dxfId="1330" priority="3652" operator="between">
      <formula>2</formula>
      <formula>100</formula>
    </cfRule>
    <cfRule type="cellIs" dxfId="1329" priority="3653" operator="between">
      <formula>1</formula>
      <formula>2</formula>
    </cfRule>
    <cfRule type="cellIs" dxfId="1328" priority="3654" operator="between">
      <formula>0</formula>
      <formula>1</formula>
    </cfRule>
  </conditionalFormatting>
  <conditionalFormatting sqref="L638:M638">
    <cfRule type="cellIs" dxfId="1327" priority="3655" operator="between">
      <formula>0</formula>
      <formula>-100</formula>
    </cfRule>
    <cfRule type="cellIs" dxfId="1326" priority="3656" operator="between">
      <formula>2</formula>
      <formula>100</formula>
    </cfRule>
    <cfRule type="cellIs" dxfId="1325" priority="3657" operator="between">
      <formula>1</formula>
      <formula>2</formula>
    </cfRule>
    <cfRule type="cellIs" dxfId="1324" priority="3658" operator="between">
      <formula>0</formula>
      <formula>1</formula>
    </cfRule>
  </conditionalFormatting>
  <conditionalFormatting sqref="L617:M623">
    <cfRule type="cellIs" dxfId="1323" priority="3647" operator="between">
      <formula>0</formula>
      <formula>-100</formula>
    </cfRule>
    <cfRule type="cellIs" dxfId="1322" priority="3648" operator="between">
      <formula>2</formula>
      <formula>100</formula>
    </cfRule>
    <cfRule type="cellIs" dxfId="1321" priority="3649" operator="between">
      <formula>1</formula>
      <formula>2</formula>
    </cfRule>
    <cfRule type="cellIs" dxfId="1320" priority="3650" operator="between">
      <formula>0</formula>
      <formula>1</formula>
    </cfRule>
  </conditionalFormatting>
  <conditionalFormatting sqref="L625:M626">
    <cfRule type="cellIs" dxfId="1319" priority="3639" operator="between">
      <formula>0</formula>
      <formula>-100</formula>
    </cfRule>
    <cfRule type="cellIs" dxfId="1318" priority="3640" operator="between">
      <formula>2</formula>
      <formula>100</formula>
    </cfRule>
    <cfRule type="cellIs" dxfId="1317" priority="3641" operator="between">
      <formula>1</formula>
      <formula>2</formula>
    </cfRule>
    <cfRule type="cellIs" dxfId="1316" priority="3642" operator="between">
      <formula>0</formula>
      <formula>1</formula>
    </cfRule>
  </conditionalFormatting>
  <conditionalFormatting sqref="L624:M624">
    <cfRule type="cellIs" dxfId="1315" priority="3643" operator="between">
      <formula>0</formula>
      <formula>-100</formula>
    </cfRule>
    <cfRule type="cellIs" dxfId="1314" priority="3644" operator="between">
      <formula>2</formula>
      <formula>100</formula>
    </cfRule>
    <cfRule type="cellIs" dxfId="1313" priority="3645" operator="between">
      <formula>1</formula>
      <formula>2</formula>
    </cfRule>
    <cfRule type="cellIs" dxfId="1312" priority="3646" operator="between">
      <formula>0</formula>
      <formula>1</formula>
    </cfRule>
  </conditionalFormatting>
  <conditionalFormatting sqref="L659:M665">
    <cfRule type="cellIs" dxfId="1311" priority="3623" operator="between">
      <formula>0</formula>
      <formula>-100</formula>
    </cfRule>
    <cfRule type="cellIs" dxfId="1310" priority="3624" operator="between">
      <formula>2</formula>
      <formula>100</formula>
    </cfRule>
    <cfRule type="cellIs" dxfId="1309" priority="3625" operator="between">
      <formula>1</formula>
      <formula>2</formula>
    </cfRule>
    <cfRule type="cellIs" dxfId="1308" priority="3626" operator="between">
      <formula>0</formula>
      <formula>1</formula>
    </cfRule>
  </conditionalFormatting>
  <conditionalFormatting sqref="L667:M668">
    <cfRule type="cellIs" dxfId="1307" priority="3615" operator="between">
      <formula>0</formula>
      <formula>-100</formula>
    </cfRule>
    <cfRule type="cellIs" dxfId="1306" priority="3616" operator="between">
      <formula>2</formula>
      <formula>100</formula>
    </cfRule>
    <cfRule type="cellIs" dxfId="1305" priority="3617" operator="between">
      <formula>1</formula>
      <formula>2</formula>
    </cfRule>
    <cfRule type="cellIs" dxfId="1304" priority="3618" operator="between">
      <formula>0</formula>
      <formula>1</formula>
    </cfRule>
  </conditionalFormatting>
  <conditionalFormatting sqref="L666:M666">
    <cfRule type="cellIs" dxfId="1303" priority="3619" operator="between">
      <formula>0</formula>
      <formula>-100</formula>
    </cfRule>
    <cfRule type="cellIs" dxfId="1302" priority="3620" operator="between">
      <formula>2</formula>
      <formula>100</formula>
    </cfRule>
    <cfRule type="cellIs" dxfId="1301" priority="3621" operator="between">
      <formula>1</formula>
      <formula>2</formula>
    </cfRule>
    <cfRule type="cellIs" dxfId="1300" priority="3622" operator="between">
      <formula>0</formula>
      <formula>1</formula>
    </cfRule>
  </conditionalFormatting>
  <conditionalFormatting sqref="L687:M693">
    <cfRule type="cellIs" dxfId="1299" priority="3611" operator="between">
      <formula>0</formula>
      <formula>-100</formula>
    </cfRule>
    <cfRule type="cellIs" dxfId="1298" priority="3612" operator="between">
      <formula>2</formula>
      <formula>100</formula>
    </cfRule>
    <cfRule type="cellIs" dxfId="1297" priority="3613" operator="between">
      <formula>1</formula>
      <formula>2</formula>
    </cfRule>
    <cfRule type="cellIs" dxfId="1296" priority="3614" operator="between">
      <formula>0</formula>
      <formula>1</formula>
    </cfRule>
  </conditionalFormatting>
  <conditionalFormatting sqref="L695:M696">
    <cfRule type="cellIs" dxfId="1295" priority="3603" operator="between">
      <formula>0</formula>
      <formula>-100</formula>
    </cfRule>
    <cfRule type="cellIs" dxfId="1294" priority="3604" operator="between">
      <formula>2</formula>
      <formula>100</formula>
    </cfRule>
    <cfRule type="cellIs" dxfId="1293" priority="3605" operator="between">
      <formula>1</formula>
      <formula>2</formula>
    </cfRule>
    <cfRule type="cellIs" dxfId="1292" priority="3606" operator="between">
      <formula>0</formula>
      <formula>1</formula>
    </cfRule>
  </conditionalFormatting>
  <conditionalFormatting sqref="L694:M694">
    <cfRule type="cellIs" dxfId="1291" priority="3607" operator="between">
      <formula>0</formula>
      <formula>-100</formula>
    </cfRule>
    <cfRule type="cellIs" dxfId="1290" priority="3608" operator="between">
      <formula>2</formula>
      <formula>100</formula>
    </cfRule>
    <cfRule type="cellIs" dxfId="1289" priority="3609" operator="between">
      <formula>1</formula>
      <formula>2</formula>
    </cfRule>
    <cfRule type="cellIs" dxfId="1288" priority="3610" operator="between">
      <formula>0</formula>
      <formula>1</formula>
    </cfRule>
  </conditionalFormatting>
  <conditionalFormatting sqref="L701:M707">
    <cfRule type="cellIs" dxfId="1287" priority="3587" operator="between">
      <formula>0</formula>
      <formula>-100</formula>
    </cfRule>
    <cfRule type="cellIs" dxfId="1286" priority="3588" operator="between">
      <formula>2</formula>
      <formula>100</formula>
    </cfRule>
    <cfRule type="cellIs" dxfId="1285" priority="3589" operator="between">
      <formula>1</formula>
      <formula>2</formula>
    </cfRule>
    <cfRule type="cellIs" dxfId="1284" priority="3590" operator="between">
      <formula>0</formula>
      <formula>1</formula>
    </cfRule>
  </conditionalFormatting>
  <conditionalFormatting sqref="L709:M710">
    <cfRule type="cellIs" dxfId="1283" priority="3579" operator="between">
      <formula>0</formula>
      <formula>-100</formula>
    </cfRule>
    <cfRule type="cellIs" dxfId="1282" priority="3580" operator="between">
      <formula>2</formula>
      <formula>100</formula>
    </cfRule>
    <cfRule type="cellIs" dxfId="1281" priority="3581" operator="between">
      <formula>1</formula>
      <formula>2</formula>
    </cfRule>
    <cfRule type="cellIs" dxfId="1280" priority="3582" operator="between">
      <formula>0</formula>
      <formula>1</formula>
    </cfRule>
  </conditionalFormatting>
  <conditionalFormatting sqref="L708:M708">
    <cfRule type="cellIs" dxfId="1279" priority="3583" operator="between">
      <formula>0</formula>
      <formula>-100</formula>
    </cfRule>
    <cfRule type="cellIs" dxfId="1278" priority="3584" operator="between">
      <formula>2</formula>
      <formula>100</formula>
    </cfRule>
    <cfRule type="cellIs" dxfId="1277" priority="3585" operator="between">
      <formula>1</formula>
      <formula>2</formula>
    </cfRule>
    <cfRule type="cellIs" dxfId="1276" priority="3586" operator="between">
      <formula>0</formula>
      <formula>1</formula>
    </cfRule>
  </conditionalFormatting>
  <conditionalFormatting sqref="L715:M721">
    <cfRule type="cellIs" dxfId="1275" priority="3575" operator="between">
      <formula>0</formula>
      <formula>-100</formula>
    </cfRule>
    <cfRule type="cellIs" dxfId="1274" priority="3576" operator="between">
      <formula>2</formula>
      <formula>100</formula>
    </cfRule>
    <cfRule type="cellIs" dxfId="1273" priority="3577" operator="between">
      <formula>1</formula>
      <formula>2</formula>
    </cfRule>
    <cfRule type="cellIs" dxfId="1272" priority="3578" operator="between">
      <formula>0</formula>
      <formula>1</formula>
    </cfRule>
  </conditionalFormatting>
  <conditionalFormatting sqref="L723:M724">
    <cfRule type="cellIs" dxfId="1271" priority="3567" operator="between">
      <formula>0</formula>
      <formula>-100</formula>
    </cfRule>
    <cfRule type="cellIs" dxfId="1270" priority="3568" operator="between">
      <formula>2</formula>
      <formula>100</formula>
    </cfRule>
    <cfRule type="cellIs" dxfId="1269" priority="3569" operator="between">
      <formula>1</formula>
      <formula>2</formula>
    </cfRule>
    <cfRule type="cellIs" dxfId="1268" priority="3570" operator="between">
      <formula>0</formula>
      <formula>1</formula>
    </cfRule>
  </conditionalFormatting>
  <conditionalFormatting sqref="L722:M722">
    <cfRule type="cellIs" dxfId="1267" priority="3571" operator="between">
      <formula>0</formula>
      <formula>-100</formula>
    </cfRule>
    <cfRule type="cellIs" dxfId="1266" priority="3572" operator="between">
      <formula>2</formula>
      <formula>100</formula>
    </cfRule>
    <cfRule type="cellIs" dxfId="1265" priority="3573" operator="between">
      <formula>1</formula>
      <formula>2</formula>
    </cfRule>
    <cfRule type="cellIs" dxfId="1264" priority="3574" operator="between">
      <formula>0</formula>
      <formula>1</formula>
    </cfRule>
  </conditionalFormatting>
  <conditionalFormatting sqref="L729:M735">
    <cfRule type="cellIs" dxfId="1263" priority="3563" operator="between">
      <formula>0</formula>
      <formula>-100</formula>
    </cfRule>
    <cfRule type="cellIs" dxfId="1262" priority="3564" operator="between">
      <formula>2</formula>
      <formula>100</formula>
    </cfRule>
    <cfRule type="cellIs" dxfId="1261" priority="3565" operator="between">
      <formula>1</formula>
      <formula>2</formula>
    </cfRule>
    <cfRule type="cellIs" dxfId="1260" priority="3566" operator="between">
      <formula>0</formula>
      <formula>1</formula>
    </cfRule>
  </conditionalFormatting>
  <conditionalFormatting sqref="L737:M738">
    <cfRule type="cellIs" dxfId="1259" priority="3555" operator="between">
      <formula>0</formula>
      <formula>-100</formula>
    </cfRule>
    <cfRule type="cellIs" dxfId="1258" priority="3556" operator="between">
      <formula>2</formula>
      <formula>100</formula>
    </cfRule>
    <cfRule type="cellIs" dxfId="1257" priority="3557" operator="between">
      <formula>1</formula>
      <formula>2</formula>
    </cfRule>
    <cfRule type="cellIs" dxfId="1256" priority="3558" operator="between">
      <formula>0</formula>
      <formula>1</formula>
    </cfRule>
  </conditionalFormatting>
  <conditionalFormatting sqref="L736:M736">
    <cfRule type="cellIs" dxfId="1255" priority="3559" operator="between">
      <formula>0</formula>
      <formula>-100</formula>
    </cfRule>
    <cfRule type="cellIs" dxfId="1254" priority="3560" operator="between">
      <formula>2</formula>
      <formula>100</formula>
    </cfRule>
    <cfRule type="cellIs" dxfId="1253" priority="3561" operator="between">
      <formula>1</formula>
      <formula>2</formula>
    </cfRule>
    <cfRule type="cellIs" dxfId="1252" priority="3562" operator="between">
      <formula>0</formula>
      <formula>1</formula>
    </cfRule>
  </conditionalFormatting>
  <conditionalFormatting sqref="L743:M749">
    <cfRule type="cellIs" dxfId="1251" priority="3551" operator="between">
      <formula>0</formula>
      <formula>-100</formula>
    </cfRule>
    <cfRule type="cellIs" dxfId="1250" priority="3552" operator="between">
      <formula>2</formula>
      <formula>100</formula>
    </cfRule>
    <cfRule type="cellIs" dxfId="1249" priority="3553" operator="between">
      <formula>1</formula>
      <formula>2</formula>
    </cfRule>
    <cfRule type="cellIs" dxfId="1248" priority="3554" operator="between">
      <formula>0</formula>
      <formula>1</formula>
    </cfRule>
  </conditionalFormatting>
  <conditionalFormatting sqref="L751:M752">
    <cfRule type="cellIs" dxfId="1247" priority="3543" operator="between">
      <formula>0</formula>
      <formula>-100</formula>
    </cfRule>
    <cfRule type="cellIs" dxfId="1246" priority="3544" operator="between">
      <formula>2</formula>
      <formula>100</formula>
    </cfRule>
    <cfRule type="cellIs" dxfId="1245" priority="3545" operator="between">
      <formula>1</formula>
      <formula>2</formula>
    </cfRule>
    <cfRule type="cellIs" dxfId="1244" priority="3546" operator="between">
      <formula>0</formula>
      <formula>1</formula>
    </cfRule>
  </conditionalFormatting>
  <conditionalFormatting sqref="L750:M750">
    <cfRule type="cellIs" dxfId="1243" priority="3547" operator="between">
      <formula>0</formula>
      <formula>-100</formula>
    </cfRule>
    <cfRule type="cellIs" dxfId="1242" priority="3548" operator="between">
      <formula>2</formula>
      <formula>100</formula>
    </cfRule>
    <cfRule type="cellIs" dxfId="1241" priority="3549" operator="between">
      <formula>1</formula>
      <formula>2</formula>
    </cfRule>
    <cfRule type="cellIs" dxfId="1240" priority="3550" operator="between">
      <formula>0</formula>
      <formula>1</formula>
    </cfRule>
  </conditionalFormatting>
  <conditionalFormatting sqref="T617:T626">
    <cfRule type="containsText" dxfId="1239" priority="3541" operator="containsText" text="a">
      <formula>NOT(ISERROR(SEARCH("a",T617)))</formula>
    </cfRule>
    <cfRule type="containsText" dxfId="1238" priority="3542" operator="containsText" text="r">
      <formula>NOT(ISERROR(SEARCH("r",T617)))</formula>
    </cfRule>
  </conditionalFormatting>
  <conditionalFormatting sqref="T631:T640">
    <cfRule type="containsText" dxfId="1237" priority="3539" operator="containsText" text="a">
      <formula>NOT(ISERROR(SEARCH("a",T631)))</formula>
    </cfRule>
    <cfRule type="containsText" dxfId="1236" priority="3540" operator="containsText" text="r">
      <formula>NOT(ISERROR(SEARCH("r",T631)))</formula>
    </cfRule>
  </conditionalFormatting>
  <conditionalFormatting sqref="T645:T654">
    <cfRule type="containsText" dxfId="1235" priority="3537" operator="containsText" text="a">
      <formula>NOT(ISERROR(SEARCH("a",T645)))</formula>
    </cfRule>
    <cfRule type="containsText" dxfId="1234" priority="3538" operator="containsText" text="r">
      <formula>NOT(ISERROR(SEARCH("r",T645)))</formula>
    </cfRule>
  </conditionalFormatting>
  <conditionalFormatting sqref="T659:T668">
    <cfRule type="containsText" dxfId="1233" priority="3535" operator="containsText" text="a">
      <formula>NOT(ISERROR(SEARCH("a",T659)))</formula>
    </cfRule>
    <cfRule type="containsText" dxfId="1232" priority="3536" operator="containsText" text="r">
      <formula>NOT(ISERROR(SEARCH("r",T659)))</formula>
    </cfRule>
  </conditionalFormatting>
  <conditionalFormatting sqref="T673:T682">
    <cfRule type="containsText" dxfId="1231" priority="3533" operator="containsText" text="a">
      <formula>NOT(ISERROR(SEARCH("a",T673)))</formula>
    </cfRule>
    <cfRule type="containsText" dxfId="1230" priority="3534" operator="containsText" text="r">
      <formula>NOT(ISERROR(SEARCH("r",T673)))</formula>
    </cfRule>
  </conditionalFormatting>
  <conditionalFormatting sqref="T701:T710">
    <cfRule type="containsText" dxfId="1229" priority="3529" operator="containsText" text="a">
      <formula>NOT(ISERROR(SEARCH("a",T701)))</formula>
    </cfRule>
    <cfRule type="containsText" dxfId="1228" priority="3530" operator="containsText" text="r">
      <formula>NOT(ISERROR(SEARCH("r",T701)))</formula>
    </cfRule>
  </conditionalFormatting>
  <conditionalFormatting sqref="T715:T724">
    <cfRule type="containsText" dxfId="1227" priority="3527" operator="containsText" text="a">
      <formula>NOT(ISERROR(SEARCH("a",T715)))</formula>
    </cfRule>
    <cfRule type="containsText" dxfId="1226" priority="3528" operator="containsText" text="r">
      <formula>NOT(ISERROR(SEARCH("r",T715)))</formula>
    </cfRule>
  </conditionalFormatting>
  <conditionalFormatting sqref="T729:T738">
    <cfRule type="containsText" dxfId="1225" priority="3525" operator="containsText" text="a">
      <formula>NOT(ISERROR(SEARCH("a",T729)))</formula>
    </cfRule>
    <cfRule type="containsText" dxfId="1224" priority="3526" operator="containsText" text="r">
      <formula>NOT(ISERROR(SEARCH("r",T729)))</formula>
    </cfRule>
  </conditionalFormatting>
  <conditionalFormatting sqref="T743:T752">
    <cfRule type="containsText" dxfId="1223" priority="3523" operator="containsText" text="a">
      <formula>NOT(ISERROR(SEARCH("a",T743)))</formula>
    </cfRule>
    <cfRule type="containsText" dxfId="1222" priority="3524" operator="containsText" text="r">
      <formula>NOT(ISERROR(SEARCH("r",T743)))</formula>
    </cfRule>
  </conditionalFormatting>
  <conditionalFormatting sqref="P617">
    <cfRule type="expression" dxfId="1221" priority="3519">
      <formula>IF(L617="NO BET", TRUE, FALSE)</formula>
    </cfRule>
    <cfRule type="expression" priority="3521">
      <formula>(P617="")</formula>
    </cfRule>
  </conditionalFormatting>
  <conditionalFormatting sqref="P617">
    <cfRule type="expression" priority="3520">
      <formula>(P617="")</formula>
    </cfRule>
  </conditionalFormatting>
  <conditionalFormatting sqref="P619">
    <cfRule type="expression" priority="3518">
      <formula>(P619="")</formula>
    </cfRule>
  </conditionalFormatting>
  <conditionalFormatting sqref="P620">
    <cfRule type="expression" dxfId="1220" priority="3515">
      <formula>IF(L620="NO BET", TRUE, FALSE)</formula>
    </cfRule>
    <cfRule type="expression" priority="3517">
      <formula>(P620="")</formula>
    </cfRule>
  </conditionalFormatting>
  <conditionalFormatting sqref="P620">
    <cfRule type="expression" priority="3516">
      <formula>(P620="")</formula>
    </cfRule>
  </conditionalFormatting>
  <conditionalFormatting sqref="P619">
    <cfRule type="expression" dxfId="1219" priority="3512">
      <formula>IF(L619="NO BET", TRUE, FALSE)</formula>
    </cfRule>
    <cfRule type="expression" priority="3514">
      <formula>(P619="")</formula>
    </cfRule>
  </conditionalFormatting>
  <conditionalFormatting sqref="P619">
    <cfRule type="expression" priority="3513">
      <formula>(P619="")</formula>
    </cfRule>
  </conditionalFormatting>
  <conditionalFormatting sqref="P621">
    <cfRule type="expression" priority="3511">
      <formula>(P621="")</formula>
    </cfRule>
  </conditionalFormatting>
  <conditionalFormatting sqref="P622">
    <cfRule type="expression" dxfId="1218" priority="3508">
      <formula>IF(L622="NO BET", TRUE, FALSE)</formula>
    </cfRule>
    <cfRule type="expression" priority="3510">
      <formula>(P622="")</formula>
    </cfRule>
  </conditionalFormatting>
  <conditionalFormatting sqref="P622">
    <cfRule type="expression" priority="3509">
      <formula>(P622="")</formula>
    </cfRule>
  </conditionalFormatting>
  <conditionalFormatting sqref="P621">
    <cfRule type="expression" dxfId="1217" priority="3505">
      <formula>IF(L621="NO BET", TRUE, FALSE)</formula>
    </cfRule>
    <cfRule type="expression" priority="3507">
      <formula>(P621="")</formula>
    </cfRule>
  </conditionalFormatting>
  <conditionalFormatting sqref="P621">
    <cfRule type="expression" priority="3506">
      <formula>(P621="")</formula>
    </cfRule>
  </conditionalFormatting>
  <conditionalFormatting sqref="P623:P626">
    <cfRule type="expression" dxfId="1216" priority="3503">
      <formula>AND(NOT(K623=P623),NOT(P623=""))</formula>
    </cfRule>
    <cfRule type="expression" dxfId="1215" priority="3504">
      <formula>AND((K623=P623),NOT(P623=""))</formula>
    </cfRule>
  </conditionalFormatting>
  <conditionalFormatting sqref="P623">
    <cfRule type="expression" priority="3502">
      <formula>(P623="")</formula>
    </cfRule>
  </conditionalFormatting>
  <conditionalFormatting sqref="P624">
    <cfRule type="expression" dxfId="1214" priority="3495">
      <formula>IF(L624="NO BET", TRUE, FALSE)</formula>
    </cfRule>
    <cfRule type="expression" priority="3501">
      <formula>(P624="")</formula>
    </cfRule>
  </conditionalFormatting>
  <conditionalFormatting sqref="P625">
    <cfRule type="expression" priority="3500">
      <formula>(P625="")</formula>
    </cfRule>
  </conditionalFormatting>
  <conditionalFormatting sqref="P626">
    <cfRule type="expression" priority="3499">
      <formula>(P626="")</formula>
    </cfRule>
  </conditionalFormatting>
  <conditionalFormatting sqref="P624">
    <cfRule type="expression" priority="3498">
      <formula>(P624="")</formula>
    </cfRule>
  </conditionalFormatting>
  <conditionalFormatting sqref="P625">
    <cfRule type="expression" priority="3497">
      <formula>(P625="")</formula>
    </cfRule>
  </conditionalFormatting>
  <conditionalFormatting sqref="P626">
    <cfRule type="expression" priority="3496">
      <formula>(P626="")</formula>
    </cfRule>
  </conditionalFormatting>
  <conditionalFormatting sqref="P623">
    <cfRule type="expression" dxfId="1213" priority="3492">
      <formula>IF(L623="NO BET", TRUE, FALSE)</formula>
    </cfRule>
    <cfRule type="expression" priority="3494">
      <formula>(P623="")</formula>
    </cfRule>
  </conditionalFormatting>
  <conditionalFormatting sqref="P623">
    <cfRule type="expression" priority="3493">
      <formula>(P623="")</formula>
    </cfRule>
  </conditionalFormatting>
  <conditionalFormatting sqref="P625">
    <cfRule type="expression" priority="3491">
      <formula>(P625="")</formula>
    </cfRule>
  </conditionalFormatting>
  <conditionalFormatting sqref="P626">
    <cfRule type="expression" dxfId="1212" priority="3488">
      <formula>IF(L626="NO BET", TRUE, FALSE)</formula>
    </cfRule>
    <cfRule type="expression" priority="3490">
      <formula>(P626="")</formula>
    </cfRule>
  </conditionalFormatting>
  <conditionalFormatting sqref="P626">
    <cfRule type="expression" priority="3489">
      <formula>(P626="")</formula>
    </cfRule>
  </conditionalFormatting>
  <conditionalFormatting sqref="P625">
    <cfRule type="expression" dxfId="1211" priority="3485">
      <formula>IF(L625="NO BET", TRUE, FALSE)</formula>
    </cfRule>
    <cfRule type="expression" priority="3487">
      <formula>(P625="")</formula>
    </cfRule>
  </conditionalFormatting>
  <conditionalFormatting sqref="P625">
    <cfRule type="expression" priority="3486">
      <formula>(P625="")</formula>
    </cfRule>
  </conditionalFormatting>
  <conditionalFormatting sqref="P631:P636">
    <cfRule type="expression" dxfId="1210" priority="3483">
      <formula>AND(NOT(K631=P631),NOT(P631=""))</formula>
    </cfRule>
    <cfRule type="expression" dxfId="1209" priority="3484">
      <formula>AND((K631=P631),NOT(P631=""))</formula>
    </cfRule>
  </conditionalFormatting>
  <conditionalFormatting sqref="P631">
    <cfRule type="expression" priority="3482">
      <formula>(P631="")</formula>
    </cfRule>
  </conditionalFormatting>
  <conditionalFormatting sqref="P632">
    <cfRule type="expression" dxfId="1208" priority="3471">
      <formula>IF(L632="NO BET", TRUE, FALSE)</formula>
    </cfRule>
    <cfRule type="expression" priority="3481">
      <formula>(P632="")</formula>
    </cfRule>
  </conditionalFormatting>
  <conditionalFormatting sqref="P633">
    <cfRule type="expression" priority="3480">
      <formula>(P633="")</formula>
    </cfRule>
  </conditionalFormatting>
  <conditionalFormatting sqref="P634">
    <cfRule type="expression" priority="3479">
      <formula>(P634="")</formula>
    </cfRule>
  </conditionalFormatting>
  <conditionalFormatting sqref="P635">
    <cfRule type="expression" priority="3478">
      <formula>(P635="")</formula>
    </cfRule>
  </conditionalFormatting>
  <conditionalFormatting sqref="P636">
    <cfRule type="expression" priority="3477">
      <formula>(P636="")</formula>
    </cfRule>
  </conditionalFormatting>
  <conditionalFormatting sqref="P632">
    <cfRule type="expression" priority="3476">
      <formula>(P632="")</formula>
    </cfRule>
  </conditionalFormatting>
  <conditionalFormatting sqref="P633">
    <cfRule type="expression" priority="3475">
      <formula>(P633="")</formula>
    </cfRule>
  </conditionalFormatting>
  <conditionalFormatting sqref="P634">
    <cfRule type="expression" priority="3474">
      <formula>(P634="")</formula>
    </cfRule>
  </conditionalFormatting>
  <conditionalFormatting sqref="P635">
    <cfRule type="expression" priority="3473">
      <formula>(P635="")</formula>
    </cfRule>
  </conditionalFormatting>
  <conditionalFormatting sqref="P636">
    <cfRule type="expression" priority="3472">
      <formula>(P636="")</formula>
    </cfRule>
  </conditionalFormatting>
  <conditionalFormatting sqref="P631">
    <cfRule type="expression" dxfId="1207" priority="3468">
      <formula>IF(L631="NO BET", TRUE, FALSE)</formula>
    </cfRule>
    <cfRule type="expression" priority="3470">
      <formula>(P631="")</formula>
    </cfRule>
  </conditionalFormatting>
  <conditionalFormatting sqref="P631">
    <cfRule type="expression" priority="3469">
      <formula>(P631="")</formula>
    </cfRule>
  </conditionalFormatting>
  <conditionalFormatting sqref="P633">
    <cfRule type="expression" priority="3467">
      <formula>(P633="")</formula>
    </cfRule>
  </conditionalFormatting>
  <conditionalFormatting sqref="P634">
    <cfRule type="expression" dxfId="1206" priority="3464">
      <formula>IF(L634="NO BET", TRUE, FALSE)</formula>
    </cfRule>
    <cfRule type="expression" priority="3466">
      <formula>(P634="")</formula>
    </cfRule>
  </conditionalFormatting>
  <conditionalFormatting sqref="P634">
    <cfRule type="expression" priority="3465">
      <formula>(P634="")</formula>
    </cfRule>
  </conditionalFormatting>
  <conditionalFormatting sqref="P633">
    <cfRule type="expression" dxfId="1205" priority="3461">
      <formula>IF(L633="NO BET", TRUE, FALSE)</formula>
    </cfRule>
    <cfRule type="expression" priority="3463">
      <formula>(P633="")</formula>
    </cfRule>
  </conditionalFormatting>
  <conditionalFormatting sqref="P633">
    <cfRule type="expression" priority="3462">
      <formula>(P633="")</formula>
    </cfRule>
  </conditionalFormatting>
  <conditionalFormatting sqref="P635">
    <cfRule type="expression" priority="3460">
      <formula>(P635="")</formula>
    </cfRule>
  </conditionalFormatting>
  <conditionalFormatting sqref="P636">
    <cfRule type="expression" dxfId="1204" priority="3457">
      <formula>IF(L636="NO BET", TRUE, FALSE)</formula>
    </cfRule>
    <cfRule type="expression" priority="3459">
      <formula>(P636="")</formula>
    </cfRule>
  </conditionalFormatting>
  <conditionalFormatting sqref="P636">
    <cfRule type="expression" priority="3458">
      <formula>(P636="")</formula>
    </cfRule>
  </conditionalFormatting>
  <conditionalFormatting sqref="P635">
    <cfRule type="expression" dxfId="1203" priority="3454">
      <formula>IF(L635="NO BET", TRUE, FALSE)</formula>
    </cfRule>
    <cfRule type="expression" priority="3456">
      <formula>(P635="")</formula>
    </cfRule>
  </conditionalFormatting>
  <conditionalFormatting sqref="P635">
    <cfRule type="expression" priority="3455">
      <formula>(P635="")</formula>
    </cfRule>
  </conditionalFormatting>
  <conditionalFormatting sqref="P637:P640">
    <cfRule type="expression" dxfId="1202" priority="3452">
      <formula>AND(NOT(K637=P637),NOT(P637=""))</formula>
    </cfRule>
    <cfRule type="expression" dxfId="1201" priority="3453">
      <formula>AND((K637=P637),NOT(P637=""))</formula>
    </cfRule>
  </conditionalFormatting>
  <conditionalFormatting sqref="P637">
    <cfRule type="expression" priority="3451">
      <formula>(P637="")</formula>
    </cfRule>
  </conditionalFormatting>
  <conditionalFormatting sqref="P638">
    <cfRule type="expression" dxfId="1200" priority="3444">
      <formula>IF(L638="NO BET", TRUE, FALSE)</formula>
    </cfRule>
    <cfRule type="expression" priority="3450">
      <formula>(P638="")</formula>
    </cfRule>
  </conditionalFormatting>
  <conditionalFormatting sqref="P639">
    <cfRule type="expression" priority="3449">
      <formula>(P639="")</formula>
    </cfRule>
  </conditionalFormatting>
  <conditionalFormatting sqref="P640">
    <cfRule type="expression" priority="3448">
      <formula>(P640="")</formula>
    </cfRule>
  </conditionalFormatting>
  <conditionalFormatting sqref="P638">
    <cfRule type="expression" priority="3447">
      <formula>(P638="")</formula>
    </cfRule>
  </conditionalFormatting>
  <conditionalFormatting sqref="P639">
    <cfRule type="expression" priority="3446">
      <formula>(P639="")</formula>
    </cfRule>
  </conditionalFormatting>
  <conditionalFormatting sqref="P640">
    <cfRule type="expression" priority="3445">
      <formula>(P640="")</formula>
    </cfRule>
  </conditionalFormatting>
  <conditionalFormatting sqref="P637">
    <cfRule type="expression" dxfId="1199" priority="3441">
      <formula>IF(L637="NO BET", TRUE, FALSE)</formula>
    </cfRule>
    <cfRule type="expression" priority="3443">
      <formula>(P637="")</formula>
    </cfRule>
  </conditionalFormatting>
  <conditionalFormatting sqref="P637">
    <cfRule type="expression" priority="3442">
      <formula>(P637="")</formula>
    </cfRule>
  </conditionalFormatting>
  <conditionalFormatting sqref="P639">
    <cfRule type="expression" priority="3440">
      <formula>(P639="")</formula>
    </cfRule>
  </conditionalFormatting>
  <conditionalFormatting sqref="P640">
    <cfRule type="expression" dxfId="1198" priority="3437">
      <formula>IF(L640="NO BET", TRUE, FALSE)</formula>
    </cfRule>
    <cfRule type="expression" priority="3439">
      <formula>(P640="")</formula>
    </cfRule>
  </conditionalFormatting>
  <conditionalFormatting sqref="P640">
    <cfRule type="expression" priority="3438">
      <formula>(P640="")</formula>
    </cfRule>
  </conditionalFormatting>
  <conditionalFormatting sqref="P639">
    <cfRule type="expression" dxfId="1197" priority="3434">
      <formula>IF(L639="NO BET", TRUE, FALSE)</formula>
    </cfRule>
    <cfRule type="expression" priority="3436">
      <formula>(P639="")</formula>
    </cfRule>
  </conditionalFormatting>
  <conditionalFormatting sqref="P639">
    <cfRule type="expression" priority="3435">
      <formula>(P639="")</formula>
    </cfRule>
  </conditionalFormatting>
  <conditionalFormatting sqref="P645:P650">
    <cfRule type="expression" dxfId="1196" priority="3432">
      <formula>AND(NOT(K645=P645),NOT(P645=""))</formula>
    </cfRule>
    <cfRule type="expression" dxfId="1195" priority="3433">
      <formula>AND((K645=P645),NOT(P645=""))</formula>
    </cfRule>
  </conditionalFormatting>
  <conditionalFormatting sqref="P645">
    <cfRule type="expression" priority="3431">
      <formula>(P645="")</formula>
    </cfRule>
  </conditionalFormatting>
  <conditionalFormatting sqref="P646">
    <cfRule type="expression" dxfId="1194" priority="3420">
      <formula>IF(L646="NO BET", TRUE, FALSE)</formula>
    </cfRule>
    <cfRule type="expression" priority="3430">
      <formula>(P646="")</formula>
    </cfRule>
  </conditionalFormatting>
  <conditionalFormatting sqref="P647">
    <cfRule type="expression" priority="3429">
      <formula>(P647="")</formula>
    </cfRule>
  </conditionalFormatting>
  <conditionalFormatting sqref="P648">
    <cfRule type="expression" priority="3428">
      <formula>(P648="")</formula>
    </cfRule>
  </conditionalFormatting>
  <conditionalFormatting sqref="P649">
    <cfRule type="expression" priority="3427">
      <formula>(P649="")</formula>
    </cfRule>
  </conditionalFormatting>
  <conditionalFormatting sqref="P650">
    <cfRule type="expression" priority="3426">
      <formula>(P650="")</formula>
    </cfRule>
  </conditionalFormatting>
  <conditionalFormatting sqref="P646">
    <cfRule type="expression" priority="3425">
      <formula>(P646="")</formula>
    </cfRule>
  </conditionalFormatting>
  <conditionalFormatting sqref="P647">
    <cfRule type="expression" priority="3424">
      <formula>(P647="")</formula>
    </cfRule>
  </conditionalFormatting>
  <conditionalFormatting sqref="P648">
    <cfRule type="expression" priority="3423">
      <formula>(P648="")</formula>
    </cfRule>
  </conditionalFormatting>
  <conditionalFormatting sqref="P649">
    <cfRule type="expression" priority="3422">
      <formula>(P649="")</formula>
    </cfRule>
  </conditionalFormatting>
  <conditionalFormatting sqref="P650">
    <cfRule type="expression" priority="3421">
      <formula>(P650="")</formula>
    </cfRule>
  </conditionalFormatting>
  <conditionalFormatting sqref="P645">
    <cfRule type="expression" dxfId="1193" priority="3417">
      <formula>IF(L645="NO BET", TRUE, FALSE)</formula>
    </cfRule>
    <cfRule type="expression" priority="3419">
      <formula>(P645="")</formula>
    </cfRule>
  </conditionalFormatting>
  <conditionalFormatting sqref="P645">
    <cfRule type="expression" priority="3418">
      <formula>(P645="")</formula>
    </cfRule>
  </conditionalFormatting>
  <conditionalFormatting sqref="P647">
    <cfRule type="expression" priority="3416">
      <formula>(P647="")</formula>
    </cfRule>
  </conditionalFormatting>
  <conditionalFormatting sqref="P648">
    <cfRule type="expression" dxfId="1192" priority="3413">
      <formula>IF(L648="NO BET", TRUE, FALSE)</formula>
    </cfRule>
    <cfRule type="expression" priority="3415">
      <formula>(P648="")</formula>
    </cfRule>
  </conditionalFormatting>
  <conditionalFormatting sqref="P648">
    <cfRule type="expression" priority="3414">
      <formula>(P648="")</formula>
    </cfRule>
  </conditionalFormatting>
  <conditionalFormatting sqref="P647">
    <cfRule type="expression" dxfId="1191" priority="3410">
      <formula>IF(L647="NO BET", TRUE, FALSE)</formula>
    </cfRule>
    <cfRule type="expression" priority="3412">
      <formula>(P647="")</formula>
    </cfRule>
  </conditionalFormatting>
  <conditionalFormatting sqref="P647">
    <cfRule type="expression" priority="3411">
      <formula>(P647="")</formula>
    </cfRule>
  </conditionalFormatting>
  <conditionalFormatting sqref="P649">
    <cfRule type="expression" priority="3409">
      <formula>(P649="")</formula>
    </cfRule>
  </conditionalFormatting>
  <conditionalFormatting sqref="P650">
    <cfRule type="expression" dxfId="1190" priority="3406">
      <formula>IF(L650="NO BET", TRUE, FALSE)</formula>
    </cfRule>
    <cfRule type="expression" priority="3408">
      <formula>(P650="")</formula>
    </cfRule>
  </conditionalFormatting>
  <conditionalFormatting sqref="P650">
    <cfRule type="expression" priority="3407">
      <formula>(P650="")</formula>
    </cfRule>
  </conditionalFormatting>
  <conditionalFormatting sqref="P649">
    <cfRule type="expression" dxfId="1189" priority="3403">
      <formula>IF(L649="NO BET", TRUE, FALSE)</formula>
    </cfRule>
    <cfRule type="expression" priority="3405">
      <formula>(P649="")</formula>
    </cfRule>
  </conditionalFormatting>
  <conditionalFormatting sqref="P649">
    <cfRule type="expression" priority="3404">
      <formula>(P649="")</formula>
    </cfRule>
  </conditionalFormatting>
  <conditionalFormatting sqref="P651:P654">
    <cfRule type="expression" dxfId="1188" priority="3401">
      <formula>AND(NOT(K651=P651),NOT(P651=""))</formula>
    </cfRule>
    <cfRule type="expression" dxfId="1187" priority="3402">
      <formula>AND((K651=P651),NOT(P651=""))</formula>
    </cfRule>
  </conditionalFormatting>
  <conditionalFormatting sqref="P651">
    <cfRule type="expression" priority="3400">
      <formula>(P651="")</formula>
    </cfRule>
  </conditionalFormatting>
  <conditionalFormatting sqref="P652">
    <cfRule type="expression" dxfId="1186" priority="3393">
      <formula>IF(L652="NO BET", TRUE, FALSE)</formula>
    </cfRule>
    <cfRule type="expression" priority="3399">
      <formula>(P652="")</formula>
    </cfRule>
  </conditionalFormatting>
  <conditionalFormatting sqref="P653">
    <cfRule type="expression" priority="3398">
      <formula>(P653="")</formula>
    </cfRule>
  </conditionalFormatting>
  <conditionalFormatting sqref="P654">
    <cfRule type="expression" priority="3397">
      <formula>(P654="")</formula>
    </cfRule>
  </conditionalFormatting>
  <conditionalFormatting sqref="P652">
    <cfRule type="expression" priority="3396">
      <formula>(P652="")</formula>
    </cfRule>
  </conditionalFormatting>
  <conditionalFormatting sqref="P653">
    <cfRule type="expression" priority="3395">
      <formula>(P653="")</formula>
    </cfRule>
  </conditionalFormatting>
  <conditionalFormatting sqref="P654">
    <cfRule type="expression" priority="3394">
      <formula>(P654="")</formula>
    </cfRule>
  </conditionalFormatting>
  <conditionalFormatting sqref="P651">
    <cfRule type="expression" dxfId="1185" priority="3390">
      <formula>IF(L651="NO BET", TRUE, FALSE)</formula>
    </cfRule>
    <cfRule type="expression" priority="3392">
      <formula>(P651="")</formula>
    </cfRule>
  </conditionalFormatting>
  <conditionalFormatting sqref="P651">
    <cfRule type="expression" priority="3391">
      <formula>(P651="")</formula>
    </cfRule>
  </conditionalFormatting>
  <conditionalFormatting sqref="P653">
    <cfRule type="expression" priority="3389">
      <formula>(P653="")</formula>
    </cfRule>
  </conditionalFormatting>
  <conditionalFormatting sqref="P654">
    <cfRule type="expression" dxfId="1184" priority="3386">
      <formula>IF(L654="NO BET", TRUE, FALSE)</formula>
    </cfRule>
    <cfRule type="expression" priority="3388">
      <formula>(P654="")</formula>
    </cfRule>
  </conditionalFormatting>
  <conditionalFormatting sqref="P654">
    <cfRule type="expression" priority="3387">
      <formula>(P654="")</formula>
    </cfRule>
  </conditionalFormatting>
  <conditionalFormatting sqref="P653">
    <cfRule type="expression" dxfId="1183" priority="3383">
      <formula>IF(L653="NO BET", TRUE, FALSE)</formula>
    </cfRule>
    <cfRule type="expression" priority="3385">
      <formula>(P653="")</formula>
    </cfRule>
  </conditionalFormatting>
  <conditionalFormatting sqref="P653">
    <cfRule type="expression" priority="3384">
      <formula>(P653="")</formula>
    </cfRule>
  </conditionalFormatting>
  <conditionalFormatting sqref="P659:P664">
    <cfRule type="expression" dxfId="1182" priority="3381">
      <formula>AND(NOT(K659=P659),NOT(P659=""))</formula>
    </cfRule>
    <cfRule type="expression" dxfId="1181" priority="3382">
      <formula>AND((K659=P659),NOT(P659=""))</formula>
    </cfRule>
  </conditionalFormatting>
  <conditionalFormatting sqref="P659">
    <cfRule type="expression" priority="3380">
      <formula>(P659="")</formula>
    </cfRule>
  </conditionalFormatting>
  <conditionalFormatting sqref="P660">
    <cfRule type="expression" dxfId="1180" priority="3369">
      <formula>IF(L660="NO BET", TRUE, FALSE)</formula>
    </cfRule>
    <cfRule type="expression" priority="3379">
      <formula>(P660="")</formula>
    </cfRule>
  </conditionalFormatting>
  <conditionalFormatting sqref="P661">
    <cfRule type="expression" priority="3378">
      <formula>(P661="")</formula>
    </cfRule>
  </conditionalFormatting>
  <conditionalFormatting sqref="P662">
    <cfRule type="expression" priority="3377">
      <formula>(P662="")</formula>
    </cfRule>
  </conditionalFormatting>
  <conditionalFormatting sqref="P663">
    <cfRule type="expression" priority="3376">
      <formula>(P663="")</formula>
    </cfRule>
  </conditionalFormatting>
  <conditionalFormatting sqref="P664">
    <cfRule type="expression" priority="3375">
      <formula>(P664="")</formula>
    </cfRule>
  </conditionalFormatting>
  <conditionalFormatting sqref="P660">
    <cfRule type="expression" priority="3374">
      <formula>(P660="")</formula>
    </cfRule>
  </conditionalFormatting>
  <conditionalFormatting sqref="P661">
    <cfRule type="expression" priority="3373">
      <formula>(P661="")</formula>
    </cfRule>
  </conditionalFormatting>
  <conditionalFormatting sqref="P662">
    <cfRule type="expression" priority="3372">
      <formula>(P662="")</formula>
    </cfRule>
  </conditionalFormatting>
  <conditionalFormatting sqref="P663">
    <cfRule type="expression" priority="3371">
      <formula>(P663="")</formula>
    </cfRule>
  </conditionalFormatting>
  <conditionalFormatting sqref="P664">
    <cfRule type="expression" priority="3370">
      <formula>(P664="")</formula>
    </cfRule>
  </conditionalFormatting>
  <conditionalFormatting sqref="P659">
    <cfRule type="expression" dxfId="1179" priority="3366">
      <formula>IF(L659="NO BET", TRUE, FALSE)</formula>
    </cfRule>
    <cfRule type="expression" priority="3368">
      <formula>(P659="")</formula>
    </cfRule>
  </conditionalFormatting>
  <conditionalFormatting sqref="P659">
    <cfRule type="expression" priority="3367">
      <formula>(P659="")</formula>
    </cfRule>
  </conditionalFormatting>
  <conditionalFormatting sqref="P661">
    <cfRule type="expression" priority="3365">
      <formula>(P661="")</formula>
    </cfRule>
  </conditionalFormatting>
  <conditionalFormatting sqref="P662">
    <cfRule type="expression" dxfId="1178" priority="3362">
      <formula>IF(L662="NO BET", TRUE, FALSE)</formula>
    </cfRule>
    <cfRule type="expression" priority="3364">
      <formula>(P662="")</formula>
    </cfRule>
  </conditionalFormatting>
  <conditionalFormatting sqref="P662">
    <cfRule type="expression" priority="3363">
      <formula>(P662="")</formula>
    </cfRule>
  </conditionalFormatting>
  <conditionalFormatting sqref="P661">
    <cfRule type="expression" dxfId="1177" priority="3359">
      <formula>IF(L661="NO BET", TRUE, FALSE)</formula>
    </cfRule>
    <cfRule type="expression" priority="3361">
      <formula>(P661="")</formula>
    </cfRule>
  </conditionalFormatting>
  <conditionalFormatting sqref="P661">
    <cfRule type="expression" priority="3360">
      <formula>(P661="")</formula>
    </cfRule>
  </conditionalFormatting>
  <conditionalFormatting sqref="P663">
    <cfRule type="expression" priority="3358">
      <formula>(P663="")</formula>
    </cfRule>
  </conditionalFormatting>
  <conditionalFormatting sqref="P664">
    <cfRule type="expression" dxfId="1176" priority="3355">
      <formula>IF(L664="NO BET", TRUE, FALSE)</formula>
    </cfRule>
    <cfRule type="expression" priority="3357">
      <formula>(P664="")</formula>
    </cfRule>
  </conditionalFormatting>
  <conditionalFormatting sqref="P664">
    <cfRule type="expression" priority="3356">
      <formula>(P664="")</formula>
    </cfRule>
  </conditionalFormatting>
  <conditionalFormatting sqref="P663">
    <cfRule type="expression" dxfId="1175" priority="3352">
      <formula>IF(L663="NO BET", TRUE, FALSE)</formula>
    </cfRule>
    <cfRule type="expression" priority="3354">
      <formula>(P663="")</formula>
    </cfRule>
  </conditionalFormatting>
  <conditionalFormatting sqref="P663">
    <cfRule type="expression" priority="3353">
      <formula>(P663="")</formula>
    </cfRule>
  </conditionalFormatting>
  <conditionalFormatting sqref="P665:P668">
    <cfRule type="expression" dxfId="1174" priority="3350">
      <formula>AND(NOT(K665=P665),NOT(P665=""))</formula>
    </cfRule>
    <cfRule type="expression" dxfId="1173" priority="3351">
      <formula>AND((K665=P665),NOT(P665=""))</formula>
    </cfRule>
  </conditionalFormatting>
  <conditionalFormatting sqref="P665">
    <cfRule type="expression" priority="3349">
      <formula>(P665="")</formula>
    </cfRule>
  </conditionalFormatting>
  <conditionalFormatting sqref="P666">
    <cfRule type="expression" dxfId="1172" priority="3342">
      <formula>IF(L666="NO BET", TRUE, FALSE)</formula>
    </cfRule>
    <cfRule type="expression" priority="3348">
      <formula>(P666="")</formula>
    </cfRule>
  </conditionalFormatting>
  <conditionalFormatting sqref="P667">
    <cfRule type="expression" priority="3347">
      <formula>(P667="")</formula>
    </cfRule>
  </conditionalFormatting>
  <conditionalFormatting sqref="P668">
    <cfRule type="expression" priority="3346">
      <formula>(P668="")</formula>
    </cfRule>
  </conditionalFormatting>
  <conditionalFormatting sqref="P666">
    <cfRule type="expression" priority="3345">
      <formula>(P666="")</formula>
    </cfRule>
  </conditionalFormatting>
  <conditionalFormatting sqref="P667">
    <cfRule type="expression" priority="3344">
      <formula>(P667="")</formula>
    </cfRule>
  </conditionalFormatting>
  <conditionalFormatting sqref="P668">
    <cfRule type="expression" priority="3343">
      <formula>(P668="")</formula>
    </cfRule>
  </conditionalFormatting>
  <conditionalFormatting sqref="P665">
    <cfRule type="expression" dxfId="1171" priority="3339">
      <formula>IF(L665="NO BET", TRUE, FALSE)</formula>
    </cfRule>
    <cfRule type="expression" priority="3341">
      <formula>(P665="")</formula>
    </cfRule>
  </conditionalFormatting>
  <conditionalFormatting sqref="P665">
    <cfRule type="expression" priority="3340">
      <formula>(P665="")</formula>
    </cfRule>
  </conditionalFormatting>
  <conditionalFormatting sqref="P667">
    <cfRule type="expression" priority="3338">
      <formula>(P667="")</formula>
    </cfRule>
  </conditionalFormatting>
  <conditionalFormatting sqref="P668">
    <cfRule type="expression" dxfId="1170" priority="3335">
      <formula>IF(L668="NO BET", TRUE, FALSE)</formula>
    </cfRule>
    <cfRule type="expression" priority="3337">
      <formula>(P668="")</formula>
    </cfRule>
  </conditionalFormatting>
  <conditionalFormatting sqref="P668">
    <cfRule type="expression" priority="3336">
      <formula>(P668="")</formula>
    </cfRule>
  </conditionalFormatting>
  <conditionalFormatting sqref="P667">
    <cfRule type="expression" dxfId="1169" priority="3332">
      <formula>IF(L667="NO BET", TRUE, FALSE)</formula>
    </cfRule>
    <cfRule type="expression" priority="3334">
      <formula>(P667="")</formula>
    </cfRule>
  </conditionalFormatting>
  <conditionalFormatting sqref="P667">
    <cfRule type="expression" priority="3333">
      <formula>(P667="")</formula>
    </cfRule>
  </conditionalFormatting>
  <conditionalFormatting sqref="P673">
    <cfRule type="expression" priority="3329">
      <formula>(P673="")</formula>
    </cfRule>
  </conditionalFormatting>
  <conditionalFormatting sqref="P675">
    <cfRule type="expression" priority="3327">
      <formula>(P675="")</formula>
    </cfRule>
  </conditionalFormatting>
  <conditionalFormatting sqref="P676">
    <cfRule type="expression" priority="3326">
      <formula>(P676="")</formula>
    </cfRule>
  </conditionalFormatting>
  <conditionalFormatting sqref="P677">
    <cfRule type="expression" priority="3325">
      <formula>(P677="")</formula>
    </cfRule>
  </conditionalFormatting>
  <conditionalFormatting sqref="P678">
    <cfRule type="expression" priority="3324">
      <formula>(P678="")</formula>
    </cfRule>
  </conditionalFormatting>
  <conditionalFormatting sqref="P674">
    <cfRule type="expression" priority="3323">
      <formula>(P674="")</formula>
    </cfRule>
  </conditionalFormatting>
  <conditionalFormatting sqref="P675">
    <cfRule type="expression" priority="3322">
      <formula>(P675="")</formula>
    </cfRule>
  </conditionalFormatting>
  <conditionalFormatting sqref="P676">
    <cfRule type="expression" priority="3321">
      <formula>(P676="")</formula>
    </cfRule>
  </conditionalFormatting>
  <conditionalFormatting sqref="P677">
    <cfRule type="expression" priority="3320">
      <formula>(P677="")</formula>
    </cfRule>
  </conditionalFormatting>
  <conditionalFormatting sqref="P678">
    <cfRule type="expression" priority="3319">
      <formula>(P678="")</formula>
    </cfRule>
  </conditionalFormatting>
  <conditionalFormatting sqref="P673">
    <cfRule type="expression" priority="3316">
      <formula>(P673="")</formula>
    </cfRule>
  </conditionalFormatting>
  <conditionalFormatting sqref="P675">
    <cfRule type="expression" priority="3314">
      <formula>(P675="")</formula>
    </cfRule>
  </conditionalFormatting>
  <conditionalFormatting sqref="P676">
    <cfRule type="expression" priority="3312">
      <formula>(P676="")</formula>
    </cfRule>
  </conditionalFormatting>
  <conditionalFormatting sqref="P675">
    <cfRule type="expression" priority="3309">
      <formula>(P675="")</formula>
    </cfRule>
  </conditionalFormatting>
  <conditionalFormatting sqref="P677">
    <cfRule type="expression" priority="3307">
      <formula>(P677="")</formula>
    </cfRule>
  </conditionalFormatting>
  <conditionalFormatting sqref="P678">
    <cfRule type="expression" priority="3305">
      <formula>(P678="")</formula>
    </cfRule>
  </conditionalFormatting>
  <conditionalFormatting sqref="P677">
    <cfRule type="expression" priority="3302">
      <formula>(P677="")</formula>
    </cfRule>
  </conditionalFormatting>
  <conditionalFormatting sqref="P679">
    <cfRule type="expression" priority="3298">
      <formula>(P679="")</formula>
    </cfRule>
  </conditionalFormatting>
  <conditionalFormatting sqref="P681">
    <cfRule type="expression" priority="3296">
      <formula>(P681="")</formula>
    </cfRule>
  </conditionalFormatting>
  <conditionalFormatting sqref="P682">
    <cfRule type="expression" priority="3295">
      <formula>(P682="")</formula>
    </cfRule>
  </conditionalFormatting>
  <conditionalFormatting sqref="P680">
    <cfRule type="expression" priority="3294">
      <formula>(P680="")</formula>
    </cfRule>
  </conditionalFormatting>
  <conditionalFormatting sqref="P681">
    <cfRule type="expression" priority="3293">
      <formula>(P681="")</formula>
    </cfRule>
  </conditionalFormatting>
  <conditionalFormatting sqref="P682">
    <cfRule type="expression" priority="3292">
      <formula>(P682="")</formula>
    </cfRule>
  </conditionalFormatting>
  <conditionalFormatting sqref="P679">
    <cfRule type="expression" priority="3289">
      <formula>(P679="")</formula>
    </cfRule>
  </conditionalFormatting>
  <conditionalFormatting sqref="P681">
    <cfRule type="expression" priority="3287">
      <formula>(P681="")</formula>
    </cfRule>
  </conditionalFormatting>
  <conditionalFormatting sqref="P682">
    <cfRule type="expression" priority="3285">
      <formula>(P682="")</formula>
    </cfRule>
  </conditionalFormatting>
  <conditionalFormatting sqref="P681">
    <cfRule type="expression" priority="3282">
      <formula>(P681="")</formula>
    </cfRule>
  </conditionalFormatting>
  <conditionalFormatting sqref="P701:P706">
    <cfRule type="expression" dxfId="1168" priority="3228">
      <formula>AND(NOT(K701=P701),NOT(P701=""))</formula>
    </cfRule>
    <cfRule type="expression" dxfId="1167" priority="3229">
      <formula>AND((K701=P701),NOT(P701=""))</formula>
    </cfRule>
  </conditionalFormatting>
  <conditionalFormatting sqref="P701">
    <cfRule type="expression" priority="3227">
      <formula>(P701="")</formula>
    </cfRule>
  </conditionalFormatting>
  <conditionalFormatting sqref="P702">
    <cfRule type="expression" dxfId="1166" priority="3216">
      <formula>IF(L702="NO BET", TRUE, FALSE)</formula>
    </cfRule>
    <cfRule type="expression" priority="3226">
      <formula>(P702="")</formula>
    </cfRule>
  </conditionalFormatting>
  <conditionalFormatting sqref="P703">
    <cfRule type="expression" priority="3225">
      <formula>(P703="")</formula>
    </cfRule>
  </conditionalFormatting>
  <conditionalFormatting sqref="P704">
    <cfRule type="expression" priority="3224">
      <formula>(P704="")</formula>
    </cfRule>
  </conditionalFormatting>
  <conditionalFormatting sqref="P705">
    <cfRule type="expression" priority="3223">
      <formula>(P705="")</formula>
    </cfRule>
  </conditionalFormatting>
  <conditionalFormatting sqref="P706">
    <cfRule type="expression" priority="3222">
      <formula>(P706="")</formula>
    </cfRule>
  </conditionalFormatting>
  <conditionalFormatting sqref="P702">
    <cfRule type="expression" priority="3221">
      <formula>(P702="")</formula>
    </cfRule>
  </conditionalFormatting>
  <conditionalFormatting sqref="P703">
    <cfRule type="expression" priority="3220">
      <formula>(P703="")</formula>
    </cfRule>
  </conditionalFormatting>
  <conditionalFormatting sqref="P704">
    <cfRule type="expression" priority="3219">
      <formula>(P704="")</formula>
    </cfRule>
  </conditionalFormatting>
  <conditionalFormatting sqref="P705">
    <cfRule type="expression" priority="3218">
      <formula>(P705="")</formula>
    </cfRule>
  </conditionalFormatting>
  <conditionalFormatting sqref="P706">
    <cfRule type="expression" priority="3217">
      <formula>(P706="")</formula>
    </cfRule>
  </conditionalFormatting>
  <conditionalFormatting sqref="P701">
    <cfRule type="expression" dxfId="1165" priority="3213">
      <formula>IF(L701="NO BET", TRUE, FALSE)</formula>
    </cfRule>
    <cfRule type="expression" priority="3215">
      <formula>(P701="")</formula>
    </cfRule>
  </conditionalFormatting>
  <conditionalFormatting sqref="P701">
    <cfRule type="expression" priority="3214">
      <formula>(P701="")</formula>
    </cfRule>
  </conditionalFormatting>
  <conditionalFormatting sqref="P703">
    <cfRule type="expression" priority="3212">
      <formula>(P703="")</formula>
    </cfRule>
  </conditionalFormatting>
  <conditionalFormatting sqref="P704">
    <cfRule type="expression" dxfId="1164" priority="3209">
      <formula>IF(L704="NO BET", TRUE, FALSE)</formula>
    </cfRule>
    <cfRule type="expression" priority="3211">
      <formula>(P704="")</formula>
    </cfRule>
  </conditionalFormatting>
  <conditionalFormatting sqref="P704">
    <cfRule type="expression" priority="3210">
      <formula>(P704="")</formula>
    </cfRule>
  </conditionalFormatting>
  <conditionalFormatting sqref="P703">
    <cfRule type="expression" dxfId="1163" priority="3206">
      <formula>IF(L703="NO BET", TRUE, FALSE)</formula>
    </cfRule>
    <cfRule type="expression" priority="3208">
      <formula>(P703="")</formula>
    </cfRule>
  </conditionalFormatting>
  <conditionalFormatting sqref="P703">
    <cfRule type="expression" priority="3207">
      <formula>(P703="")</formula>
    </cfRule>
  </conditionalFormatting>
  <conditionalFormatting sqref="P705">
    <cfRule type="expression" priority="3205">
      <formula>(P705="")</formula>
    </cfRule>
  </conditionalFormatting>
  <conditionalFormatting sqref="P706">
    <cfRule type="expression" dxfId="1162" priority="3202">
      <formula>IF(L706="NO BET", TRUE, FALSE)</formula>
    </cfRule>
    <cfRule type="expression" priority="3204">
      <formula>(P706="")</formula>
    </cfRule>
  </conditionalFormatting>
  <conditionalFormatting sqref="P706">
    <cfRule type="expression" priority="3203">
      <formula>(P706="")</formula>
    </cfRule>
  </conditionalFormatting>
  <conditionalFormatting sqref="P705">
    <cfRule type="expression" dxfId="1161" priority="3199">
      <formula>IF(L705="NO BET", TRUE, FALSE)</formula>
    </cfRule>
    <cfRule type="expression" priority="3201">
      <formula>(P705="")</formula>
    </cfRule>
  </conditionalFormatting>
  <conditionalFormatting sqref="P705">
    <cfRule type="expression" priority="3200">
      <formula>(P705="")</formula>
    </cfRule>
  </conditionalFormatting>
  <conditionalFormatting sqref="P707:P710">
    <cfRule type="expression" dxfId="1160" priority="3197">
      <formula>AND(NOT(K707=P707),NOT(P707=""))</formula>
    </cfRule>
    <cfRule type="expression" dxfId="1159" priority="3198">
      <formula>AND((K707=P707),NOT(P707=""))</formula>
    </cfRule>
  </conditionalFormatting>
  <conditionalFormatting sqref="P707">
    <cfRule type="expression" priority="3196">
      <formula>(P707="")</formula>
    </cfRule>
  </conditionalFormatting>
  <conditionalFormatting sqref="P708">
    <cfRule type="expression" dxfId="1158" priority="3189">
      <formula>IF(L708="NO BET", TRUE, FALSE)</formula>
    </cfRule>
    <cfRule type="expression" priority="3195">
      <formula>(P708="")</formula>
    </cfRule>
  </conditionalFormatting>
  <conditionalFormatting sqref="P709">
    <cfRule type="expression" priority="3194">
      <formula>(P709="")</formula>
    </cfRule>
  </conditionalFormatting>
  <conditionalFormatting sqref="P710">
    <cfRule type="expression" priority="3193">
      <formula>(P710="")</formula>
    </cfRule>
  </conditionalFormatting>
  <conditionalFormatting sqref="P708">
    <cfRule type="expression" priority="3192">
      <formula>(P708="")</formula>
    </cfRule>
  </conditionalFormatting>
  <conditionalFormatting sqref="P709">
    <cfRule type="expression" priority="3191">
      <formula>(P709="")</formula>
    </cfRule>
  </conditionalFormatting>
  <conditionalFormatting sqref="P710">
    <cfRule type="expression" priority="3190">
      <formula>(P710="")</formula>
    </cfRule>
  </conditionalFormatting>
  <conditionalFormatting sqref="P707">
    <cfRule type="expression" dxfId="1157" priority="3186">
      <formula>IF(L707="NO BET", TRUE, FALSE)</formula>
    </cfRule>
    <cfRule type="expression" priority="3188">
      <formula>(P707="")</formula>
    </cfRule>
  </conditionalFormatting>
  <conditionalFormatting sqref="P707">
    <cfRule type="expression" priority="3187">
      <formula>(P707="")</formula>
    </cfRule>
  </conditionalFormatting>
  <conditionalFormatting sqref="P709">
    <cfRule type="expression" priority="3185">
      <formula>(P709="")</formula>
    </cfRule>
  </conditionalFormatting>
  <conditionalFormatting sqref="P710">
    <cfRule type="expression" dxfId="1156" priority="3182">
      <formula>IF(L710="NO BET", TRUE, FALSE)</formula>
    </cfRule>
    <cfRule type="expression" priority="3184">
      <formula>(P710="")</formula>
    </cfRule>
  </conditionalFormatting>
  <conditionalFormatting sqref="P710">
    <cfRule type="expression" priority="3183">
      <formula>(P710="")</formula>
    </cfRule>
  </conditionalFormatting>
  <conditionalFormatting sqref="P709">
    <cfRule type="expression" dxfId="1155" priority="3179">
      <formula>IF(L709="NO BET", TRUE, FALSE)</formula>
    </cfRule>
    <cfRule type="expression" priority="3181">
      <formula>(P709="")</formula>
    </cfRule>
  </conditionalFormatting>
  <conditionalFormatting sqref="P709">
    <cfRule type="expression" priority="3180">
      <formula>(P709="")</formula>
    </cfRule>
  </conditionalFormatting>
  <conditionalFormatting sqref="P715:P720">
    <cfRule type="expression" dxfId="1154" priority="3177">
      <formula>AND(NOT(K715=P715),NOT(P715=""))</formula>
    </cfRule>
    <cfRule type="expression" dxfId="1153" priority="3178">
      <formula>AND((K715=P715),NOT(P715=""))</formula>
    </cfRule>
  </conditionalFormatting>
  <conditionalFormatting sqref="P715">
    <cfRule type="expression" priority="3176">
      <formula>(P715="")</formula>
    </cfRule>
  </conditionalFormatting>
  <conditionalFormatting sqref="P716">
    <cfRule type="expression" dxfId="1152" priority="3165">
      <formula>IF(L716="NO BET", TRUE, FALSE)</formula>
    </cfRule>
    <cfRule type="expression" priority="3175">
      <formula>(P716="")</formula>
    </cfRule>
  </conditionalFormatting>
  <conditionalFormatting sqref="P717">
    <cfRule type="expression" priority="3174">
      <formula>(P717="")</formula>
    </cfRule>
  </conditionalFormatting>
  <conditionalFormatting sqref="P718">
    <cfRule type="expression" priority="3173">
      <formula>(P718="")</formula>
    </cfRule>
  </conditionalFormatting>
  <conditionalFormatting sqref="P719">
    <cfRule type="expression" priority="3172">
      <formula>(P719="")</formula>
    </cfRule>
  </conditionalFormatting>
  <conditionalFormatting sqref="P720">
    <cfRule type="expression" priority="3171">
      <formula>(P720="")</formula>
    </cfRule>
  </conditionalFormatting>
  <conditionalFormatting sqref="P716">
    <cfRule type="expression" priority="3170">
      <formula>(P716="")</formula>
    </cfRule>
  </conditionalFormatting>
  <conditionalFormatting sqref="P717">
    <cfRule type="expression" priority="3169">
      <formula>(P717="")</formula>
    </cfRule>
  </conditionalFormatting>
  <conditionalFormatting sqref="P718">
    <cfRule type="expression" priority="3168">
      <formula>(P718="")</formula>
    </cfRule>
  </conditionalFormatting>
  <conditionalFormatting sqref="P719">
    <cfRule type="expression" priority="3167">
      <formula>(P719="")</formula>
    </cfRule>
  </conditionalFormatting>
  <conditionalFormatting sqref="P720">
    <cfRule type="expression" priority="3166">
      <formula>(P720="")</formula>
    </cfRule>
  </conditionalFormatting>
  <conditionalFormatting sqref="P715">
    <cfRule type="expression" dxfId="1151" priority="3162">
      <formula>IF(L715="NO BET", TRUE, FALSE)</formula>
    </cfRule>
    <cfRule type="expression" priority="3164">
      <formula>(P715="")</formula>
    </cfRule>
  </conditionalFormatting>
  <conditionalFormatting sqref="P715">
    <cfRule type="expression" priority="3163">
      <formula>(P715="")</formula>
    </cfRule>
  </conditionalFormatting>
  <conditionalFormatting sqref="P717">
    <cfRule type="expression" priority="3161">
      <formula>(P717="")</formula>
    </cfRule>
  </conditionalFormatting>
  <conditionalFormatting sqref="P718">
    <cfRule type="expression" dxfId="1150" priority="3158">
      <formula>IF(L718="NO BET", TRUE, FALSE)</formula>
    </cfRule>
    <cfRule type="expression" priority="3160">
      <formula>(P718="")</formula>
    </cfRule>
  </conditionalFormatting>
  <conditionalFormatting sqref="P718">
    <cfRule type="expression" priority="3159">
      <formula>(P718="")</formula>
    </cfRule>
  </conditionalFormatting>
  <conditionalFormatting sqref="P717">
    <cfRule type="expression" dxfId="1149" priority="3155">
      <formula>IF(L717="NO BET", TRUE, FALSE)</formula>
    </cfRule>
    <cfRule type="expression" priority="3157">
      <formula>(P717="")</formula>
    </cfRule>
  </conditionalFormatting>
  <conditionalFormatting sqref="P717">
    <cfRule type="expression" priority="3156">
      <formula>(P717="")</formula>
    </cfRule>
  </conditionalFormatting>
  <conditionalFormatting sqref="P719">
    <cfRule type="expression" priority="3154">
      <formula>(P719="")</formula>
    </cfRule>
  </conditionalFormatting>
  <conditionalFormatting sqref="P720">
    <cfRule type="expression" dxfId="1148" priority="3151">
      <formula>IF(L720="NO BET", TRUE, FALSE)</formula>
    </cfRule>
    <cfRule type="expression" priority="3153">
      <formula>(P720="")</formula>
    </cfRule>
  </conditionalFormatting>
  <conditionalFormatting sqref="P720">
    <cfRule type="expression" priority="3152">
      <formula>(P720="")</formula>
    </cfRule>
  </conditionalFormatting>
  <conditionalFormatting sqref="P719">
    <cfRule type="expression" dxfId="1147" priority="3148">
      <formula>IF(L719="NO BET", TRUE, FALSE)</formula>
    </cfRule>
    <cfRule type="expression" priority="3150">
      <formula>(P719="")</formula>
    </cfRule>
  </conditionalFormatting>
  <conditionalFormatting sqref="P719">
    <cfRule type="expression" priority="3149">
      <formula>(P719="")</formula>
    </cfRule>
  </conditionalFormatting>
  <conditionalFormatting sqref="P721:P724">
    <cfRule type="expression" dxfId="1146" priority="3146">
      <formula>AND(NOT(K721=P721),NOT(P721=""))</formula>
    </cfRule>
    <cfRule type="expression" dxfId="1145" priority="3147">
      <formula>AND((K721=P721),NOT(P721=""))</formula>
    </cfRule>
  </conditionalFormatting>
  <conditionalFormatting sqref="P721">
    <cfRule type="expression" priority="3145">
      <formula>(P721="")</formula>
    </cfRule>
  </conditionalFormatting>
  <conditionalFormatting sqref="P722">
    <cfRule type="expression" dxfId="1144" priority="3138">
      <formula>IF(L722="NO BET", TRUE, FALSE)</formula>
    </cfRule>
    <cfRule type="expression" priority="3144">
      <formula>(P722="")</formula>
    </cfRule>
  </conditionalFormatting>
  <conditionalFormatting sqref="P723">
    <cfRule type="expression" priority="3143">
      <formula>(P723="")</formula>
    </cfRule>
  </conditionalFormatting>
  <conditionalFormatting sqref="P724">
    <cfRule type="expression" priority="3142">
      <formula>(P724="")</formula>
    </cfRule>
  </conditionalFormatting>
  <conditionalFormatting sqref="P722">
    <cfRule type="expression" priority="3141">
      <formula>(P722="")</formula>
    </cfRule>
  </conditionalFormatting>
  <conditionalFormatting sqref="P723">
    <cfRule type="expression" priority="3140">
      <formula>(P723="")</formula>
    </cfRule>
  </conditionalFormatting>
  <conditionalFormatting sqref="P724">
    <cfRule type="expression" priority="3139">
      <formula>(P724="")</formula>
    </cfRule>
  </conditionalFormatting>
  <conditionalFormatting sqref="P721">
    <cfRule type="expression" dxfId="1143" priority="3135">
      <formula>IF(L721="NO BET", TRUE, FALSE)</formula>
    </cfRule>
    <cfRule type="expression" priority="3137">
      <formula>(P721="")</formula>
    </cfRule>
  </conditionalFormatting>
  <conditionalFormatting sqref="P721">
    <cfRule type="expression" priority="3136">
      <formula>(P721="")</formula>
    </cfRule>
  </conditionalFormatting>
  <conditionalFormatting sqref="P723">
    <cfRule type="expression" priority="3134">
      <formula>(P723="")</formula>
    </cfRule>
  </conditionalFormatting>
  <conditionalFormatting sqref="P724">
    <cfRule type="expression" dxfId="1142" priority="3131">
      <formula>IF(L724="NO BET", TRUE, FALSE)</formula>
    </cfRule>
    <cfRule type="expression" priority="3133">
      <formula>(P724="")</formula>
    </cfRule>
  </conditionalFormatting>
  <conditionalFormatting sqref="P724">
    <cfRule type="expression" priority="3132">
      <formula>(P724="")</formula>
    </cfRule>
  </conditionalFormatting>
  <conditionalFormatting sqref="P723">
    <cfRule type="expression" dxfId="1141" priority="3128">
      <formula>IF(L723="NO BET", TRUE, FALSE)</formula>
    </cfRule>
    <cfRule type="expression" priority="3130">
      <formula>(P723="")</formula>
    </cfRule>
  </conditionalFormatting>
  <conditionalFormatting sqref="P723">
    <cfRule type="expression" priority="3129">
      <formula>(P723="")</formula>
    </cfRule>
  </conditionalFormatting>
  <conditionalFormatting sqref="P729:P734">
    <cfRule type="expression" dxfId="1140" priority="3126">
      <formula>AND(NOT(K729=P729),NOT(P729=""))</formula>
    </cfRule>
    <cfRule type="expression" dxfId="1139" priority="3127">
      <formula>AND((K729=P729),NOT(P729=""))</formula>
    </cfRule>
  </conditionalFormatting>
  <conditionalFormatting sqref="P729">
    <cfRule type="expression" priority="3125">
      <formula>(P729="")</formula>
    </cfRule>
  </conditionalFormatting>
  <conditionalFormatting sqref="P730">
    <cfRule type="expression" dxfId="1138" priority="3114">
      <formula>IF(L730="NO BET", TRUE, FALSE)</formula>
    </cfRule>
    <cfRule type="expression" priority="3124">
      <formula>(P730="")</formula>
    </cfRule>
  </conditionalFormatting>
  <conditionalFormatting sqref="P731">
    <cfRule type="expression" priority="3123">
      <formula>(P731="")</formula>
    </cfRule>
  </conditionalFormatting>
  <conditionalFormatting sqref="P732">
    <cfRule type="expression" priority="3122">
      <formula>(P732="")</formula>
    </cfRule>
  </conditionalFormatting>
  <conditionalFormatting sqref="P733">
    <cfRule type="expression" priority="3121">
      <formula>(P733="")</formula>
    </cfRule>
  </conditionalFormatting>
  <conditionalFormatting sqref="P734">
    <cfRule type="expression" priority="3120">
      <formula>(P734="")</formula>
    </cfRule>
  </conditionalFormatting>
  <conditionalFormatting sqref="P730">
    <cfRule type="expression" priority="3119">
      <formula>(P730="")</formula>
    </cfRule>
  </conditionalFormatting>
  <conditionalFormatting sqref="P731">
    <cfRule type="expression" priority="3118">
      <formula>(P731="")</formula>
    </cfRule>
  </conditionalFormatting>
  <conditionalFormatting sqref="P732">
    <cfRule type="expression" priority="3117">
      <formula>(P732="")</formula>
    </cfRule>
  </conditionalFormatting>
  <conditionalFormatting sqref="P733">
    <cfRule type="expression" priority="3116">
      <formula>(P733="")</formula>
    </cfRule>
  </conditionalFormatting>
  <conditionalFormatting sqref="P734">
    <cfRule type="expression" priority="3115">
      <formula>(P734="")</formula>
    </cfRule>
  </conditionalFormatting>
  <conditionalFormatting sqref="P729">
    <cfRule type="expression" dxfId="1137" priority="3111">
      <formula>IF(L729="NO BET", TRUE, FALSE)</formula>
    </cfRule>
    <cfRule type="expression" priority="3113">
      <formula>(P729="")</formula>
    </cfRule>
  </conditionalFormatting>
  <conditionalFormatting sqref="P729">
    <cfRule type="expression" priority="3112">
      <formula>(P729="")</formula>
    </cfRule>
  </conditionalFormatting>
  <conditionalFormatting sqref="P731">
    <cfRule type="expression" priority="3110">
      <formula>(P731="")</formula>
    </cfRule>
  </conditionalFormatting>
  <conditionalFormatting sqref="P732">
    <cfRule type="expression" dxfId="1136" priority="3107">
      <formula>IF(L732="NO BET", TRUE, FALSE)</formula>
    </cfRule>
    <cfRule type="expression" priority="3109">
      <formula>(P732="")</formula>
    </cfRule>
  </conditionalFormatting>
  <conditionalFormatting sqref="P732">
    <cfRule type="expression" priority="3108">
      <formula>(P732="")</formula>
    </cfRule>
  </conditionalFormatting>
  <conditionalFormatting sqref="P731">
    <cfRule type="expression" dxfId="1135" priority="3104">
      <formula>IF(L731="NO BET", TRUE, FALSE)</formula>
    </cfRule>
    <cfRule type="expression" priority="3106">
      <formula>(P731="")</formula>
    </cfRule>
  </conditionalFormatting>
  <conditionalFormatting sqref="P731">
    <cfRule type="expression" priority="3105">
      <formula>(P731="")</formula>
    </cfRule>
  </conditionalFormatting>
  <conditionalFormatting sqref="P733">
    <cfRule type="expression" priority="3103">
      <formula>(P733="")</formula>
    </cfRule>
  </conditionalFormatting>
  <conditionalFormatting sqref="P734">
    <cfRule type="expression" dxfId="1134" priority="3100">
      <formula>IF(L734="NO BET", TRUE, FALSE)</formula>
    </cfRule>
    <cfRule type="expression" priority="3102">
      <formula>(P734="")</formula>
    </cfRule>
  </conditionalFormatting>
  <conditionalFormatting sqref="P734">
    <cfRule type="expression" priority="3101">
      <formula>(P734="")</formula>
    </cfRule>
  </conditionalFormatting>
  <conditionalFormatting sqref="P733">
    <cfRule type="expression" dxfId="1133" priority="3097">
      <formula>IF(L733="NO BET", TRUE, FALSE)</formula>
    </cfRule>
    <cfRule type="expression" priority="3099">
      <formula>(P733="")</formula>
    </cfRule>
  </conditionalFormatting>
  <conditionalFormatting sqref="P733">
    <cfRule type="expression" priority="3098">
      <formula>(P733="")</formula>
    </cfRule>
  </conditionalFormatting>
  <conditionalFormatting sqref="P735:P738">
    <cfRule type="expression" dxfId="1132" priority="3095">
      <formula>AND(NOT(K735=P735),NOT(P735=""))</formula>
    </cfRule>
    <cfRule type="expression" dxfId="1131" priority="3096">
      <formula>AND((K735=P735),NOT(P735=""))</formula>
    </cfRule>
  </conditionalFormatting>
  <conditionalFormatting sqref="P735">
    <cfRule type="expression" priority="3094">
      <formula>(P735="")</formula>
    </cfRule>
  </conditionalFormatting>
  <conditionalFormatting sqref="P736">
    <cfRule type="expression" dxfId="1130" priority="3087">
      <formula>IF(L736="NO BET", TRUE, FALSE)</formula>
    </cfRule>
    <cfRule type="expression" priority="3093">
      <formula>(P736="")</formula>
    </cfRule>
  </conditionalFormatting>
  <conditionalFormatting sqref="P737">
    <cfRule type="expression" priority="3092">
      <formula>(P737="")</formula>
    </cfRule>
  </conditionalFormatting>
  <conditionalFormatting sqref="P738">
    <cfRule type="expression" priority="3091">
      <formula>(P738="")</formula>
    </cfRule>
  </conditionalFormatting>
  <conditionalFormatting sqref="P736">
    <cfRule type="expression" priority="3090">
      <formula>(P736="")</formula>
    </cfRule>
  </conditionalFormatting>
  <conditionalFormatting sqref="P737">
    <cfRule type="expression" priority="3089">
      <formula>(P737="")</formula>
    </cfRule>
  </conditionalFormatting>
  <conditionalFormatting sqref="P738">
    <cfRule type="expression" priority="3088">
      <formula>(P738="")</formula>
    </cfRule>
  </conditionalFormatting>
  <conditionalFormatting sqref="P735">
    <cfRule type="expression" dxfId="1129" priority="3084">
      <formula>IF(L735="NO BET", TRUE, FALSE)</formula>
    </cfRule>
    <cfRule type="expression" priority="3086">
      <formula>(P735="")</formula>
    </cfRule>
  </conditionalFormatting>
  <conditionalFormatting sqref="P735">
    <cfRule type="expression" priority="3085">
      <formula>(P735="")</formula>
    </cfRule>
  </conditionalFormatting>
  <conditionalFormatting sqref="P737">
    <cfRule type="expression" priority="3083">
      <formula>(P737="")</formula>
    </cfRule>
  </conditionalFormatting>
  <conditionalFormatting sqref="P738">
    <cfRule type="expression" dxfId="1128" priority="3080">
      <formula>IF(L738="NO BET", TRUE, FALSE)</formula>
    </cfRule>
    <cfRule type="expression" priority="3082">
      <formula>(P738="")</formula>
    </cfRule>
  </conditionalFormatting>
  <conditionalFormatting sqref="P738">
    <cfRule type="expression" priority="3081">
      <formula>(P738="")</formula>
    </cfRule>
  </conditionalFormatting>
  <conditionalFormatting sqref="P737">
    <cfRule type="expression" dxfId="1127" priority="3077">
      <formula>IF(L737="NO BET", TRUE, FALSE)</formula>
    </cfRule>
    <cfRule type="expression" priority="3079">
      <formula>(P737="")</formula>
    </cfRule>
  </conditionalFormatting>
  <conditionalFormatting sqref="P737">
    <cfRule type="expression" priority="3078">
      <formula>(P737="")</formula>
    </cfRule>
  </conditionalFormatting>
  <conditionalFormatting sqref="P743:P748">
    <cfRule type="expression" dxfId="1126" priority="3075">
      <formula>AND(NOT(K743=P743),NOT(P743=""))</formula>
    </cfRule>
    <cfRule type="expression" dxfId="1125" priority="3076">
      <formula>AND((K743=P743),NOT(P743=""))</formula>
    </cfRule>
  </conditionalFormatting>
  <conditionalFormatting sqref="P743">
    <cfRule type="expression" priority="3074">
      <formula>(P743="")</formula>
    </cfRule>
  </conditionalFormatting>
  <conditionalFormatting sqref="P744">
    <cfRule type="expression" dxfId="1124" priority="3063">
      <formula>IF(L744="NO BET", TRUE, FALSE)</formula>
    </cfRule>
    <cfRule type="expression" priority="3073">
      <formula>(P744="")</formula>
    </cfRule>
  </conditionalFormatting>
  <conditionalFormatting sqref="P745">
    <cfRule type="expression" priority="3072">
      <formula>(P745="")</formula>
    </cfRule>
  </conditionalFormatting>
  <conditionalFormatting sqref="P746">
    <cfRule type="expression" priority="3071">
      <formula>(P746="")</formula>
    </cfRule>
  </conditionalFormatting>
  <conditionalFormatting sqref="P747">
    <cfRule type="expression" priority="3070">
      <formula>(P747="")</formula>
    </cfRule>
  </conditionalFormatting>
  <conditionalFormatting sqref="P748">
    <cfRule type="expression" priority="3069">
      <formula>(P748="")</formula>
    </cfRule>
  </conditionalFormatting>
  <conditionalFormatting sqref="P744">
    <cfRule type="expression" priority="3068">
      <formula>(P744="")</formula>
    </cfRule>
  </conditionalFormatting>
  <conditionalFormatting sqref="P745">
    <cfRule type="expression" priority="3067">
      <formula>(P745="")</formula>
    </cfRule>
  </conditionalFormatting>
  <conditionalFormatting sqref="P746">
    <cfRule type="expression" priority="3066">
      <formula>(P746="")</formula>
    </cfRule>
  </conditionalFormatting>
  <conditionalFormatting sqref="P747">
    <cfRule type="expression" priority="3065">
      <formula>(P747="")</formula>
    </cfRule>
  </conditionalFormatting>
  <conditionalFormatting sqref="P748">
    <cfRule type="expression" priority="3064">
      <formula>(P748="")</formula>
    </cfRule>
  </conditionalFormatting>
  <conditionalFormatting sqref="P743">
    <cfRule type="expression" dxfId="1123" priority="3060">
      <formula>IF(L743="NO BET", TRUE, FALSE)</formula>
    </cfRule>
    <cfRule type="expression" priority="3062">
      <formula>(P743="")</formula>
    </cfRule>
  </conditionalFormatting>
  <conditionalFormatting sqref="P743">
    <cfRule type="expression" priority="3061">
      <formula>(P743="")</formula>
    </cfRule>
  </conditionalFormatting>
  <conditionalFormatting sqref="P745">
    <cfRule type="expression" priority="3059">
      <formula>(P745="")</formula>
    </cfRule>
  </conditionalFormatting>
  <conditionalFormatting sqref="P746">
    <cfRule type="expression" dxfId="1122" priority="3056">
      <formula>IF(L746="NO BET", TRUE, FALSE)</formula>
    </cfRule>
    <cfRule type="expression" priority="3058">
      <formula>(P746="")</formula>
    </cfRule>
  </conditionalFormatting>
  <conditionalFormatting sqref="P746">
    <cfRule type="expression" priority="3057">
      <formula>(P746="")</formula>
    </cfRule>
  </conditionalFormatting>
  <conditionalFormatting sqref="P745">
    <cfRule type="expression" dxfId="1121" priority="3053">
      <formula>IF(L745="NO BET", TRUE, FALSE)</formula>
    </cfRule>
    <cfRule type="expression" priority="3055">
      <formula>(P745="")</formula>
    </cfRule>
  </conditionalFormatting>
  <conditionalFormatting sqref="P745">
    <cfRule type="expression" priority="3054">
      <formula>(P745="")</formula>
    </cfRule>
  </conditionalFormatting>
  <conditionalFormatting sqref="P747">
    <cfRule type="expression" priority="3052">
      <formula>(P747="")</formula>
    </cfRule>
  </conditionalFormatting>
  <conditionalFormatting sqref="P748">
    <cfRule type="expression" dxfId="1120" priority="3049">
      <formula>IF(L748="NO BET", TRUE, FALSE)</formula>
    </cfRule>
    <cfRule type="expression" priority="3051">
      <formula>(P748="")</formula>
    </cfRule>
  </conditionalFormatting>
  <conditionalFormatting sqref="P748">
    <cfRule type="expression" priority="3050">
      <formula>(P748="")</formula>
    </cfRule>
  </conditionalFormatting>
  <conditionalFormatting sqref="P747">
    <cfRule type="expression" dxfId="1119" priority="3046">
      <formula>IF(L747="NO BET", TRUE, FALSE)</formula>
    </cfRule>
    <cfRule type="expression" priority="3048">
      <formula>(P747="")</formula>
    </cfRule>
  </conditionalFormatting>
  <conditionalFormatting sqref="P747">
    <cfRule type="expression" priority="3047">
      <formula>(P747="")</formula>
    </cfRule>
  </conditionalFormatting>
  <conditionalFormatting sqref="P749:P752">
    <cfRule type="expression" dxfId="1118" priority="3044">
      <formula>AND(NOT(K749=P749),NOT(P749=""))</formula>
    </cfRule>
    <cfRule type="expression" dxfId="1117" priority="3045">
      <formula>AND((K749=P749),NOT(P749=""))</formula>
    </cfRule>
  </conditionalFormatting>
  <conditionalFormatting sqref="P749">
    <cfRule type="expression" priority="3043">
      <formula>(P749="")</formula>
    </cfRule>
  </conditionalFormatting>
  <conditionalFormatting sqref="P750">
    <cfRule type="expression" dxfId="1116" priority="3036">
      <formula>IF(L750="NO BET", TRUE, FALSE)</formula>
    </cfRule>
    <cfRule type="expression" priority="3042">
      <formula>(P750="")</formula>
    </cfRule>
  </conditionalFormatting>
  <conditionalFormatting sqref="P751">
    <cfRule type="expression" priority="3041">
      <formula>(P751="")</formula>
    </cfRule>
  </conditionalFormatting>
  <conditionalFormatting sqref="P752">
    <cfRule type="expression" priority="3040">
      <formula>(P752="")</formula>
    </cfRule>
  </conditionalFormatting>
  <conditionalFormatting sqref="P750">
    <cfRule type="expression" priority="3039">
      <formula>(P750="")</formula>
    </cfRule>
  </conditionalFormatting>
  <conditionalFormatting sqref="P751">
    <cfRule type="expression" priority="3038">
      <formula>(P751="")</formula>
    </cfRule>
  </conditionalFormatting>
  <conditionalFormatting sqref="P752">
    <cfRule type="expression" priority="3037">
      <formula>(P752="")</formula>
    </cfRule>
  </conditionalFormatting>
  <conditionalFormatting sqref="P749">
    <cfRule type="expression" dxfId="1115" priority="3033">
      <formula>IF(L749="NO BET", TRUE, FALSE)</formula>
    </cfRule>
    <cfRule type="expression" priority="3035">
      <formula>(P749="")</formula>
    </cfRule>
  </conditionalFormatting>
  <conditionalFormatting sqref="P749">
    <cfRule type="expression" priority="3034">
      <formula>(P749="")</formula>
    </cfRule>
  </conditionalFormatting>
  <conditionalFormatting sqref="P751">
    <cfRule type="expression" priority="3032">
      <formula>(P751="")</formula>
    </cfRule>
  </conditionalFormatting>
  <conditionalFormatting sqref="P752">
    <cfRule type="expression" dxfId="1114" priority="3029">
      <formula>IF(L752="NO BET", TRUE, FALSE)</formula>
    </cfRule>
    <cfRule type="expression" priority="3031">
      <formula>(P752="")</formula>
    </cfRule>
  </conditionalFormatting>
  <conditionalFormatting sqref="P752">
    <cfRule type="expression" priority="3030">
      <formula>(P752="")</formula>
    </cfRule>
  </conditionalFormatting>
  <conditionalFormatting sqref="P751">
    <cfRule type="expression" dxfId="1113" priority="3026">
      <formula>IF(L751="NO BET", TRUE, FALSE)</formula>
    </cfRule>
    <cfRule type="expression" priority="3028">
      <formula>(P751="")</formula>
    </cfRule>
  </conditionalFormatting>
  <conditionalFormatting sqref="P751">
    <cfRule type="expression" priority="3027">
      <formula>(P751="")</formula>
    </cfRule>
  </conditionalFormatting>
  <conditionalFormatting sqref="R631:R640">
    <cfRule type="expression" dxfId="1112" priority="3024">
      <formula>R631=0</formula>
    </cfRule>
  </conditionalFormatting>
  <conditionalFormatting sqref="R659:R668">
    <cfRule type="expression" dxfId="1111" priority="3022">
      <formula>R659=0</formula>
    </cfRule>
  </conditionalFormatting>
  <conditionalFormatting sqref="R673:R682">
    <cfRule type="expression" dxfId="1110" priority="3021">
      <formula>R673=0</formula>
    </cfRule>
  </conditionalFormatting>
  <conditionalFormatting sqref="R701:R710">
    <cfRule type="expression" dxfId="1109" priority="3019">
      <formula>R701=0</formula>
    </cfRule>
  </conditionalFormatting>
  <conditionalFormatting sqref="R715:R724">
    <cfRule type="expression" dxfId="1108" priority="3018">
      <formula>R715=0</formula>
    </cfRule>
  </conditionalFormatting>
  <conditionalFormatting sqref="R729:R738">
    <cfRule type="expression" dxfId="1107" priority="3017">
      <formula>R729=0</formula>
    </cfRule>
  </conditionalFormatting>
  <conditionalFormatting sqref="R743:R752">
    <cfRule type="expression" dxfId="1106" priority="3016">
      <formula>R743=0</formula>
    </cfRule>
  </conditionalFormatting>
  <conditionalFormatting sqref="L783:M789">
    <cfRule type="cellIs" dxfId="1105" priority="2905" operator="between">
      <formula>0</formula>
      <formula>-100</formula>
    </cfRule>
    <cfRule type="cellIs" dxfId="1104" priority="2906" operator="between">
      <formula>2</formula>
      <formula>100</formula>
    </cfRule>
    <cfRule type="cellIs" dxfId="1103" priority="2907" operator="between">
      <formula>1</formula>
      <formula>2</formula>
    </cfRule>
    <cfRule type="cellIs" dxfId="1102" priority="2908" operator="between">
      <formula>0</formula>
      <formula>1</formula>
    </cfRule>
  </conditionalFormatting>
  <conditionalFormatting sqref="L791:M792">
    <cfRule type="cellIs" dxfId="1101" priority="2897" operator="between">
      <formula>0</formula>
      <formula>-100</formula>
    </cfRule>
    <cfRule type="cellIs" dxfId="1100" priority="2898" operator="between">
      <formula>2</formula>
      <formula>100</formula>
    </cfRule>
    <cfRule type="cellIs" dxfId="1099" priority="2899" operator="between">
      <formula>1</formula>
      <formula>2</formula>
    </cfRule>
    <cfRule type="cellIs" dxfId="1098" priority="2900" operator="between">
      <formula>0</formula>
      <formula>1</formula>
    </cfRule>
  </conditionalFormatting>
  <conditionalFormatting sqref="L790:M790">
    <cfRule type="cellIs" dxfId="1097" priority="2901" operator="between">
      <formula>0</formula>
      <formula>-100</formula>
    </cfRule>
    <cfRule type="cellIs" dxfId="1096" priority="2902" operator="between">
      <formula>2</formula>
      <formula>100</formula>
    </cfRule>
    <cfRule type="cellIs" dxfId="1095" priority="2903" operator="between">
      <formula>1</formula>
      <formula>2</formula>
    </cfRule>
    <cfRule type="cellIs" dxfId="1094" priority="2904" operator="between">
      <formula>0</formula>
      <formula>1</formula>
    </cfRule>
  </conditionalFormatting>
  <conditionalFormatting sqref="T783:T792">
    <cfRule type="containsText" dxfId="1093" priority="2895" operator="containsText" text="a">
      <formula>NOT(ISERROR(SEARCH("a",T783)))</formula>
    </cfRule>
    <cfRule type="containsText" dxfId="1092" priority="2896" operator="containsText" text="r">
      <formula>NOT(ISERROR(SEARCH("r",T783)))</formula>
    </cfRule>
  </conditionalFormatting>
  <conditionalFormatting sqref="P783:P788">
    <cfRule type="expression" dxfId="1091" priority="2893">
      <formula>AND(NOT(K783=P783),NOT(P783=""))</formula>
    </cfRule>
    <cfRule type="expression" dxfId="1090" priority="2894">
      <formula>AND((K783=P783),NOT(P783=""))</formula>
    </cfRule>
  </conditionalFormatting>
  <conditionalFormatting sqref="P783">
    <cfRule type="expression" priority="2892">
      <formula>(P783="")</formula>
    </cfRule>
  </conditionalFormatting>
  <conditionalFormatting sqref="P784">
    <cfRule type="expression" dxfId="1089" priority="2881">
      <formula>IF(L784="NO BET", TRUE, FALSE)</formula>
    </cfRule>
    <cfRule type="expression" priority="2891">
      <formula>(P784="")</formula>
    </cfRule>
  </conditionalFormatting>
  <conditionalFormatting sqref="P785">
    <cfRule type="expression" priority="2890">
      <formula>(P785="")</formula>
    </cfRule>
  </conditionalFormatting>
  <conditionalFormatting sqref="P786">
    <cfRule type="expression" priority="2889">
      <formula>(P786="")</formula>
    </cfRule>
  </conditionalFormatting>
  <conditionalFormatting sqref="P787">
    <cfRule type="expression" priority="2888">
      <formula>(P787="")</formula>
    </cfRule>
  </conditionalFormatting>
  <conditionalFormatting sqref="P788">
    <cfRule type="expression" priority="2887">
      <formula>(P788="")</formula>
    </cfRule>
  </conditionalFormatting>
  <conditionalFormatting sqref="P784">
    <cfRule type="expression" priority="2886">
      <formula>(P784="")</formula>
    </cfRule>
  </conditionalFormatting>
  <conditionalFormatting sqref="P785">
    <cfRule type="expression" priority="2885">
      <formula>(P785="")</formula>
    </cfRule>
  </conditionalFormatting>
  <conditionalFormatting sqref="P786">
    <cfRule type="expression" priority="2884">
      <formula>(P786="")</formula>
    </cfRule>
  </conditionalFormatting>
  <conditionalFormatting sqref="P787">
    <cfRule type="expression" priority="2883">
      <formula>(P787="")</formula>
    </cfRule>
  </conditionalFormatting>
  <conditionalFormatting sqref="P788">
    <cfRule type="expression" priority="2882">
      <formula>(P788="")</formula>
    </cfRule>
  </conditionalFormatting>
  <conditionalFormatting sqref="P783">
    <cfRule type="expression" dxfId="1088" priority="2878">
      <formula>IF(L783="NO BET", TRUE, FALSE)</formula>
    </cfRule>
    <cfRule type="expression" priority="2880">
      <formula>(P783="")</formula>
    </cfRule>
  </conditionalFormatting>
  <conditionalFormatting sqref="P783">
    <cfRule type="expression" priority="2879">
      <formula>(P783="")</formula>
    </cfRule>
  </conditionalFormatting>
  <conditionalFormatting sqref="P785">
    <cfRule type="expression" priority="2877">
      <formula>(P785="")</formula>
    </cfRule>
  </conditionalFormatting>
  <conditionalFormatting sqref="P786">
    <cfRule type="expression" dxfId="1087" priority="2874">
      <formula>IF(L786="NO BET", TRUE, FALSE)</formula>
    </cfRule>
    <cfRule type="expression" priority="2876">
      <formula>(P786="")</formula>
    </cfRule>
  </conditionalFormatting>
  <conditionalFormatting sqref="P786">
    <cfRule type="expression" priority="2875">
      <formula>(P786="")</formula>
    </cfRule>
  </conditionalFormatting>
  <conditionalFormatting sqref="P785">
    <cfRule type="expression" dxfId="1086" priority="2871">
      <formula>IF(L785="NO BET", TRUE, FALSE)</formula>
    </cfRule>
    <cfRule type="expression" priority="2873">
      <formula>(P785="")</formula>
    </cfRule>
  </conditionalFormatting>
  <conditionalFormatting sqref="P785">
    <cfRule type="expression" priority="2872">
      <formula>(P785="")</formula>
    </cfRule>
  </conditionalFormatting>
  <conditionalFormatting sqref="P787">
    <cfRule type="expression" priority="2870">
      <formula>(P787="")</formula>
    </cfRule>
  </conditionalFormatting>
  <conditionalFormatting sqref="P788">
    <cfRule type="expression" dxfId="1085" priority="2867">
      <formula>IF(L788="NO BET", TRUE, FALSE)</formula>
    </cfRule>
    <cfRule type="expression" priority="2869">
      <formula>(P788="")</formula>
    </cfRule>
  </conditionalFormatting>
  <conditionalFormatting sqref="P788">
    <cfRule type="expression" priority="2868">
      <formula>(P788="")</formula>
    </cfRule>
  </conditionalFormatting>
  <conditionalFormatting sqref="P787">
    <cfRule type="expression" dxfId="1084" priority="2864">
      <formula>IF(L787="NO BET", TRUE, FALSE)</formula>
    </cfRule>
    <cfRule type="expression" priority="2866">
      <formula>(P787="")</formula>
    </cfRule>
  </conditionalFormatting>
  <conditionalFormatting sqref="P787">
    <cfRule type="expression" priority="2865">
      <formula>(P787="")</formula>
    </cfRule>
  </conditionalFormatting>
  <conditionalFormatting sqref="P789:P792">
    <cfRule type="expression" dxfId="1083" priority="2862">
      <formula>AND(NOT(K789=P789),NOT(P789=""))</formula>
    </cfRule>
    <cfRule type="expression" dxfId="1082" priority="2863">
      <formula>AND((K789=P789),NOT(P789=""))</formula>
    </cfRule>
  </conditionalFormatting>
  <conditionalFormatting sqref="P789">
    <cfRule type="expression" priority="2861">
      <formula>(P789="")</formula>
    </cfRule>
  </conditionalFormatting>
  <conditionalFormatting sqref="P790">
    <cfRule type="expression" dxfId="1081" priority="2854">
      <formula>IF(L790="NO BET", TRUE, FALSE)</formula>
    </cfRule>
    <cfRule type="expression" priority="2860">
      <formula>(P790="")</formula>
    </cfRule>
  </conditionalFormatting>
  <conditionalFormatting sqref="P791">
    <cfRule type="expression" priority="2859">
      <formula>(P791="")</formula>
    </cfRule>
  </conditionalFormatting>
  <conditionalFormatting sqref="P792">
    <cfRule type="expression" priority="2858">
      <formula>(P792="")</formula>
    </cfRule>
  </conditionalFormatting>
  <conditionalFormatting sqref="P790">
    <cfRule type="expression" priority="2857">
      <formula>(P790="")</formula>
    </cfRule>
  </conditionalFormatting>
  <conditionalFormatting sqref="P791">
    <cfRule type="expression" priority="2856">
      <formula>(P791="")</formula>
    </cfRule>
  </conditionalFormatting>
  <conditionalFormatting sqref="P792">
    <cfRule type="expression" priority="2855">
      <formula>(P792="")</formula>
    </cfRule>
  </conditionalFormatting>
  <conditionalFormatting sqref="P789">
    <cfRule type="expression" dxfId="1080" priority="2851">
      <formula>IF(L789="NO BET", TRUE, FALSE)</formula>
    </cfRule>
    <cfRule type="expression" priority="2853">
      <formula>(P789="")</formula>
    </cfRule>
  </conditionalFormatting>
  <conditionalFormatting sqref="P789">
    <cfRule type="expression" priority="2852">
      <formula>(P789="")</formula>
    </cfRule>
  </conditionalFormatting>
  <conditionalFormatting sqref="P791">
    <cfRule type="expression" priority="2850">
      <formula>(P791="")</formula>
    </cfRule>
  </conditionalFormatting>
  <conditionalFormatting sqref="P792">
    <cfRule type="expression" dxfId="1079" priority="2847">
      <formula>IF(L792="NO BET", TRUE, FALSE)</formula>
    </cfRule>
    <cfRule type="expression" priority="2849">
      <formula>(P792="")</formula>
    </cfRule>
  </conditionalFormatting>
  <conditionalFormatting sqref="P792">
    <cfRule type="expression" priority="2848">
      <formula>(P792="")</formula>
    </cfRule>
  </conditionalFormatting>
  <conditionalFormatting sqref="P791">
    <cfRule type="expression" dxfId="1078" priority="2844">
      <formula>IF(L791="NO BET", TRUE, FALSE)</formula>
    </cfRule>
    <cfRule type="expression" priority="2846">
      <formula>(P791="")</formula>
    </cfRule>
  </conditionalFormatting>
  <conditionalFormatting sqref="P791">
    <cfRule type="expression" priority="2845">
      <formula>(P791="")</formula>
    </cfRule>
  </conditionalFormatting>
  <conditionalFormatting sqref="R783:R792">
    <cfRule type="expression" dxfId="1077" priority="2843">
      <formula>R783=0</formula>
    </cfRule>
  </conditionalFormatting>
  <conditionalFormatting sqref="T794:T803">
    <cfRule type="containsText" dxfId="1076" priority="2821" operator="containsText" text="a">
      <formula>NOT(ISERROR(SEARCH("a",T794)))</formula>
    </cfRule>
    <cfRule type="containsText" dxfId="1075" priority="2822" operator="containsText" text="r">
      <formula>NOT(ISERROR(SEARCH("r",T794)))</formula>
    </cfRule>
  </conditionalFormatting>
  <conditionalFormatting sqref="P794:P799">
    <cfRule type="expression" dxfId="1074" priority="2819">
      <formula>AND(NOT(K794=P794),NOT(P794=""))</formula>
    </cfRule>
    <cfRule type="expression" dxfId="1073" priority="2820">
      <formula>AND((K794=P794),NOT(P794=""))</formula>
    </cfRule>
  </conditionalFormatting>
  <conditionalFormatting sqref="P794">
    <cfRule type="expression" priority="2818">
      <formula>(P794="")</formula>
    </cfRule>
  </conditionalFormatting>
  <conditionalFormatting sqref="P795">
    <cfRule type="expression" dxfId="1072" priority="2807">
      <formula>IF(L795="NO BET", TRUE, FALSE)</formula>
    </cfRule>
    <cfRule type="expression" priority="2817">
      <formula>(P795="")</formula>
    </cfRule>
  </conditionalFormatting>
  <conditionalFormatting sqref="P796">
    <cfRule type="expression" priority="2816">
      <formula>(P796="")</formula>
    </cfRule>
  </conditionalFormatting>
  <conditionalFormatting sqref="P797">
    <cfRule type="expression" priority="2815">
      <formula>(P797="")</formula>
    </cfRule>
  </conditionalFormatting>
  <conditionalFormatting sqref="P798">
    <cfRule type="expression" priority="2814">
      <formula>(P798="")</formula>
    </cfRule>
  </conditionalFormatting>
  <conditionalFormatting sqref="P799">
    <cfRule type="expression" priority="2813">
      <formula>(P799="")</formula>
    </cfRule>
  </conditionalFormatting>
  <conditionalFormatting sqref="P795">
    <cfRule type="expression" priority="2812">
      <formula>(P795="")</formula>
    </cfRule>
  </conditionalFormatting>
  <conditionalFormatting sqref="P796">
    <cfRule type="expression" priority="2811">
      <formula>(P796="")</formula>
    </cfRule>
  </conditionalFormatting>
  <conditionalFormatting sqref="P797">
    <cfRule type="expression" priority="2810">
      <formula>(P797="")</formula>
    </cfRule>
  </conditionalFormatting>
  <conditionalFormatting sqref="P798">
    <cfRule type="expression" priority="2809">
      <formula>(P798="")</formula>
    </cfRule>
  </conditionalFormatting>
  <conditionalFormatting sqref="P799">
    <cfRule type="expression" priority="2808">
      <formula>(P799="")</formula>
    </cfRule>
  </conditionalFormatting>
  <conditionalFormatting sqref="P794">
    <cfRule type="expression" dxfId="1071" priority="2804">
      <formula>IF(L794="NO BET", TRUE, FALSE)</formula>
    </cfRule>
    <cfRule type="expression" priority="2806">
      <formula>(P794="")</formula>
    </cfRule>
  </conditionalFormatting>
  <conditionalFormatting sqref="P794">
    <cfRule type="expression" priority="2805">
      <formula>(P794="")</formula>
    </cfRule>
  </conditionalFormatting>
  <conditionalFormatting sqref="P796">
    <cfRule type="expression" priority="2803">
      <formula>(P796="")</formula>
    </cfRule>
  </conditionalFormatting>
  <conditionalFormatting sqref="P797">
    <cfRule type="expression" dxfId="1070" priority="2800">
      <formula>IF(L797="NO BET", TRUE, FALSE)</formula>
    </cfRule>
    <cfRule type="expression" priority="2802">
      <formula>(P797="")</formula>
    </cfRule>
  </conditionalFormatting>
  <conditionalFormatting sqref="P797">
    <cfRule type="expression" priority="2801">
      <formula>(P797="")</formula>
    </cfRule>
  </conditionalFormatting>
  <conditionalFormatting sqref="P796">
    <cfRule type="expression" dxfId="1069" priority="2797">
      <formula>IF(L796="NO BET", TRUE, FALSE)</formula>
    </cfRule>
    <cfRule type="expression" priority="2799">
      <formula>(P796="")</formula>
    </cfRule>
  </conditionalFormatting>
  <conditionalFormatting sqref="P796">
    <cfRule type="expression" priority="2798">
      <formula>(P796="")</formula>
    </cfRule>
  </conditionalFormatting>
  <conditionalFormatting sqref="P798">
    <cfRule type="expression" priority="2796">
      <formula>(P798="")</formula>
    </cfRule>
  </conditionalFormatting>
  <conditionalFormatting sqref="P799">
    <cfRule type="expression" dxfId="1068" priority="2793">
      <formula>IF(L799="NO BET", TRUE, FALSE)</formula>
    </cfRule>
    <cfRule type="expression" priority="2795">
      <formula>(P799="")</formula>
    </cfRule>
  </conditionalFormatting>
  <conditionalFormatting sqref="P799">
    <cfRule type="expression" priority="2794">
      <formula>(P799="")</formula>
    </cfRule>
  </conditionalFormatting>
  <conditionalFormatting sqref="P798">
    <cfRule type="expression" dxfId="1067" priority="2790">
      <formula>IF(L798="NO BET", TRUE, FALSE)</formula>
    </cfRule>
    <cfRule type="expression" priority="2792">
      <formula>(P798="")</formula>
    </cfRule>
  </conditionalFormatting>
  <conditionalFormatting sqref="P798">
    <cfRule type="expression" priority="2791">
      <formula>(P798="")</formula>
    </cfRule>
  </conditionalFormatting>
  <conditionalFormatting sqref="P800:P803">
    <cfRule type="expression" dxfId="1066" priority="2788">
      <formula>AND(NOT(K800=P800),NOT(P800=""))</formula>
    </cfRule>
    <cfRule type="expression" dxfId="1065" priority="2789">
      <formula>AND((K800=P800),NOT(P800=""))</formula>
    </cfRule>
  </conditionalFormatting>
  <conditionalFormatting sqref="P800">
    <cfRule type="expression" priority="2787">
      <formula>(P800="")</formula>
    </cfRule>
  </conditionalFormatting>
  <conditionalFormatting sqref="P801">
    <cfRule type="expression" dxfId="1064" priority="2780">
      <formula>IF(L801="NO BET", TRUE, FALSE)</formula>
    </cfRule>
    <cfRule type="expression" priority="2786">
      <formula>(P801="")</formula>
    </cfRule>
  </conditionalFormatting>
  <conditionalFormatting sqref="P802">
    <cfRule type="expression" priority="2785">
      <formula>(P802="")</formula>
    </cfRule>
  </conditionalFormatting>
  <conditionalFormatting sqref="P803">
    <cfRule type="expression" priority="2784">
      <formula>(P803="")</formula>
    </cfRule>
  </conditionalFormatting>
  <conditionalFormatting sqref="P801">
    <cfRule type="expression" priority="2783">
      <formula>(P801="")</formula>
    </cfRule>
  </conditionalFormatting>
  <conditionalFormatting sqref="P802">
    <cfRule type="expression" priority="2782">
      <formula>(P802="")</formula>
    </cfRule>
  </conditionalFormatting>
  <conditionalFormatting sqref="P803">
    <cfRule type="expression" priority="2781">
      <formula>(P803="")</formula>
    </cfRule>
  </conditionalFormatting>
  <conditionalFormatting sqref="P800">
    <cfRule type="expression" dxfId="1063" priority="2777">
      <formula>IF(L800="NO BET", TRUE, FALSE)</formula>
    </cfRule>
    <cfRule type="expression" priority="2779">
      <formula>(P800="")</formula>
    </cfRule>
  </conditionalFormatting>
  <conditionalFormatting sqref="P800">
    <cfRule type="expression" priority="2778">
      <formula>(P800="")</formula>
    </cfRule>
  </conditionalFormatting>
  <conditionalFormatting sqref="P802">
    <cfRule type="expression" priority="2776">
      <formula>(P802="")</formula>
    </cfRule>
  </conditionalFormatting>
  <conditionalFormatting sqref="P803">
    <cfRule type="expression" dxfId="1062" priority="2773">
      <formula>IF(L803="NO BET", TRUE, FALSE)</formula>
    </cfRule>
    <cfRule type="expression" priority="2775">
      <formula>(P803="")</formula>
    </cfRule>
  </conditionalFormatting>
  <conditionalFormatting sqref="P803">
    <cfRule type="expression" priority="2774">
      <formula>(P803="")</formula>
    </cfRule>
  </conditionalFormatting>
  <conditionalFormatting sqref="P802">
    <cfRule type="expression" dxfId="1061" priority="2770">
      <formula>IF(L802="NO BET", TRUE, FALSE)</formula>
    </cfRule>
    <cfRule type="expression" priority="2772">
      <formula>(P802="")</formula>
    </cfRule>
  </conditionalFormatting>
  <conditionalFormatting sqref="P802">
    <cfRule type="expression" priority="2771">
      <formula>(P802="")</formula>
    </cfRule>
  </conditionalFormatting>
  <conditionalFormatting sqref="R794:R803">
    <cfRule type="expression" dxfId="1060" priority="2769">
      <formula>R794=0</formula>
    </cfRule>
  </conditionalFormatting>
  <conditionalFormatting sqref="L794:M799">
    <cfRule type="cellIs" dxfId="1059" priority="2757" operator="between">
      <formula>0</formula>
      <formula>-100</formula>
    </cfRule>
    <cfRule type="cellIs" dxfId="1058" priority="2758" operator="between">
      <formula>2</formula>
      <formula>100</formula>
    </cfRule>
    <cfRule type="cellIs" dxfId="1057" priority="2759" operator="between">
      <formula>1</formula>
      <formula>2</formula>
    </cfRule>
    <cfRule type="cellIs" dxfId="1056" priority="2760" operator="between">
      <formula>0</formula>
      <formula>1</formula>
    </cfRule>
  </conditionalFormatting>
  <conditionalFormatting sqref="L802:M803">
    <cfRule type="cellIs" dxfId="1055" priority="2749" operator="between">
      <formula>0</formula>
      <formula>-100</formula>
    </cfRule>
    <cfRule type="cellIs" dxfId="1054" priority="2750" operator="between">
      <formula>2</formula>
      <formula>100</formula>
    </cfRule>
    <cfRule type="cellIs" dxfId="1053" priority="2751" operator="between">
      <formula>1</formula>
      <formula>2</formula>
    </cfRule>
    <cfRule type="cellIs" dxfId="1052" priority="2752" operator="between">
      <formula>0</formula>
      <formula>1</formula>
    </cfRule>
  </conditionalFormatting>
  <conditionalFormatting sqref="L801:M801">
    <cfRule type="cellIs" dxfId="1051" priority="2753" operator="between">
      <formula>0</formula>
      <formula>-100</formula>
    </cfRule>
    <cfRule type="cellIs" dxfId="1050" priority="2754" operator="between">
      <formula>2</formula>
      <formula>100</formula>
    </cfRule>
    <cfRule type="cellIs" dxfId="1049" priority="2755" operator="between">
      <formula>1</formula>
      <formula>2</formula>
    </cfRule>
    <cfRule type="cellIs" dxfId="1048" priority="2756" operator="between">
      <formula>0</formula>
      <formula>1</formula>
    </cfRule>
  </conditionalFormatting>
  <conditionalFormatting sqref="L800:M800">
    <cfRule type="cellIs" dxfId="1047" priority="2745" operator="between">
      <formula>0</formula>
      <formula>-100</formula>
    </cfRule>
    <cfRule type="cellIs" dxfId="1046" priority="2746" operator="between">
      <formula>2</formula>
      <formula>100</formula>
    </cfRule>
    <cfRule type="cellIs" dxfId="1045" priority="2747" operator="between">
      <formula>1</formula>
      <formula>2</formula>
    </cfRule>
    <cfRule type="cellIs" dxfId="1044" priority="2748" operator="between">
      <formula>0</formula>
      <formula>1</formula>
    </cfRule>
  </conditionalFormatting>
  <conditionalFormatting sqref="P673:P682">
    <cfRule type="expression" dxfId="1043" priority="7940">
      <formula>AND(NOT(K687=P673),NOT(P673=""))</formula>
    </cfRule>
    <cfRule type="expression" dxfId="1042" priority="7941">
      <formula>AND((K687=P673),NOT(P673=""))</formula>
    </cfRule>
  </conditionalFormatting>
  <conditionalFormatting sqref="P673:P682">
    <cfRule type="expression" dxfId="1041" priority="7942">
      <formula>IF(L687="NO BET", TRUE, FALSE)</formula>
    </cfRule>
    <cfRule type="expression" priority="7943">
      <formula>(P673="")</formula>
    </cfRule>
  </conditionalFormatting>
  <conditionalFormatting sqref="L673:M679">
    <cfRule type="cellIs" dxfId="1040" priority="2737" operator="between">
      <formula>0</formula>
      <formula>-100</formula>
    </cfRule>
    <cfRule type="cellIs" dxfId="1039" priority="2738" operator="between">
      <formula>2</formula>
      <formula>100</formula>
    </cfRule>
    <cfRule type="cellIs" dxfId="1038" priority="2739" operator="between">
      <formula>1</formula>
      <formula>2</formula>
    </cfRule>
    <cfRule type="cellIs" dxfId="1037" priority="2740" operator="between">
      <formula>0</formula>
      <formula>1</formula>
    </cfRule>
  </conditionalFormatting>
  <conditionalFormatting sqref="L681:M682">
    <cfRule type="cellIs" dxfId="1036" priority="2729" operator="between">
      <formula>0</formula>
      <formula>-100</formula>
    </cfRule>
    <cfRule type="cellIs" dxfId="1035" priority="2730" operator="between">
      <formula>2</formula>
      <formula>100</formula>
    </cfRule>
    <cfRule type="cellIs" dxfId="1034" priority="2731" operator="between">
      <formula>1</formula>
      <formula>2</formula>
    </cfRule>
    <cfRule type="cellIs" dxfId="1033" priority="2732" operator="between">
      <formula>0</formula>
      <formula>1</formula>
    </cfRule>
  </conditionalFormatting>
  <conditionalFormatting sqref="L680:M680">
    <cfRule type="cellIs" dxfId="1032" priority="2733" operator="between">
      <formula>0</formula>
      <formula>-100</formula>
    </cfRule>
    <cfRule type="cellIs" dxfId="1031" priority="2734" operator="between">
      <formula>2</formula>
      <formula>100</formula>
    </cfRule>
    <cfRule type="cellIs" dxfId="1030" priority="2735" operator="between">
      <formula>1</formula>
      <formula>2</formula>
    </cfRule>
    <cfRule type="cellIs" dxfId="1029" priority="2736" operator="between">
      <formula>0</formula>
      <formula>1</formula>
    </cfRule>
  </conditionalFormatting>
  <conditionalFormatting sqref="T687:T696">
    <cfRule type="containsText" dxfId="1028" priority="2687" operator="containsText" text="a">
      <formula>NOT(ISERROR(SEARCH("a",T687)))</formula>
    </cfRule>
    <cfRule type="containsText" dxfId="1027" priority="2688" operator="containsText" text="r">
      <formula>NOT(ISERROR(SEARCH("r",T687)))</formula>
    </cfRule>
  </conditionalFormatting>
  <conditionalFormatting sqref="P687:P692">
    <cfRule type="expression" dxfId="1026" priority="2642">
      <formula>AND(NOT(K687=P687),NOT(P687=""))</formula>
    </cfRule>
    <cfRule type="expression" dxfId="1025" priority="2643">
      <formula>AND((K687=P687),NOT(P687=""))</formula>
    </cfRule>
  </conditionalFormatting>
  <conditionalFormatting sqref="P687">
    <cfRule type="expression" priority="2641">
      <formula>(P687="")</formula>
    </cfRule>
  </conditionalFormatting>
  <conditionalFormatting sqref="P688">
    <cfRule type="expression" dxfId="1024" priority="2630">
      <formula>IF(L688="NO BET", TRUE, FALSE)</formula>
    </cfRule>
    <cfRule type="expression" priority="2640">
      <formula>(P688="")</formula>
    </cfRule>
  </conditionalFormatting>
  <conditionalFormatting sqref="P689">
    <cfRule type="expression" priority="2639">
      <formula>(P689="")</formula>
    </cfRule>
  </conditionalFormatting>
  <conditionalFormatting sqref="P690">
    <cfRule type="expression" priority="2638">
      <formula>(P690="")</formula>
    </cfRule>
  </conditionalFormatting>
  <conditionalFormatting sqref="P691">
    <cfRule type="expression" priority="2637">
      <formula>(P691="")</formula>
    </cfRule>
  </conditionalFormatting>
  <conditionalFormatting sqref="P692">
    <cfRule type="expression" priority="2636">
      <formula>(P692="")</formula>
    </cfRule>
  </conditionalFormatting>
  <conditionalFormatting sqref="P688">
    <cfRule type="expression" priority="2635">
      <formula>(P688="")</formula>
    </cfRule>
  </conditionalFormatting>
  <conditionalFormatting sqref="P689">
    <cfRule type="expression" priority="2634">
      <formula>(P689="")</formula>
    </cfRule>
  </conditionalFormatting>
  <conditionalFormatting sqref="P690">
    <cfRule type="expression" priority="2633">
      <formula>(P690="")</formula>
    </cfRule>
  </conditionalFormatting>
  <conditionalFormatting sqref="P691">
    <cfRule type="expression" priority="2632">
      <formula>(P691="")</formula>
    </cfRule>
  </conditionalFormatting>
  <conditionalFormatting sqref="P692">
    <cfRule type="expression" priority="2631">
      <formula>(P692="")</formula>
    </cfRule>
  </conditionalFormatting>
  <conditionalFormatting sqref="P687">
    <cfRule type="expression" dxfId="1023" priority="2627">
      <formula>IF(L687="NO BET", TRUE, FALSE)</formula>
    </cfRule>
    <cfRule type="expression" priority="2629">
      <formula>(P687="")</formula>
    </cfRule>
  </conditionalFormatting>
  <conditionalFormatting sqref="P687">
    <cfRule type="expression" priority="2628">
      <formula>(P687="")</formula>
    </cfRule>
  </conditionalFormatting>
  <conditionalFormatting sqref="P689">
    <cfRule type="expression" priority="2626">
      <formula>(P689="")</formula>
    </cfRule>
  </conditionalFormatting>
  <conditionalFormatting sqref="P690">
    <cfRule type="expression" dxfId="1022" priority="2623">
      <formula>IF(L690="NO BET", TRUE, FALSE)</formula>
    </cfRule>
    <cfRule type="expression" priority="2625">
      <formula>(P690="")</formula>
    </cfRule>
  </conditionalFormatting>
  <conditionalFormatting sqref="P690">
    <cfRule type="expression" priority="2624">
      <formula>(P690="")</formula>
    </cfRule>
  </conditionalFormatting>
  <conditionalFormatting sqref="P689">
    <cfRule type="expression" dxfId="1021" priority="2620">
      <formula>IF(L689="NO BET", TRUE, FALSE)</formula>
    </cfRule>
    <cfRule type="expression" priority="2622">
      <formula>(P689="")</formula>
    </cfRule>
  </conditionalFormatting>
  <conditionalFormatting sqref="P689">
    <cfRule type="expression" priority="2621">
      <formula>(P689="")</formula>
    </cfRule>
  </conditionalFormatting>
  <conditionalFormatting sqref="P691">
    <cfRule type="expression" priority="2619">
      <formula>(P691="")</formula>
    </cfRule>
  </conditionalFormatting>
  <conditionalFormatting sqref="P692">
    <cfRule type="expression" dxfId="1020" priority="2616">
      <formula>IF(L692="NO BET", TRUE, FALSE)</formula>
    </cfRule>
    <cfRule type="expression" priority="2618">
      <formula>(P692="")</formula>
    </cfRule>
  </conditionalFormatting>
  <conditionalFormatting sqref="P692">
    <cfRule type="expression" priority="2617">
      <formula>(P692="")</formula>
    </cfRule>
  </conditionalFormatting>
  <conditionalFormatting sqref="P691">
    <cfRule type="expression" dxfId="1019" priority="2613">
      <formula>IF(L691="NO BET", TRUE, FALSE)</formula>
    </cfRule>
    <cfRule type="expression" priority="2615">
      <formula>(P691="")</formula>
    </cfRule>
  </conditionalFormatting>
  <conditionalFormatting sqref="P691">
    <cfRule type="expression" priority="2614">
      <formula>(P691="")</formula>
    </cfRule>
  </conditionalFormatting>
  <conditionalFormatting sqref="P693:P696">
    <cfRule type="expression" dxfId="1018" priority="2611">
      <formula>AND(NOT(K693=P693),NOT(P693=""))</formula>
    </cfRule>
    <cfRule type="expression" dxfId="1017" priority="2612">
      <formula>AND((K693=P693),NOT(P693=""))</formula>
    </cfRule>
  </conditionalFormatting>
  <conditionalFormatting sqref="P693">
    <cfRule type="expression" priority="2610">
      <formula>(P693="")</formula>
    </cfRule>
  </conditionalFormatting>
  <conditionalFormatting sqref="P694">
    <cfRule type="expression" dxfId="1016" priority="2603">
      <formula>IF(L694="NO BET", TRUE, FALSE)</formula>
    </cfRule>
    <cfRule type="expression" priority="2609">
      <formula>(P694="")</formula>
    </cfRule>
  </conditionalFormatting>
  <conditionalFormatting sqref="P695">
    <cfRule type="expression" priority="2608">
      <formula>(P695="")</formula>
    </cfRule>
  </conditionalFormatting>
  <conditionalFormatting sqref="P696">
    <cfRule type="expression" priority="2607">
      <formula>(P696="")</formula>
    </cfRule>
  </conditionalFormatting>
  <conditionalFormatting sqref="P694">
    <cfRule type="expression" priority="2606">
      <formula>(P694="")</formula>
    </cfRule>
  </conditionalFormatting>
  <conditionalFormatting sqref="P695">
    <cfRule type="expression" priority="2605">
      <formula>(P695="")</formula>
    </cfRule>
  </conditionalFormatting>
  <conditionalFormatting sqref="P696">
    <cfRule type="expression" priority="2604">
      <formula>(P696="")</formula>
    </cfRule>
  </conditionalFormatting>
  <conditionalFormatting sqref="P693">
    <cfRule type="expression" dxfId="1015" priority="2600">
      <formula>IF(L693="NO BET", TRUE, FALSE)</formula>
    </cfRule>
    <cfRule type="expression" priority="2602">
      <formula>(P693="")</formula>
    </cfRule>
  </conditionalFormatting>
  <conditionalFormatting sqref="P693">
    <cfRule type="expression" priority="2601">
      <formula>(P693="")</formula>
    </cfRule>
  </conditionalFormatting>
  <conditionalFormatting sqref="P695">
    <cfRule type="expression" priority="2599">
      <formula>(P695="")</formula>
    </cfRule>
  </conditionalFormatting>
  <conditionalFormatting sqref="P696">
    <cfRule type="expression" dxfId="1014" priority="2596">
      <formula>IF(L696="NO BET", TRUE, FALSE)</formula>
    </cfRule>
    <cfRule type="expression" priority="2598">
      <formula>(P696="")</formula>
    </cfRule>
  </conditionalFormatting>
  <conditionalFormatting sqref="P696">
    <cfRule type="expression" priority="2597">
      <formula>(P696="")</formula>
    </cfRule>
  </conditionalFormatting>
  <conditionalFormatting sqref="P695">
    <cfRule type="expression" dxfId="1013" priority="2593">
      <formula>IF(L695="NO BET", TRUE, FALSE)</formula>
    </cfRule>
    <cfRule type="expression" priority="2595">
      <formula>(P695="")</formula>
    </cfRule>
  </conditionalFormatting>
  <conditionalFormatting sqref="P695">
    <cfRule type="expression" priority="2594">
      <formula>(P695="")</formula>
    </cfRule>
  </conditionalFormatting>
  <conditionalFormatting sqref="R687:R696">
    <cfRule type="expression" dxfId="1012" priority="2592">
      <formula>R687=0</formula>
    </cfRule>
  </conditionalFormatting>
  <conditionalFormatting sqref="R645:R654">
    <cfRule type="expression" dxfId="1011" priority="2527">
      <formula>R645=0</formula>
    </cfRule>
  </conditionalFormatting>
  <conditionalFormatting sqref="L645:M651">
    <cfRule type="cellIs" dxfId="1010" priority="2523" operator="between">
      <formula>0</formula>
      <formula>-100</formula>
    </cfRule>
    <cfRule type="cellIs" dxfId="1009" priority="2524" operator="between">
      <formula>2</formula>
      <formula>100</formula>
    </cfRule>
    <cfRule type="cellIs" dxfId="1008" priority="2525" operator="between">
      <formula>1</formula>
      <formula>2</formula>
    </cfRule>
    <cfRule type="cellIs" dxfId="1007" priority="2526" operator="between">
      <formula>0</formula>
      <formula>1</formula>
    </cfRule>
  </conditionalFormatting>
  <conditionalFormatting sqref="L653:M654">
    <cfRule type="cellIs" dxfId="1006" priority="2515" operator="between">
      <formula>0</formula>
      <formula>-100</formula>
    </cfRule>
    <cfRule type="cellIs" dxfId="1005" priority="2516" operator="between">
      <formula>2</formula>
      <formula>100</formula>
    </cfRule>
    <cfRule type="cellIs" dxfId="1004" priority="2517" operator="between">
      <formula>1</formula>
      <formula>2</formula>
    </cfRule>
    <cfRule type="cellIs" dxfId="1003" priority="2518" operator="between">
      <formula>0</formula>
      <formula>1</formula>
    </cfRule>
  </conditionalFormatting>
  <conditionalFormatting sqref="L652:M652">
    <cfRule type="cellIs" dxfId="1002" priority="2519" operator="between">
      <formula>0</formula>
      <formula>-100</formula>
    </cfRule>
    <cfRule type="cellIs" dxfId="1001" priority="2520" operator="between">
      <formula>2</formula>
      <formula>100</formula>
    </cfRule>
    <cfRule type="cellIs" dxfId="1000" priority="2521" operator="between">
      <formula>1</formula>
      <formula>2</formula>
    </cfRule>
    <cfRule type="cellIs" dxfId="999" priority="2522" operator="between">
      <formula>0</formula>
      <formula>1</formula>
    </cfRule>
  </conditionalFormatting>
  <conditionalFormatting sqref="M163:M169">
    <cfRule type="cellIs" dxfId="998" priority="2503" operator="between">
      <formula>0</formula>
      <formula>-100</formula>
    </cfRule>
    <cfRule type="cellIs" dxfId="997" priority="2504" operator="between">
      <formula>2</formula>
      <formula>100</formula>
    </cfRule>
    <cfRule type="cellIs" dxfId="996" priority="2505" operator="between">
      <formula>1</formula>
      <formula>2</formula>
    </cfRule>
    <cfRule type="cellIs" dxfId="995" priority="2506" operator="between">
      <formula>0</formula>
      <formula>1</formula>
    </cfRule>
  </conditionalFormatting>
  <conditionalFormatting sqref="M171:M172">
    <cfRule type="cellIs" dxfId="994" priority="2495" operator="between">
      <formula>0</formula>
      <formula>-100</formula>
    </cfRule>
    <cfRule type="cellIs" dxfId="993" priority="2496" operator="between">
      <formula>2</formula>
      <formula>100</formula>
    </cfRule>
    <cfRule type="cellIs" dxfId="992" priority="2497" operator="between">
      <formula>1</formula>
      <formula>2</formula>
    </cfRule>
    <cfRule type="cellIs" dxfId="991" priority="2498" operator="between">
      <formula>0</formula>
      <formula>1</formula>
    </cfRule>
  </conditionalFormatting>
  <conditionalFormatting sqref="M170">
    <cfRule type="cellIs" dxfId="990" priority="2499" operator="between">
      <formula>0</formula>
      <formula>-100</formula>
    </cfRule>
    <cfRule type="cellIs" dxfId="989" priority="2500" operator="between">
      <formula>2</formula>
      <formula>100</formula>
    </cfRule>
    <cfRule type="cellIs" dxfId="988" priority="2501" operator="between">
      <formula>1</formula>
      <formula>2</formula>
    </cfRule>
    <cfRule type="cellIs" dxfId="987" priority="2502" operator="between">
      <formula>0</formula>
      <formula>1</formula>
    </cfRule>
  </conditionalFormatting>
  <conditionalFormatting sqref="M177:M183">
    <cfRule type="cellIs" dxfId="986" priority="2491" operator="between">
      <formula>0</formula>
      <formula>-100</formula>
    </cfRule>
    <cfRule type="cellIs" dxfId="985" priority="2492" operator="between">
      <formula>2</formula>
      <formula>100</formula>
    </cfRule>
    <cfRule type="cellIs" dxfId="984" priority="2493" operator="between">
      <formula>1</formula>
      <formula>2</formula>
    </cfRule>
    <cfRule type="cellIs" dxfId="983" priority="2494" operator="between">
      <formula>0</formula>
      <formula>1</formula>
    </cfRule>
  </conditionalFormatting>
  <conditionalFormatting sqref="M185:M186">
    <cfRule type="cellIs" dxfId="982" priority="2483" operator="between">
      <formula>0</formula>
      <formula>-100</formula>
    </cfRule>
    <cfRule type="cellIs" dxfId="981" priority="2484" operator="between">
      <formula>2</formula>
      <formula>100</formula>
    </cfRule>
    <cfRule type="cellIs" dxfId="980" priority="2485" operator="between">
      <formula>1</formula>
      <formula>2</formula>
    </cfRule>
    <cfRule type="cellIs" dxfId="979" priority="2486" operator="between">
      <formula>0</formula>
      <formula>1</formula>
    </cfRule>
  </conditionalFormatting>
  <conditionalFormatting sqref="M184">
    <cfRule type="cellIs" dxfId="978" priority="2487" operator="between">
      <formula>0</formula>
      <formula>-100</formula>
    </cfRule>
    <cfRule type="cellIs" dxfId="977" priority="2488" operator="between">
      <formula>2</formula>
      <formula>100</formula>
    </cfRule>
    <cfRule type="cellIs" dxfId="976" priority="2489" operator="between">
      <formula>1</formula>
      <formula>2</formula>
    </cfRule>
    <cfRule type="cellIs" dxfId="975" priority="2490" operator="between">
      <formula>0</formula>
      <formula>1</formula>
    </cfRule>
  </conditionalFormatting>
  <conditionalFormatting sqref="M149:M155">
    <cfRule type="cellIs" dxfId="974" priority="2333" operator="between">
      <formula>0</formula>
      <formula>-100</formula>
    </cfRule>
    <cfRule type="cellIs" dxfId="973" priority="2334" operator="between">
      <formula>2</formula>
      <formula>100</formula>
    </cfRule>
    <cfRule type="cellIs" dxfId="972" priority="2335" operator="between">
      <formula>1</formula>
      <formula>2</formula>
    </cfRule>
    <cfRule type="cellIs" dxfId="971" priority="2336" operator="between">
      <formula>0</formula>
      <formula>1</formula>
    </cfRule>
  </conditionalFormatting>
  <conditionalFormatting sqref="M157:M158">
    <cfRule type="cellIs" dxfId="970" priority="2325" operator="between">
      <formula>0</formula>
      <formula>-100</formula>
    </cfRule>
    <cfRule type="cellIs" dxfId="969" priority="2326" operator="between">
      <formula>2</formula>
      <formula>100</formula>
    </cfRule>
    <cfRule type="cellIs" dxfId="968" priority="2327" operator="between">
      <formula>1</formula>
      <formula>2</formula>
    </cfRule>
    <cfRule type="cellIs" dxfId="967" priority="2328" operator="between">
      <formula>0</formula>
      <formula>1</formula>
    </cfRule>
  </conditionalFormatting>
  <conditionalFormatting sqref="M156">
    <cfRule type="cellIs" dxfId="966" priority="2329" operator="between">
      <formula>0</formula>
      <formula>-100</formula>
    </cfRule>
    <cfRule type="cellIs" dxfId="965" priority="2330" operator="between">
      <formula>2</formula>
      <formula>100</formula>
    </cfRule>
    <cfRule type="cellIs" dxfId="964" priority="2331" operator="between">
      <formula>1</formula>
      <formula>2</formula>
    </cfRule>
    <cfRule type="cellIs" dxfId="963" priority="2332" operator="between">
      <formula>0</formula>
      <formula>1</formula>
    </cfRule>
  </conditionalFormatting>
  <conditionalFormatting sqref="T149:T158">
    <cfRule type="containsText" dxfId="962" priority="2397" operator="containsText" text="a">
      <formula>NOT(ISERROR(SEARCH("a",T149)))</formula>
    </cfRule>
    <cfRule type="containsText" dxfId="961" priority="2398" operator="containsText" text="r">
      <formula>NOT(ISERROR(SEARCH("r",T149)))</formula>
    </cfRule>
  </conditionalFormatting>
  <conditionalFormatting sqref="T305:T314">
    <cfRule type="containsText" dxfId="960" priority="2249" operator="containsText" text="a">
      <formula>NOT(ISERROR(SEARCH("a",T305)))</formula>
    </cfRule>
    <cfRule type="containsText" dxfId="959" priority="2250" operator="containsText" text="r">
      <formula>NOT(ISERROR(SEARCH("r",T305)))</formula>
    </cfRule>
  </conditionalFormatting>
  <conditionalFormatting sqref="M191:M197">
    <cfRule type="cellIs" dxfId="958" priority="2221" operator="between">
      <formula>0</formula>
      <formula>-100</formula>
    </cfRule>
    <cfRule type="cellIs" dxfId="957" priority="2222" operator="between">
      <formula>2</formula>
      <formula>100</formula>
    </cfRule>
    <cfRule type="cellIs" dxfId="956" priority="2223" operator="between">
      <formula>1</formula>
      <formula>2</formula>
    </cfRule>
    <cfRule type="cellIs" dxfId="955" priority="2224" operator="between">
      <formula>0</formula>
      <formula>1</formula>
    </cfRule>
  </conditionalFormatting>
  <conditionalFormatting sqref="M199:M200">
    <cfRule type="cellIs" dxfId="954" priority="2213" operator="between">
      <formula>0</formula>
      <formula>-100</formula>
    </cfRule>
    <cfRule type="cellIs" dxfId="953" priority="2214" operator="between">
      <formula>2</formula>
      <formula>100</formula>
    </cfRule>
    <cfRule type="cellIs" dxfId="952" priority="2215" operator="between">
      <formula>1</formula>
      <formula>2</formula>
    </cfRule>
    <cfRule type="cellIs" dxfId="951" priority="2216" operator="between">
      <formula>0</formula>
      <formula>1</formula>
    </cfRule>
  </conditionalFormatting>
  <conditionalFormatting sqref="M198">
    <cfRule type="cellIs" dxfId="950" priority="2217" operator="between">
      <formula>0</formula>
      <formula>-100</formula>
    </cfRule>
    <cfRule type="cellIs" dxfId="949" priority="2218" operator="between">
      <formula>2</formula>
      <formula>100</formula>
    </cfRule>
    <cfRule type="cellIs" dxfId="948" priority="2219" operator="between">
      <formula>1</formula>
      <formula>2</formula>
    </cfRule>
    <cfRule type="cellIs" dxfId="947" priority="2220" operator="between">
      <formula>0</formula>
      <formula>1</formula>
    </cfRule>
  </conditionalFormatting>
  <conditionalFormatting sqref="M205:M211">
    <cfRule type="cellIs" dxfId="946" priority="2209" operator="between">
      <formula>0</formula>
      <formula>-100</formula>
    </cfRule>
    <cfRule type="cellIs" dxfId="945" priority="2210" operator="between">
      <formula>2</formula>
      <formula>100</formula>
    </cfRule>
    <cfRule type="cellIs" dxfId="944" priority="2211" operator="between">
      <formula>1</formula>
      <formula>2</formula>
    </cfRule>
    <cfRule type="cellIs" dxfId="943" priority="2212" operator="between">
      <formula>0</formula>
      <formula>1</formula>
    </cfRule>
  </conditionalFormatting>
  <conditionalFormatting sqref="M213:M214">
    <cfRule type="cellIs" dxfId="942" priority="2201" operator="between">
      <formula>0</formula>
      <formula>-100</formula>
    </cfRule>
    <cfRule type="cellIs" dxfId="941" priority="2202" operator="between">
      <formula>2</formula>
      <formula>100</formula>
    </cfRule>
    <cfRule type="cellIs" dxfId="940" priority="2203" operator="between">
      <formula>1</formula>
      <formula>2</formula>
    </cfRule>
    <cfRule type="cellIs" dxfId="939" priority="2204" operator="between">
      <formula>0</formula>
      <formula>1</formula>
    </cfRule>
  </conditionalFormatting>
  <conditionalFormatting sqref="M212">
    <cfRule type="cellIs" dxfId="938" priority="2205" operator="between">
      <formula>0</formula>
      <formula>-100</formula>
    </cfRule>
    <cfRule type="cellIs" dxfId="937" priority="2206" operator="between">
      <formula>2</formula>
      <formula>100</formula>
    </cfRule>
    <cfRule type="cellIs" dxfId="936" priority="2207" operator="between">
      <formula>1</formula>
      <formula>2</formula>
    </cfRule>
    <cfRule type="cellIs" dxfId="935" priority="2208" operator="between">
      <formula>0</formula>
      <formula>1</formula>
    </cfRule>
  </conditionalFormatting>
  <conditionalFormatting sqref="M219:M225">
    <cfRule type="cellIs" dxfId="934" priority="2197" operator="between">
      <formula>0</formula>
      <formula>-100</formula>
    </cfRule>
    <cfRule type="cellIs" dxfId="933" priority="2198" operator="between">
      <formula>2</formula>
      <formula>100</formula>
    </cfRule>
    <cfRule type="cellIs" dxfId="932" priority="2199" operator="between">
      <formula>1</formula>
      <formula>2</formula>
    </cfRule>
    <cfRule type="cellIs" dxfId="931" priority="2200" operator="between">
      <formula>0</formula>
      <formula>1</formula>
    </cfRule>
  </conditionalFormatting>
  <conditionalFormatting sqref="M227:M228">
    <cfRule type="cellIs" dxfId="930" priority="2189" operator="between">
      <formula>0</formula>
      <formula>-100</formula>
    </cfRule>
    <cfRule type="cellIs" dxfId="929" priority="2190" operator="between">
      <formula>2</formula>
      <formula>100</formula>
    </cfRule>
    <cfRule type="cellIs" dxfId="928" priority="2191" operator="between">
      <formula>1</formula>
      <formula>2</formula>
    </cfRule>
    <cfRule type="cellIs" dxfId="927" priority="2192" operator="between">
      <formula>0</formula>
      <formula>1</formula>
    </cfRule>
  </conditionalFormatting>
  <conditionalFormatting sqref="M226">
    <cfRule type="cellIs" dxfId="926" priority="2193" operator="between">
      <formula>0</formula>
      <formula>-100</formula>
    </cfRule>
    <cfRule type="cellIs" dxfId="925" priority="2194" operator="between">
      <formula>2</formula>
      <formula>100</formula>
    </cfRule>
    <cfRule type="cellIs" dxfId="924" priority="2195" operator="between">
      <formula>1</formula>
      <formula>2</formula>
    </cfRule>
    <cfRule type="cellIs" dxfId="923" priority="2196" operator="between">
      <formula>0</formula>
      <formula>1</formula>
    </cfRule>
  </conditionalFormatting>
  <conditionalFormatting sqref="M233:M239">
    <cfRule type="cellIs" dxfId="922" priority="2185" operator="between">
      <formula>0</formula>
      <formula>-100</formula>
    </cfRule>
    <cfRule type="cellIs" dxfId="921" priority="2186" operator="between">
      <formula>2</formula>
      <formula>100</formula>
    </cfRule>
    <cfRule type="cellIs" dxfId="920" priority="2187" operator="between">
      <formula>1</formula>
      <formula>2</formula>
    </cfRule>
    <cfRule type="cellIs" dxfId="919" priority="2188" operator="between">
      <formula>0</formula>
      <formula>1</formula>
    </cfRule>
  </conditionalFormatting>
  <conditionalFormatting sqref="M241:M242">
    <cfRule type="cellIs" dxfId="918" priority="2177" operator="between">
      <formula>0</formula>
      <formula>-100</formula>
    </cfRule>
    <cfRule type="cellIs" dxfId="917" priority="2178" operator="between">
      <formula>2</formula>
      <formula>100</formula>
    </cfRule>
    <cfRule type="cellIs" dxfId="916" priority="2179" operator="between">
      <formula>1</formula>
      <formula>2</formula>
    </cfRule>
    <cfRule type="cellIs" dxfId="915" priority="2180" operator="between">
      <formula>0</formula>
      <formula>1</formula>
    </cfRule>
  </conditionalFormatting>
  <conditionalFormatting sqref="M240">
    <cfRule type="cellIs" dxfId="914" priority="2181" operator="between">
      <formula>0</formula>
      <formula>-100</formula>
    </cfRule>
    <cfRule type="cellIs" dxfId="913" priority="2182" operator="between">
      <formula>2</formula>
      <formula>100</formula>
    </cfRule>
    <cfRule type="cellIs" dxfId="912" priority="2183" operator="between">
      <formula>1</formula>
      <formula>2</formula>
    </cfRule>
    <cfRule type="cellIs" dxfId="911" priority="2184" operator="between">
      <formula>0</formula>
      <formula>1</formula>
    </cfRule>
  </conditionalFormatting>
  <conditionalFormatting sqref="M247:M253">
    <cfRule type="cellIs" dxfId="910" priority="2173" operator="between">
      <formula>0</formula>
      <formula>-100</formula>
    </cfRule>
    <cfRule type="cellIs" dxfId="909" priority="2174" operator="between">
      <formula>2</formula>
      <formula>100</formula>
    </cfRule>
    <cfRule type="cellIs" dxfId="908" priority="2175" operator="between">
      <formula>1</formula>
      <formula>2</formula>
    </cfRule>
    <cfRule type="cellIs" dxfId="907" priority="2176" operator="between">
      <formula>0</formula>
      <formula>1</formula>
    </cfRule>
  </conditionalFormatting>
  <conditionalFormatting sqref="M255:M256">
    <cfRule type="cellIs" dxfId="906" priority="2165" operator="between">
      <formula>0</formula>
      <formula>-100</formula>
    </cfRule>
    <cfRule type="cellIs" dxfId="905" priority="2166" operator="between">
      <formula>2</formula>
      <formula>100</formula>
    </cfRule>
    <cfRule type="cellIs" dxfId="904" priority="2167" operator="between">
      <formula>1</formula>
      <formula>2</formula>
    </cfRule>
    <cfRule type="cellIs" dxfId="903" priority="2168" operator="between">
      <formula>0</formula>
      <formula>1</formula>
    </cfRule>
  </conditionalFormatting>
  <conditionalFormatting sqref="M254">
    <cfRule type="cellIs" dxfId="902" priority="2169" operator="between">
      <formula>0</formula>
      <formula>-100</formula>
    </cfRule>
    <cfRule type="cellIs" dxfId="901" priority="2170" operator="between">
      <formula>2</formula>
      <formula>100</formula>
    </cfRule>
    <cfRule type="cellIs" dxfId="900" priority="2171" operator="between">
      <formula>1</formula>
      <formula>2</formula>
    </cfRule>
    <cfRule type="cellIs" dxfId="899" priority="2172" operator="between">
      <formula>0</formula>
      <formula>1</formula>
    </cfRule>
  </conditionalFormatting>
  <conditionalFormatting sqref="M261:M267">
    <cfRule type="cellIs" dxfId="898" priority="2161" operator="between">
      <formula>0</formula>
      <formula>-100</formula>
    </cfRule>
    <cfRule type="cellIs" dxfId="897" priority="2162" operator="between">
      <formula>2</formula>
      <formula>100</formula>
    </cfRule>
    <cfRule type="cellIs" dxfId="896" priority="2163" operator="between">
      <formula>1</formula>
      <formula>2</formula>
    </cfRule>
    <cfRule type="cellIs" dxfId="895" priority="2164" operator="between">
      <formula>0</formula>
      <formula>1</formula>
    </cfRule>
  </conditionalFormatting>
  <conditionalFormatting sqref="M269:M270">
    <cfRule type="cellIs" dxfId="894" priority="2153" operator="between">
      <formula>0</formula>
      <formula>-100</formula>
    </cfRule>
    <cfRule type="cellIs" dxfId="893" priority="2154" operator="between">
      <formula>2</formula>
      <formula>100</formula>
    </cfRule>
    <cfRule type="cellIs" dxfId="892" priority="2155" operator="between">
      <formula>1</formula>
      <formula>2</formula>
    </cfRule>
    <cfRule type="cellIs" dxfId="891" priority="2156" operator="between">
      <formula>0</formula>
      <formula>1</formula>
    </cfRule>
  </conditionalFormatting>
  <conditionalFormatting sqref="M268">
    <cfRule type="cellIs" dxfId="890" priority="2157" operator="between">
      <formula>0</formula>
      <formula>-100</formula>
    </cfRule>
    <cfRule type="cellIs" dxfId="889" priority="2158" operator="between">
      <formula>2</formula>
      <formula>100</formula>
    </cfRule>
    <cfRule type="cellIs" dxfId="888" priority="2159" operator="between">
      <formula>1</formula>
      <formula>2</formula>
    </cfRule>
    <cfRule type="cellIs" dxfId="887" priority="2160" operator="between">
      <formula>0</formula>
      <formula>1</formula>
    </cfRule>
  </conditionalFormatting>
  <conditionalFormatting sqref="M275:M281">
    <cfRule type="cellIs" dxfId="886" priority="2149" operator="between">
      <formula>0</formula>
      <formula>-100</formula>
    </cfRule>
    <cfRule type="cellIs" dxfId="885" priority="2150" operator="between">
      <formula>2</formula>
      <formula>100</formula>
    </cfRule>
    <cfRule type="cellIs" dxfId="884" priority="2151" operator="between">
      <formula>1</formula>
      <formula>2</formula>
    </cfRule>
    <cfRule type="cellIs" dxfId="883" priority="2152" operator="between">
      <formula>0</formula>
      <formula>1</formula>
    </cfRule>
  </conditionalFormatting>
  <conditionalFormatting sqref="M283:M284">
    <cfRule type="cellIs" dxfId="882" priority="2141" operator="between">
      <formula>0</formula>
      <formula>-100</formula>
    </cfRule>
    <cfRule type="cellIs" dxfId="881" priority="2142" operator="between">
      <formula>2</formula>
      <formula>100</formula>
    </cfRule>
    <cfRule type="cellIs" dxfId="880" priority="2143" operator="between">
      <formula>1</formula>
      <formula>2</formula>
    </cfRule>
    <cfRule type="cellIs" dxfId="879" priority="2144" operator="between">
      <formula>0</formula>
      <formula>1</formula>
    </cfRule>
  </conditionalFormatting>
  <conditionalFormatting sqref="M282">
    <cfRule type="cellIs" dxfId="878" priority="2145" operator="between">
      <formula>0</formula>
      <formula>-100</formula>
    </cfRule>
    <cfRule type="cellIs" dxfId="877" priority="2146" operator="between">
      <formula>2</formula>
      <formula>100</formula>
    </cfRule>
    <cfRule type="cellIs" dxfId="876" priority="2147" operator="between">
      <formula>1</formula>
      <formula>2</formula>
    </cfRule>
    <cfRule type="cellIs" dxfId="875" priority="2148" operator="between">
      <formula>0</formula>
      <formula>1</formula>
    </cfRule>
  </conditionalFormatting>
  <conditionalFormatting sqref="M305:M311">
    <cfRule type="cellIs" dxfId="874" priority="2137" operator="between">
      <formula>0</formula>
      <formula>-100</formula>
    </cfRule>
    <cfRule type="cellIs" dxfId="873" priority="2138" operator="between">
      <formula>2</formula>
      <formula>100</formula>
    </cfRule>
    <cfRule type="cellIs" dxfId="872" priority="2139" operator="between">
      <formula>1</formula>
      <formula>2</formula>
    </cfRule>
    <cfRule type="cellIs" dxfId="871" priority="2140" operator="between">
      <formula>0</formula>
      <formula>1</formula>
    </cfRule>
  </conditionalFormatting>
  <conditionalFormatting sqref="M313:M314">
    <cfRule type="cellIs" dxfId="870" priority="2129" operator="between">
      <formula>0</formula>
      <formula>-100</formula>
    </cfRule>
    <cfRule type="cellIs" dxfId="869" priority="2130" operator="between">
      <formula>2</formula>
      <formula>100</formula>
    </cfRule>
    <cfRule type="cellIs" dxfId="868" priority="2131" operator="between">
      <formula>1</formula>
      <formula>2</formula>
    </cfRule>
    <cfRule type="cellIs" dxfId="867" priority="2132" operator="between">
      <formula>0</formula>
      <formula>1</formula>
    </cfRule>
  </conditionalFormatting>
  <conditionalFormatting sqref="M312">
    <cfRule type="cellIs" dxfId="866" priority="2133" operator="between">
      <formula>0</formula>
      <formula>-100</formula>
    </cfRule>
    <cfRule type="cellIs" dxfId="865" priority="2134" operator="between">
      <formula>2</formula>
      <formula>100</formula>
    </cfRule>
    <cfRule type="cellIs" dxfId="864" priority="2135" operator="between">
      <formula>1</formula>
      <formula>2</formula>
    </cfRule>
    <cfRule type="cellIs" dxfId="863" priority="2136" operator="between">
      <formula>0</formula>
      <formula>1</formula>
    </cfRule>
  </conditionalFormatting>
  <conditionalFormatting sqref="M319:M325">
    <cfRule type="cellIs" dxfId="862" priority="2125" operator="between">
      <formula>0</formula>
      <formula>-100</formula>
    </cfRule>
    <cfRule type="cellIs" dxfId="861" priority="2126" operator="between">
      <formula>2</formula>
      <formula>100</formula>
    </cfRule>
    <cfRule type="cellIs" dxfId="860" priority="2127" operator="between">
      <formula>1</formula>
      <formula>2</formula>
    </cfRule>
    <cfRule type="cellIs" dxfId="859" priority="2128" operator="between">
      <formula>0</formula>
      <formula>1</formula>
    </cfRule>
  </conditionalFormatting>
  <conditionalFormatting sqref="M327:M328">
    <cfRule type="cellIs" dxfId="858" priority="2117" operator="between">
      <formula>0</formula>
      <formula>-100</formula>
    </cfRule>
    <cfRule type="cellIs" dxfId="857" priority="2118" operator="between">
      <formula>2</formula>
      <formula>100</formula>
    </cfRule>
    <cfRule type="cellIs" dxfId="856" priority="2119" operator="between">
      <formula>1</formula>
      <formula>2</formula>
    </cfRule>
    <cfRule type="cellIs" dxfId="855" priority="2120" operator="between">
      <formula>0</formula>
      <formula>1</formula>
    </cfRule>
  </conditionalFormatting>
  <conditionalFormatting sqref="M326">
    <cfRule type="cellIs" dxfId="854" priority="2121" operator="between">
      <formula>0</formula>
      <formula>-100</formula>
    </cfRule>
    <cfRule type="cellIs" dxfId="853" priority="2122" operator="between">
      <formula>2</formula>
      <formula>100</formula>
    </cfRule>
    <cfRule type="cellIs" dxfId="852" priority="2123" operator="between">
      <formula>1</formula>
      <formula>2</formula>
    </cfRule>
    <cfRule type="cellIs" dxfId="851" priority="2124" operator="between">
      <formula>0</formula>
      <formula>1</formula>
    </cfRule>
  </conditionalFormatting>
  <conditionalFormatting sqref="M333:M339">
    <cfRule type="cellIs" dxfId="850" priority="2113" operator="between">
      <formula>0</formula>
      <formula>-100</formula>
    </cfRule>
    <cfRule type="cellIs" dxfId="849" priority="2114" operator="between">
      <formula>2</formula>
      <formula>100</formula>
    </cfRule>
    <cfRule type="cellIs" dxfId="848" priority="2115" operator="between">
      <formula>1</formula>
      <formula>2</formula>
    </cfRule>
    <cfRule type="cellIs" dxfId="847" priority="2116" operator="between">
      <formula>0</formula>
      <formula>1</formula>
    </cfRule>
  </conditionalFormatting>
  <conditionalFormatting sqref="M341:M342">
    <cfRule type="cellIs" dxfId="846" priority="2105" operator="between">
      <formula>0</formula>
      <formula>-100</formula>
    </cfRule>
    <cfRule type="cellIs" dxfId="845" priority="2106" operator="between">
      <formula>2</formula>
      <formula>100</formula>
    </cfRule>
    <cfRule type="cellIs" dxfId="844" priority="2107" operator="between">
      <formula>1</formula>
      <formula>2</formula>
    </cfRule>
    <cfRule type="cellIs" dxfId="843" priority="2108" operator="between">
      <formula>0</formula>
      <formula>1</formula>
    </cfRule>
  </conditionalFormatting>
  <conditionalFormatting sqref="M340">
    <cfRule type="cellIs" dxfId="842" priority="2109" operator="between">
      <formula>0</formula>
      <formula>-100</formula>
    </cfRule>
    <cfRule type="cellIs" dxfId="841" priority="2110" operator="between">
      <formula>2</formula>
      <formula>100</formula>
    </cfRule>
    <cfRule type="cellIs" dxfId="840" priority="2111" operator="between">
      <formula>1</formula>
      <formula>2</formula>
    </cfRule>
    <cfRule type="cellIs" dxfId="839" priority="2112" operator="between">
      <formula>0</formula>
      <formula>1</formula>
    </cfRule>
  </conditionalFormatting>
  <conditionalFormatting sqref="M347:M353">
    <cfRule type="cellIs" dxfId="838" priority="2101" operator="between">
      <formula>0</formula>
      <formula>-100</formula>
    </cfRule>
    <cfRule type="cellIs" dxfId="837" priority="2102" operator="between">
      <formula>2</formula>
      <formula>100</formula>
    </cfRule>
    <cfRule type="cellIs" dxfId="836" priority="2103" operator="between">
      <formula>1</formula>
      <formula>2</formula>
    </cfRule>
    <cfRule type="cellIs" dxfId="835" priority="2104" operator="between">
      <formula>0</formula>
      <formula>1</formula>
    </cfRule>
  </conditionalFormatting>
  <conditionalFormatting sqref="M355:M356">
    <cfRule type="cellIs" dxfId="834" priority="2093" operator="between">
      <formula>0</formula>
      <formula>-100</formula>
    </cfRule>
    <cfRule type="cellIs" dxfId="833" priority="2094" operator="between">
      <formula>2</formula>
      <formula>100</formula>
    </cfRule>
    <cfRule type="cellIs" dxfId="832" priority="2095" operator="between">
      <formula>1</formula>
      <formula>2</formula>
    </cfRule>
    <cfRule type="cellIs" dxfId="831" priority="2096" operator="between">
      <formula>0</formula>
      <formula>1</formula>
    </cfRule>
  </conditionalFormatting>
  <conditionalFormatting sqref="M354">
    <cfRule type="cellIs" dxfId="830" priority="2097" operator="between">
      <formula>0</formula>
      <formula>-100</formula>
    </cfRule>
    <cfRule type="cellIs" dxfId="829" priority="2098" operator="between">
      <formula>2</formula>
      <formula>100</formula>
    </cfRule>
    <cfRule type="cellIs" dxfId="828" priority="2099" operator="between">
      <formula>1</formula>
      <formula>2</formula>
    </cfRule>
    <cfRule type="cellIs" dxfId="827" priority="2100" operator="between">
      <formula>0</formula>
      <formula>1</formula>
    </cfRule>
  </conditionalFormatting>
  <conditionalFormatting sqref="M361:M367">
    <cfRule type="cellIs" dxfId="826" priority="2089" operator="between">
      <formula>0</formula>
      <formula>-100</formula>
    </cfRule>
    <cfRule type="cellIs" dxfId="825" priority="2090" operator="between">
      <formula>2</formula>
      <formula>100</formula>
    </cfRule>
    <cfRule type="cellIs" dxfId="824" priority="2091" operator="between">
      <formula>1</formula>
      <formula>2</formula>
    </cfRule>
    <cfRule type="cellIs" dxfId="823" priority="2092" operator="between">
      <formula>0</formula>
      <formula>1</formula>
    </cfRule>
  </conditionalFormatting>
  <conditionalFormatting sqref="M369:M370">
    <cfRule type="cellIs" dxfId="822" priority="2081" operator="between">
      <formula>0</formula>
      <formula>-100</formula>
    </cfRule>
    <cfRule type="cellIs" dxfId="821" priority="2082" operator="between">
      <formula>2</formula>
      <formula>100</formula>
    </cfRule>
    <cfRule type="cellIs" dxfId="820" priority="2083" operator="between">
      <formula>1</formula>
      <formula>2</formula>
    </cfRule>
    <cfRule type="cellIs" dxfId="819" priority="2084" operator="between">
      <formula>0</formula>
      <formula>1</formula>
    </cfRule>
  </conditionalFormatting>
  <conditionalFormatting sqref="M368">
    <cfRule type="cellIs" dxfId="818" priority="2085" operator="between">
      <formula>0</formula>
      <formula>-100</formula>
    </cfRule>
    <cfRule type="cellIs" dxfId="817" priority="2086" operator="between">
      <formula>2</formula>
      <formula>100</formula>
    </cfRule>
    <cfRule type="cellIs" dxfId="816" priority="2087" operator="between">
      <formula>1</formula>
      <formula>2</formula>
    </cfRule>
    <cfRule type="cellIs" dxfId="815" priority="2088" operator="between">
      <formula>0</formula>
      <formula>1</formula>
    </cfRule>
  </conditionalFormatting>
  <conditionalFormatting sqref="M375:M381">
    <cfRule type="cellIs" dxfId="814" priority="2077" operator="between">
      <formula>0</formula>
      <formula>-100</formula>
    </cfRule>
    <cfRule type="cellIs" dxfId="813" priority="2078" operator="between">
      <formula>2</formula>
      <formula>100</formula>
    </cfRule>
    <cfRule type="cellIs" dxfId="812" priority="2079" operator="between">
      <formula>1</formula>
      <formula>2</formula>
    </cfRule>
    <cfRule type="cellIs" dxfId="811" priority="2080" operator="between">
      <formula>0</formula>
      <formula>1</formula>
    </cfRule>
  </conditionalFormatting>
  <conditionalFormatting sqref="M383:M384">
    <cfRule type="cellIs" dxfId="810" priority="2069" operator="between">
      <formula>0</formula>
      <formula>-100</formula>
    </cfRule>
    <cfRule type="cellIs" dxfId="809" priority="2070" operator="between">
      <formula>2</formula>
      <formula>100</formula>
    </cfRule>
    <cfRule type="cellIs" dxfId="808" priority="2071" operator="between">
      <formula>1</formula>
      <formula>2</formula>
    </cfRule>
    <cfRule type="cellIs" dxfId="807" priority="2072" operator="between">
      <formula>0</formula>
      <formula>1</formula>
    </cfRule>
  </conditionalFormatting>
  <conditionalFormatting sqref="M382">
    <cfRule type="cellIs" dxfId="806" priority="2073" operator="between">
      <formula>0</formula>
      <formula>-100</formula>
    </cfRule>
    <cfRule type="cellIs" dxfId="805" priority="2074" operator="between">
      <formula>2</formula>
      <formula>100</formula>
    </cfRule>
    <cfRule type="cellIs" dxfId="804" priority="2075" operator="between">
      <formula>1</formula>
      <formula>2</formula>
    </cfRule>
    <cfRule type="cellIs" dxfId="803" priority="2076" operator="between">
      <formula>0</formula>
      <formula>1</formula>
    </cfRule>
  </conditionalFormatting>
  <conditionalFormatting sqref="M389:M395">
    <cfRule type="cellIs" dxfId="802" priority="2065" operator="between">
      <formula>0</formula>
      <formula>-100</formula>
    </cfRule>
    <cfRule type="cellIs" dxfId="801" priority="2066" operator="between">
      <formula>2</formula>
      <formula>100</formula>
    </cfRule>
    <cfRule type="cellIs" dxfId="800" priority="2067" operator="between">
      <formula>1</formula>
      <formula>2</formula>
    </cfRule>
    <cfRule type="cellIs" dxfId="799" priority="2068" operator="between">
      <formula>0</formula>
      <formula>1</formula>
    </cfRule>
  </conditionalFormatting>
  <conditionalFormatting sqref="M397:M398">
    <cfRule type="cellIs" dxfId="798" priority="2057" operator="between">
      <formula>0</formula>
      <formula>-100</formula>
    </cfRule>
    <cfRule type="cellIs" dxfId="797" priority="2058" operator="between">
      <formula>2</formula>
      <formula>100</formula>
    </cfRule>
    <cfRule type="cellIs" dxfId="796" priority="2059" operator="between">
      <formula>1</formula>
      <formula>2</formula>
    </cfRule>
    <cfRule type="cellIs" dxfId="795" priority="2060" operator="between">
      <formula>0</formula>
      <formula>1</formula>
    </cfRule>
  </conditionalFormatting>
  <conditionalFormatting sqref="M396">
    <cfRule type="cellIs" dxfId="794" priority="2061" operator="between">
      <formula>0</formula>
      <formula>-100</formula>
    </cfRule>
    <cfRule type="cellIs" dxfId="793" priority="2062" operator="between">
      <formula>2</formula>
      <formula>100</formula>
    </cfRule>
    <cfRule type="cellIs" dxfId="792" priority="2063" operator="between">
      <formula>1</formula>
      <formula>2</formula>
    </cfRule>
    <cfRule type="cellIs" dxfId="791" priority="2064" operator="between">
      <formula>0</formula>
      <formula>1</formula>
    </cfRule>
  </conditionalFormatting>
  <conditionalFormatting sqref="M403:M409">
    <cfRule type="cellIs" dxfId="790" priority="2053" operator="between">
      <formula>0</formula>
      <formula>-100</formula>
    </cfRule>
    <cfRule type="cellIs" dxfId="789" priority="2054" operator="between">
      <formula>2</formula>
      <formula>100</formula>
    </cfRule>
    <cfRule type="cellIs" dxfId="788" priority="2055" operator="between">
      <formula>1</formula>
      <formula>2</formula>
    </cfRule>
    <cfRule type="cellIs" dxfId="787" priority="2056" operator="between">
      <formula>0</formula>
      <formula>1</formula>
    </cfRule>
  </conditionalFormatting>
  <conditionalFormatting sqref="M411:M412">
    <cfRule type="cellIs" dxfId="786" priority="2045" operator="between">
      <formula>0</formula>
      <formula>-100</formula>
    </cfRule>
    <cfRule type="cellIs" dxfId="785" priority="2046" operator="between">
      <formula>2</formula>
      <formula>100</formula>
    </cfRule>
    <cfRule type="cellIs" dxfId="784" priority="2047" operator="between">
      <formula>1</formula>
      <formula>2</formula>
    </cfRule>
    <cfRule type="cellIs" dxfId="783" priority="2048" operator="between">
      <formula>0</formula>
      <formula>1</formula>
    </cfRule>
  </conditionalFormatting>
  <conditionalFormatting sqref="M410">
    <cfRule type="cellIs" dxfId="782" priority="2049" operator="between">
      <formula>0</formula>
      <formula>-100</formula>
    </cfRule>
    <cfRule type="cellIs" dxfId="781" priority="2050" operator="between">
      <formula>2</formula>
      <formula>100</formula>
    </cfRule>
    <cfRule type="cellIs" dxfId="780" priority="2051" operator="between">
      <formula>1</formula>
      <formula>2</formula>
    </cfRule>
    <cfRule type="cellIs" dxfId="779" priority="2052" operator="between">
      <formula>0</formula>
      <formula>1</formula>
    </cfRule>
  </conditionalFormatting>
  <conditionalFormatting sqref="M417:M423">
    <cfRule type="cellIs" dxfId="778" priority="2041" operator="between">
      <formula>0</formula>
      <formula>-100</formula>
    </cfRule>
    <cfRule type="cellIs" dxfId="777" priority="2042" operator="between">
      <formula>2</formula>
      <formula>100</formula>
    </cfRule>
    <cfRule type="cellIs" dxfId="776" priority="2043" operator="between">
      <formula>1</formula>
      <formula>2</formula>
    </cfRule>
    <cfRule type="cellIs" dxfId="775" priority="2044" operator="between">
      <formula>0</formula>
      <formula>1</formula>
    </cfRule>
  </conditionalFormatting>
  <conditionalFormatting sqref="M425:M426">
    <cfRule type="cellIs" dxfId="774" priority="2033" operator="between">
      <formula>0</formula>
      <formula>-100</formula>
    </cfRule>
    <cfRule type="cellIs" dxfId="773" priority="2034" operator="between">
      <formula>2</formula>
      <formula>100</formula>
    </cfRule>
    <cfRule type="cellIs" dxfId="772" priority="2035" operator="between">
      <formula>1</formula>
      <formula>2</formula>
    </cfRule>
    <cfRule type="cellIs" dxfId="771" priority="2036" operator="between">
      <formula>0</formula>
      <formula>1</formula>
    </cfRule>
  </conditionalFormatting>
  <conditionalFormatting sqref="M424">
    <cfRule type="cellIs" dxfId="770" priority="2037" operator="between">
      <formula>0</formula>
      <formula>-100</formula>
    </cfRule>
    <cfRule type="cellIs" dxfId="769" priority="2038" operator="between">
      <formula>2</formula>
      <formula>100</formula>
    </cfRule>
    <cfRule type="cellIs" dxfId="768" priority="2039" operator="between">
      <formula>1</formula>
      <formula>2</formula>
    </cfRule>
    <cfRule type="cellIs" dxfId="767" priority="2040" operator="between">
      <formula>0</formula>
      <formula>1</formula>
    </cfRule>
  </conditionalFormatting>
  <conditionalFormatting sqref="M431:M437">
    <cfRule type="cellIs" dxfId="766" priority="2029" operator="between">
      <formula>0</formula>
      <formula>-100</formula>
    </cfRule>
    <cfRule type="cellIs" dxfId="765" priority="2030" operator="between">
      <formula>2</formula>
      <formula>100</formula>
    </cfRule>
    <cfRule type="cellIs" dxfId="764" priority="2031" operator="between">
      <formula>1</formula>
      <formula>2</formula>
    </cfRule>
    <cfRule type="cellIs" dxfId="763" priority="2032" operator="between">
      <formula>0</formula>
      <formula>1</formula>
    </cfRule>
  </conditionalFormatting>
  <conditionalFormatting sqref="M439:M440">
    <cfRule type="cellIs" dxfId="762" priority="2021" operator="between">
      <formula>0</formula>
      <formula>-100</formula>
    </cfRule>
    <cfRule type="cellIs" dxfId="761" priority="2022" operator="between">
      <formula>2</formula>
      <formula>100</formula>
    </cfRule>
    <cfRule type="cellIs" dxfId="760" priority="2023" operator="between">
      <formula>1</formula>
      <formula>2</formula>
    </cfRule>
    <cfRule type="cellIs" dxfId="759" priority="2024" operator="between">
      <formula>0</formula>
      <formula>1</formula>
    </cfRule>
  </conditionalFormatting>
  <conditionalFormatting sqref="M438">
    <cfRule type="cellIs" dxfId="758" priority="2025" operator="between">
      <formula>0</formula>
      <formula>-100</formula>
    </cfRule>
    <cfRule type="cellIs" dxfId="757" priority="2026" operator="between">
      <formula>2</formula>
      <formula>100</formula>
    </cfRule>
    <cfRule type="cellIs" dxfId="756" priority="2027" operator="between">
      <formula>1</formula>
      <formula>2</formula>
    </cfRule>
    <cfRule type="cellIs" dxfId="755" priority="2028" operator="between">
      <formula>0</formula>
      <formula>1</formula>
    </cfRule>
  </conditionalFormatting>
  <conditionalFormatting sqref="M461:M467">
    <cfRule type="cellIs" dxfId="754" priority="2017" operator="between">
      <formula>0</formula>
      <formula>-100</formula>
    </cfRule>
    <cfRule type="cellIs" dxfId="753" priority="2018" operator="between">
      <formula>2</formula>
      <formula>100</formula>
    </cfRule>
    <cfRule type="cellIs" dxfId="752" priority="2019" operator="between">
      <formula>1</formula>
      <formula>2</formula>
    </cfRule>
    <cfRule type="cellIs" dxfId="751" priority="2020" operator="between">
      <formula>0</formula>
      <formula>1</formula>
    </cfRule>
  </conditionalFormatting>
  <conditionalFormatting sqref="M469:M470">
    <cfRule type="cellIs" dxfId="750" priority="2009" operator="between">
      <formula>0</formula>
      <formula>-100</formula>
    </cfRule>
    <cfRule type="cellIs" dxfId="749" priority="2010" operator="between">
      <formula>2</formula>
      <formula>100</formula>
    </cfRule>
    <cfRule type="cellIs" dxfId="748" priority="2011" operator="between">
      <formula>1</formula>
      <formula>2</formula>
    </cfRule>
    <cfRule type="cellIs" dxfId="747" priority="2012" operator="between">
      <formula>0</formula>
      <formula>1</formula>
    </cfRule>
  </conditionalFormatting>
  <conditionalFormatting sqref="M468">
    <cfRule type="cellIs" dxfId="746" priority="2013" operator="between">
      <formula>0</formula>
      <formula>-100</formula>
    </cfRule>
    <cfRule type="cellIs" dxfId="745" priority="2014" operator="between">
      <formula>2</formula>
      <formula>100</formula>
    </cfRule>
    <cfRule type="cellIs" dxfId="744" priority="2015" operator="between">
      <formula>1</formula>
      <formula>2</formula>
    </cfRule>
    <cfRule type="cellIs" dxfId="743" priority="2016" operator="between">
      <formula>0</formula>
      <formula>1</formula>
    </cfRule>
  </conditionalFormatting>
  <conditionalFormatting sqref="M475:M481">
    <cfRule type="cellIs" dxfId="742" priority="2005" operator="between">
      <formula>0</formula>
      <formula>-100</formula>
    </cfRule>
    <cfRule type="cellIs" dxfId="741" priority="2006" operator="between">
      <formula>2</formula>
      <formula>100</formula>
    </cfRule>
    <cfRule type="cellIs" dxfId="740" priority="2007" operator="between">
      <formula>1</formula>
      <formula>2</formula>
    </cfRule>
    <cfRule type="cellIs" dxfId="739" priority="2008" operator="between">
      <formula>0</formula>
      <formula>1</formula>
    </cfRule>
  </conditionalFormatting>
  <conditionalFormatting sqref="M483:M484">
    <cfRule type="cellIs" dxfId="738" priority="1997" operator="between">
      <formula>0</formula>
      <formula>-100</formula>
    </cfRule>
    <cfRule type="cellIs" dxfId="737" priority="1998" operator="between">
      <formula>2</formula>
      <formula>100</formula>
    </cfRule>
    <cfRule type="cellIs" dxfId="736" priority="1999" operator="between">
      <formula>1</formula>
      <formula>2</formula>
    </cfRule>
    <cfRule type="cellIs" dxfId="735" priority="2000" operator="between">
      <formula>0</formula>
      <formula>1</formula>
    </cfRule>
  </conditionalFormatting>
  <conditionalFormatting sqref="M482">
    <cfRule type="cellIs" dxfId="734" priority="2001" operator="between">
      <formula>0</formula>
      <formula>-100</formula>
    </cfRule>
    <cfRule type="cellIs" dxfId="733" priority="2002" operator="between">
      <formula>2</formula>
      <formula>100</formula>
    </cfRule>
    <cfRule type="cellIs" dxfId="732" priority="2003" operator="between">
      <formula>1</formula>
      <formula>2</formula>
    </cfRule>
    <cfRule type="cellIs" dxfId="731" priority="2004" operator="between">
      <formula>0</formula>
      <formula>1</formula>
    </cfRule>
  </conditionalFormatting>
  <conditionalFormatting sqref="M489:M495">
    <cfRule type="cellIs" dxfId="730" priority="1993" operator="between">
      <formula>0</formula>
      <formula>-100</formula>
    </cfRule>
    <cfRule type="cellIs" dxfId="729" priority="1994" operator="between">
      <formula>2</formula>
      <formula>100</formula>
    </cfRule>
    <cfRule type="cellIs" dxfId="728" priority="1995" operator="between">
      <formula>1</formula>
      <formula>2</formula>
    </cfRule>
    <cfRule type="cellIs" dxfId="727" priority="1996" operator="between">
      <formula>0</formula>
      <formula>1</formula>
    </cfRule>
  </conditionalFormatting>
  <conditionalFormatting sqref="M497:M498">
    <cfRule type="cellIs" dxfId="726" priority="1985" operator="between">
      <formula>0</formula>
      <formula>-100</formula>
    </cfRule>
    <cfRule type="cellIs" dxfId="725" priority="1986" operator="between">
      <formula>2</formula>
      <formula>100</formula>
    </cfRule>
    <cfRule type="cellIs" dxfId="724" priority="1987" operator="between">
      <formula>1</formula>
      <formula>2</formula>
    </cfRule>
    <cfRule type="cellIs" dxfId="723" priority="1988" operator="between">
      <formula>0</formula>
      <formula>1</formula>
    </cfRule>
  </conditionalFormatting>
  <conditionalFormatting sqref="M496">
    <cfRule type="cellIs" dxfId="722" priority="1989" operator="between">
      <formula>0</formula>
      <formula>-100</formula>
    </cfRule>
    <cfRule type="cellIs" dxfId="721" priority="1990" operator="between">
      <formula>2</formula>
      <formula>100</formula>
    </cfRule>
    <cfRule type="cellIs" dxfId="720" priority="1991" operator="between">
      <formula>1</formula>
      <formula>2</formula>
    </cfRule>
    <cfRule type="cellIs" dxfId="719" priority="1992" operator="between">
      <formula>0</formula>
      <formula>1</formula>
    </cfRule>
  </conditionalFormatting>
  <conditionalFormatting sqref="M503:M509">
    <cfRule type="cellIs" dxfId="718" priority="1981" operator="between">
      <formula>0</formula>
      <formula>-100</formula>
    </cfRule>
    <cfRule type="cellIs" dxfId="717" priority="1982" operator="between">
      <formula>2</formula>
      <formula>100</formula>
    </cfRule>
    <cfRule type="cellIs" dxfId="716" priority="1983" operator="between">
      <formula>1</formula>
      <formula>2</formula>
    </cfRule>
    <cfRule type="cellIs" dxfId="715" priority="1984" operator="between">
      <formula>0</formula>
      <formula>1</formula>
    </cfRule>
  </conditionalFormatting>
  <conditionalFormatting sqref="M511:M512">
    <cfRule type="cellIs" dxfId="714" priority="1973" operator="between">
      <formula>0</formula>
      <formula>-100</formula>
    </cfRule>
    <cfRule type="cellIs" dxfId="713" priority="1974" operator="between">
      <formula>2</formula>
      <formula>100</formula>
    </cfRule>
    <cfRule type="cellIs" dxfId="712" priority="1975" operator="between">
      <formula>1</formula>
      <formula>2</formula>
    </cfRule>
    <cfRule type="cellIs" dxfId="711" priority="1976" operator="between">
      <formula>0</formula>
      <formula>1</formula>
    </cfRule>
  </conditionalFormatting>
  <conditionalFormatting sqref="M510">
    <cfRule type="cellIs" dxfId="710" priority="1977" operator="between">
      <formula>0</formula>
      <formula>-100</formula>
    </cfRule>
    <cfRule type="cellIs" dxfId="709" priority="1978" operator="between">
      <formula>2</formula>
      <formula>100</formula>
    </cfRule>
    <cfRule type="cellIs" dxfId="708" priority="1979" operator="between">
      <formula>1</formula>
      <formula>2</formula>
    </cfRule>
    <cfRule type="cellIs" dxfId="707" priority="1980" operator="between">
      <formula>0</formula>
      <formula>1</formula>
    </cfRule>
  </conditionalFormatting>
  <conditionalFormatting sqref="M517:M523">
    <cfRule type="cellIs" dxfId="706" priority="1969" operator="between">
      <formula>0</formula>
      <formula>-100</formula>
    </cfRule>
    <cfRule type="cellIs" dxfId="705" priority="1970" operator="between">
      <formula>2</formula>
      <formula>100</formula>
    </cfRule>
    <cfRule type="cellIs" dxfId="704" priority="1971" operator="between">
      <formula>1</formula>
      <formula>2</formula>
    </cfRule>
    <cfRule type="cellIs" dxfId="703" priority="1972" operator="between">
      <formula>0</formula>
      <formula>1</formula>
    </cfRule>
  </conditionalFormatting>
  <conditionalFormatting sqref="M525:M526">
    <cfRule type="cellIs" dxfId="702" priority="1961" operator="between">
      <formula>0</formula>
      <formula>-100</formula>
    </cfRule>
    <cfRule type="cellIs" dxfId="701" priority="1962" operator="between">
      <formula>2</formula>
      <formula>100</formula>
    </cfRule>
    <cfRule type="cellIs" dxfId="700" priority="1963" operator="between">
      <formula>1</formula>
      <formula>2</formula>
    </cfRule>
    <cfRule type="cellIs" dxfId="699" priority="1964" operator="between">
      <formula>0</formula>
      <formula>1</formula>
    </cfRule>
  </conditionalFormatting>
  <conditionalFormatting sqref="M524">
    <cfRule type="cellIs" dxfId="698" priority="1965" operator="between">
      <formula>0</formula>
      <formula>-100</formula>
    </cfRule>
    <cfRule type="cellIs" dxfId="697" priority="1966" operator="between">
      <formula>2</formula>
      <formula>100</formula>
    </cfRule>
    <cfRule type="cellIs" dxfId="696" priority="1967" operator="between">
      <formula>1</formula>
      <formula>2</formula>
    </cfRule>
    <cfRule type="cellIs" dxfId="695" priority="1968" operator="between">
      <formula>0</formula>
      <formula>1</formula>
    </cfRule>
  </conditionalFormatting>
  <conditionalFormatting sqref="M531:M537">
    <cfRule type="cellIs" dxfId="694" priority="1957" operator="between">
      <formula>0</formula>
      <formula>-100</formula>
    </cfRule>
    <cfRule type="cellIs" dxfId="693" priority="1958" operator="between">
      <formula>2</formula>
      <formula>100</formula>
    </cfRule>
    <cfRule type="cellIs" dxfId="692" priority="1959" operator="between">
      <formula>1</formula>
      <formula>2</formula>
    </cfRule>
    <cfRule type="cellIs" dxfId="691" priority="1960" operator="between">
      <formula>0</formula>
      <formula>1</formula>
    </cfRule>
  </conditionalFormatting>
  <conditionalFormatting sqref="M539:M540">
    <cfRule type="cellIs" dxfId="690" priority="1949" operator="between">
      <formula>0</formula>
      <formula>-100</formula>
    </cfRule>
    <cfRule type="cellIs" dxfId="689" priority="1950" operator="between">
      <formula>2</formula>
      <formula>100</formula>
    </cfRule>
    <cfRule type="cellIs" dxfId="688" priority="1951" operator="between">
      <formula>1</formula>
      <formula>2</formula>
    </cfRule>
    <cfRule type="cellIs" dxfId="687" priority="1952" operator="between">
      <formula>0</formula>
      <formula>1</formula>
    </cfRule>
  </conditionalFormatting>
  <conditionalFormatting sqref="M538">
    <cfRule type="cellIs" dxfId="686" priority="1953" operator="between">
      <formula>0</formula>
      <formula>-100</formula>
    </cfRule>
    <cfRule type="cellIs" dxfId="685" priority="1954" operator="between">
      <formula>2</formula>
      <formula>100</formula>
    </cfRule>
    <cfRule type="cellIs" dxfId="684" priority="1955" operator="between">
      <formula>1</formula>
      <formula>2</formula>
    </cfRule>
    <cfRule type="cellIs" dxfId="683" priority="1956" operator="between">
      <formula>0</formula>
      <formula>1</formula>
    </cfRule>
  </conditionalFormatting>
  <conditionalFormatting sqref="M545:M551">
    <cfRule type="cellIs" dxfId="682" priority="1945" operator="between">
      <formula>0</formula>
      <formula>-100</formula>
    </cfRule>
    <cfRule type="cellIs" dxfId="681" priority="1946" operator="between">
      <formula>2</formula>
      <formula>100</formula>
    </cfRule>
    <cfRule type="cellIs" dxfId="680" priority="1947" operator="between">
      <formula>1</formula>
      <formula>2</formula>
    </cfRule>
    <cfRule type="cellIs" dxfId="679" priority="1948" operator="between">
      <formula>0</formula>
      <formula>1</formula>
    </cfRule>
  </conditionalFormatting>
  <conditionalFormatting sqref="M553:M554">
    <cfRule type="cellIs" dxfId="678" priority="1937" operator="between">
      <formula>0</formula>
      <formula>-100</formula>
    </cfRule>
    <cfRule type="cellIs" dxfId="677" priority="1938" operator="between">
      <formula>2</formula>
      <formula>100</formula>
    </cfRule>
    <cfRule type="cellIs" dxfId="676" priority="1939" operator="between">
      <formula>1</formula>
      <formula>2</formula>
    </cfRule>
    <cfRule type="cellIs" dxfId="675" priority="1940" operator="between">
      <formula>0</formula>
      <formula>1</formula>
    </cfRule>
  </conditionalFormatting>
  <conditionalFormatting sqref="M552">
    <cfRule type="cellIs" dxfId="674" priority="1941" operator="between">
      <formula>0</formula>
      <formula>-100</formula>
    </cfRule>
    <cfRule type="cellIs" dxfId="673" priority="1942" operator="between">
      <formula>2</formula>
      <formula>100</formula>
    </cfRule>
    <cfRule type="cellIs" dxfId="672" priority="1943" operator="between">
      <formula>1</formula>
      <formula>2</formula>
    </cfRule>
    <cfRule type="cellIs" dxfId="671" priority="1944" operator="between">
      <formula>0</formula>
      <formula>1</formula>
    </cfRule>
  </conditionalFormatting>
  <conditionalFormatting sqref="M559:M565">
    <cfRule type="cellIs" dxfId="670" priority="1933" operator="between">
      <formula>0</formula>
      <formula>-100</formula>
    </cfRule>
    <cfRule type="cellIs" dxfId="669" priority="1934" operator="between">
      <formula>2</formula>
      <formula>100</formula>
    </cfRule>
    <cfRule type="cellIs" dxfId="668" priority="1935" operator="between">
      <formula>1</formula>
      <formula>2</formula>
    </cfRule>
    <cfRule type="cellIs" dxfId="667" priority="1936" operator="between">
      <formula>0</formula>
      <formula>1</formula>
    </cfRule>
  </conditionalFormatting>
  <conditionalFormatting sqref="M567:M568">
    <cfRule type="cellIs" dxfId="666" priority="1925" operator="between">
      <formula>0</formula>
      <formula>-100</formula>
    </cfRule>
    <cfRule type="cellIs" dxfId="665" priority="1926" operator="between">
      <formula>2</formula>
      <formula>100</formula>
    </cfRule>
    <cfRule type="cellIs" dxfId="664" priority="1927" operator="between">
      <formula>1</formula>
      <formula>2</formula>
    </cfRule>
    <cfRule type="cellIs" dxfId="663" priority="1928" operator="between">
      <formula>0</formula>
      <formula>1</formula>
    </cfRule>
  </conditionalFormatting>
  <conditionalFormatting sqref="M566">
    <cfRule type="cellIs" dxfId="662" priority="1929" operator="between">
      <formula>0</formula>
      <formula>-100</formula>
    </cfRule>
    <cfRule type="cellIs" dxfId="661" priority="1930" operator="between">
      <formula>2</formula>
      <formula>100</formula>
    </cfRule>
    <cfRule type="cellIs" dxfId="660" priority="1931" operator="between">
      <formula>1</formula>
      <formula>2</formula>
    </cfRule>
    <cfRule type="cellIs" dxfId="659" priority="1932" operator="between">
      <formula>0</formula>
      <formula>1</formula>
    </cfRule>
  </conditionalFormatting>
  <conditionalFormatting sqref="M573:M579">
    <cfRule type="cellIs" dxfId="658" priority="1921" operator="between">
      <formula>0</formula>
      <formula>-100</formula>
    </cfRule>
    <cfRule type="cellIs" dxfId="657" priority="1922" operator="between">
      <formula>2</formula>
      <formula>100</formula>
    </cfRule>
    <cfRule type="cellIs" dxfId="656" priority="1923" operator="between">
      <formula>1</formula>
      <formula>2</formula>
    </cfRule>
    <cfRule type="cellIs" dxfId="655" priority="1924" operator="between">
      <formula>0</formula>
      <formula>1</formula>
    </cfRule>
  </conditionalFormatting>
  <conditionalFormatting sqref="M581:M582">
    <cfRule type="cellIs" dxfId="654" priority="1913" operator="between">
      <formula>0</formula>
      <formula>-100</formula>
    </cfRule>
    <cfRule type="cellIs" dxfId="653" priority="1914" operator="between">
      <formula>2</formula>
      <formula>100</formula>
    </cfRule>
    <cfRule type="cellIs" dxfId="652" priority="1915" operator="between">
      <formula>1</formula>
      <formula>2</formula>
    </cfRule>
    <cfRule type="cellIs" dxfId="651" priority="1916" operator="between">
      <formula>0</formula>
      <formula>1</formula>
    </cfRule>
  </conditionalFormatting>
  <conditionalFormatting sqref="M580">
    <cfRule type="cellIs" dxfId="650" priority="1917" operator="between">
      <formula>0</formula>
      <formula>-100</formula>
    </cfRule>
    <cfRule type="cellIs" dxfId="649" priority="1918" operator="between">
      <formula>2</formula>
      <formula>100</formula>
    </cfRule>
    <cfRule type="cellIs" dxfId="648" priority="1919" operator="between">
      <formula>1</formula>
      <formula>2</formula>
    </cfRule>
    <cfRule type="cellIs" dxfId="647" priority="1920" operator="between">
      <formula>0</formula>
      <formula>1</formula>
    </cfRule>
  </conditionalFormatting>
  <conditionalFormatting sqref="M587:M593">
    <cfRule type="cellIs" dxfId="646" priority="1909" operator="between">
      <formula>0</formula>
      <formula>-100</formula>
    </cfRule>
    <cfRule type="cellIs" dxfId="645" priority="1910" operator="between">
      <formula>2</formula>
      <formula>100</formula>
    </cfRule>
    <cfRule type="cellIs" dxfId="644" priority="1911" operator="between">
      <formula>1</formula>
      <formula>2</formula>
    </cfRule>
    <cfRule type="cellIs" dxfId="643" priority="1912" operator="between">
      <formula>0</formula>
      <formula>1</formula>
    </cfRule>
  </conditionalFormatting>
  <conditionalFormatting sqref="M595:M596">
    <cfRule type="cellIs" dxfId="642" priority="1901" operator="between">
      <formula>0</formula>
      <formula>-100</formula>
    </cfRule>
    <cfRule type="cellIs" dxfId="641" priority="1902" operator="between">
      <formula>2</formula>
      <formula>100</formula>
    </cfRule>
    <cfRule type="cellIs" dxfId="640" priority="1903" operator="between">
      <formula>1</formula>
      <formula>2</formula>
    </cfRule>
    <cfRule type="cellIs" dxfId="639" priority="1904" operator="between">
      <formula>0</formula>
      <formula>1</formula>
    </cfRule>
  </conditionalFormatting>
  <conditionalFormatting sqref="M594">
    <cfRule type="cellIs" dxfId="638" priority="1905" operator="between">
      <formula>0</formula>
      <formula>-100</formula>
    </cfRule>
    <cfRule type="cellIs" dxfId="637" priority="1906" operator="between">
      <formula>2</formula>
      <formula>100</formula>
    </cfRule>
    <cfRule type="cellIs" dxfId="636" priority="1907" operator="between">
      <formula>1</formula>
      <formula>2</formula>
    </cfRule>
    <cfRule type="cellIs" dxfId="635" priority="1908" operator="between">
      <formula>0</formula>
      <formula>1</formula>
    </cfRule>
  </conditionalFormatting>
  <conditionalFormatting sqref="D163 D396:D398">
    <cfRule type="expression" priority="1899">
      <formula>_xlfn.IFS(K163="",TRUE)</formula>
    </cfRule>
    <cfRule type="expression" dxfId="634" priority="1900">
      <formula>_xlfn.IFS(K163="T1",TRUE)</formula>
    </cfRule>
  </conditionalFormatting>
  <conditionalFormatting sqref="E163 E396:E398">
    <cfRule type="expression" priority="1897">
      <formula>_xlfn.IFS(L163="",TRUE)</formula>
    </cfRule>
    <cfRule type="expression" dxfId="633" priority="1898">
      <formula>_xlfn.IFS(K163="T2",TRUE)</formula>
    </cfRule>
  </conditionalFormatting>
  <conditionalFormatting sqref="D164:D172">
    <cfRule type="expression" priority="1895">
      <formula>_xlfn.IFS(K164="",TRUE)</formula>
    </cfRule>
    <cfRule type="expression" dxfId="632" priority="1896">
      <formula>_xlfn.IFS(K164="T1",TRUE)</formula>
    </cfRule>
  </conditionalFormatting>
  <conditionalFormatting sqref="E164:E172">
    <cfRule type="expression" priority="1893">
      <formula>_xlfn.IFS(L164="",TRUE)</formula>
    </cfRule>
    <cfRule type="expression" dxfId="631" priority="1894">
      <formula>_xlfn.IFS(K164="T2",TRUE)</formula>
    </cfRule>
  </conditionalFormatting>
  <conditionalFormatting sqref="D177">
    <cfRule type="expression" priority="1891">
      <formula>_xlfn.IFS(K177="",TRUE)</formula>
    </cfRule>
    <cfRule type="expression" dxfId="630" priority="1892">
      <formula>_xlfn.IFS(K177="T1",TRUE)</formula>
    </cfRule>
  </conditionalFormatting>
  <conditionalFormatting sqref="E177">
    <cfRule type="expression" priority="1889">
      <formula>_xlfn.IFS(L177="",TRUE)</formula>
    </cfRule>
    <cfRule type="expression" dxfId="629" priority="1890">
      <formula>_xlfn.IFS(K177="T2",TRUE)</formula>
    </cfRule>
  </conditionalFormatting>
  <conditionalFormatting sqref="D178:D186">
    <cfRule type="expression" priority="1887">
      <formula>_xlfn.IFS(K178="",TRUE)</formula>
    </cfRule>
    <cfRule type="expression" dxfId="628" priority="1888">
      <formula>_xlfn.IFS(K178="T1",TRUE)</formula>
    </cfRule>
  </conditionalFormatting>
  <conditionalFormatting sqref="E178:E186">
    <cfRule type="expression" priority="1885">
      <formula>_xlfn.IFS(L178="",TRUE)</formula>
    </cfRule>
    <cfRule type="expression" dxfId="627" priority="1886">
      <formula>_xlfn.IFS(K178="T2",TRUE)</formula>
    </cfRule>
  </conditionalFormatting>
  <conditionalFormatting sqref="D191">
    <cfRule type="expression" priority="1883">
      <formula>_xlfn.IFS(K191="",TRUE)</formula>
    </cfRule>
    <cfRule type="expression" dxfId="626" priority="1884">
      <formula>_xlfn.IFS(K191="T1",TRUE)</formula>
    </cfRule>
  </conditionalFormatting>
  <conditionalFormatting sqref="E191">
    <cfRule type="expression" priority="1881">
      <formula>_xlfn.IFS(L191="",TRUE)</formula>
    </cfRule>
    <cfRule type="expression" dxfId="625" priority="1882">
      <formula>_xlfn.IFS(K191="T2",TRUE)</formula>
    </cfRule>
  </conditionalFormatting>
  <conditionalFormatting sqref="D192:D200">
    <cfRule type="expression" priority="1879">
      <formula>_xlfn.IFS(K192="",TRUE)</formula>
    </cfRule>
    <cfRule type="expression" dxfId="624" priority="1880">
      <formula>_xlfn.IFS(K192="T1",TRUE)</formula>
    </cfRule>
  </conditionalFormatting>
  <conditionalFormatting sqref="E192:E200">
    <cfRule type="expression" priority="1877">
      <formula>_xlfn.IFS(L192="",TRUE)</formula>
    </cfRule>
    <cfRule type="expression" dxfId="623" priority="1878">
      <formula>_xlfn.IFS(K192="T2",TRUE)</formula>
    </cfRule>
  </conditionalFormatting>
  <conditionalFormatting sqref="D205">
    <cfRule type="expression" priority="1875">
      <formula>_xlfn.IFS(K205="",TRUE)</formula>
    </cfRule>
    <cfRule type="expression" dxfId="622" priority="1876">
      <formula>_xlfn.IFS(K205="T1",TRUE)</formula>
    </cfRule>
  </conditionalFormatting>
  <conditionalFormatting sqref="E205">
    <cfRule type="expression" priority="1873">
      <formula>_xlfn.IFS(L205="",TRUE)</formula>
    </cfRule>
    <cfRule type="expression" dxfId="621" priority="1874">
      <formula>_xlfn.IFS(K205="T2",TRUE)</formula>
    </cfRule>
  </conditionalFormatting>
  <conditionalFormatting sqref="D206:D214">
    <cfRule type="expression" priority="1871">
      <formula>_xlfn.IFS(K206="",TRUE)</formula>
    </cfRule>
    <cfRule type="expression" dxfId="620" priority="1872">
      <formula>_xlfn.IFS(K206="T1",TRUE)</formula>
    </cfRule>
  </conditionalFormatting>
  <conditionalFormatting sqref="E206:E214">
    <cfRule type="expression" priority="1869">
      <formula>_xlfn.IFS(L206="",TRUE)</formula>
    </cfRule>
    <cfRule type="expression" dxfId="619" priority="1870">
      <formula>_xlfn.IFS(K206="T2",TRUE)</formula>
    </cfRule>
  </conditionalFormatting>
  <conditionalFormatting sqref="D219">
    <cfRule type="expression" priority="1867">
      <formula>_xlfn.IFS(K219="",TRUE)</formula>
    </cfRule>
    <cfRule type="expression" dxfId="618" priority="1868">
      <formula>_xlfn.IFS(K219="T1",TRUE)</formula>
    </cfRule>
  </conditionalFormatting>
  <conditionalFormatting sqref="E219">
    <cfRule type="expression" priority="1865">
      <formula>_xlfn.IFS(L219="",TRUE)</formula>
    </cfRule>
    <cfRule type="expression" dxfId="617" priority="1866">
      <formula>_xlfn.IFS(K219="T2",TRUE)</formula>
    </cfRule>
  </conditionalFormatting>
  <conditionalFormatting sqref="D220:D228">
    <cfRule type="expression" priority="1863">
      <formula>_xlfn.IFS(K220="",TRUE)</formula>
    </cfRule>
    <cfRule type="expression" dxfId="616" priority="1864">
      <formula>_xlfn.IFS(K220="T1",TRUE)</formula>
    </cfRule>
  </conditionalFormatting>
  <conditionalFormatting sqref="E220:E228">
    <cfRule type="expression" priority="1861">
      <formula>_xlfn.IFS(L220="",TRUE)</formula>
    </cfRule>
    <cfRule type="expression" dxfId="615" priority="1862">
      <formula>_xlfn.IFS(K220="T2",TRUE)</formula>
    </cfRule>
  </conditionalFormatting>
  <conditionalFormatting sqref="D233">
    <cfRule type="expression" priority="1859">
      <formula>_xlfn.IFS(K233="",TRUE)</formula>
    </cfRule>
    <cfRule type="expression" dxfId="614" priority="1860">
      <formula>_xlfn.IFS(K233="T1",TRUE)</formula>
    </cfRule>
  </conditionalFormatting>
  <conditionalFormatting sqref="E233">
    <cfRule type="expression" priority="1857">
      <formula>_xlfn.IFS(L233="",TRUE)</formula>
    </cfRule>
    <cfRule type="expression" dxfId="613" priority="1858">
      <formula>_xlfn.IFS(K233="T2",TRUE)</formula>
    </cfRule>
  </conditionalFormatting>
  <conditionalFormatting sqref="D234:D242">
    <cfRule type="expression" priority="1855">
      <formula>_xlfn.IFS(K234="",TRUE)</formula>
    </cfRule>
    <cfRule type="expression" dxfId="612" priority="1856">
      <formula>_xlfn.IFS(K234="T1",TRUE)</formula>
    </cfRule>
  </conditionalFormatting>
  <conditionalFormatting sqref="E234:E242">
    <cfRule type="expression" priority="1853">
      <formula>_xlfn.IFS(L234="",TRUE)</formula>
    </cfRule>
    <cfRule type="expression" dxfId="611" priority="1854">
      <formula>_xlfn.IFS(K234="T2",TRUE)</formula>
    </cfRule>
  </conditionalFormatting>
  <conditionalFormatting sqref="D247">
    <cfRule type="expression" priority="1851">
      <formula>_xlfn.IFS(K247="",TRUE)</formula>
    </cfRule>
    <cfRule type="expression" dxfId="610" priority="1852">
      <formula>_xlfn.IFS(K247="T1",TRUE)</formula>
    </cfRule>
  </conditionalFormatting>
  <conditionalFormatting sqref="E247">
    <cfRule type="expression" priority="1849">
      <formula>_xlfn.IFS(L247="",TRUE)</formula>
    </cfRule>
    <cfRule type="expression" dxfId="609" priority="1850">
      <formula>_xlfn.IFS(K247="T2",TRUE)</formula>
    </cfRule>
  </conditionalFormatting>
  <conditionalFormatting sqref="D248:D256">
    <cfRule type="expression" priority="1847">
      <formula>_xlfn.IFS(K248="",TRUE)</formula>
    </cfRule>
    <cfRule type="expression" dxfId="608" priority="1848">
      <formula>_xlfn.IFS(K248="T1",TRUE)</formula>
    </cfRule>
  </conditionalFormatting>
  <conditionalFormatting sqref="E248:E256">
    <cfRule type="expression" priority="1845">
      <formula>_xlfn.IFS(L248="",TRUE)</formula>
    </cfRule>
    <cfRule type="expression" dxfId="607" priority="1846">
      <formula>_xlfn.IFS(K248="T2",TRUE)</formula>
    </cfRule>
  </conditionalFormatting>
  <conditionalFormatting sqref="D261">
    <cfRule type="expression" priority="1843">
      <formula>_xlfn.IFS(K261="",TRUE)</formula>
    </cfRule>
    <cfRule type="expression" dxfId="606" priority="1844">
      <formula>_xlfn.IFS(K261="T1",TRUE)</formula>
    </cfRule>
  </conditionalFormatting>
  <conditionalFormatting sqref="E261">
    <cfRule type="expression" priority="1841">
      <formula>_xlfn.IFS(L261="",TRUE)</formula>
    </cfRule>
    <cfRule type="expression" dxfId="605" priority="1842">
      <formula>_xlfn.IFS(K261="T2",TRUE)</formula>
    </cfRule>
  </conditionalFormatting>
  <conditionalFormatting sqref="D262:D270">
    <cfRule type="expression" priority="1839">
      <formula>_xlfn.IFS(K262="",TRUE)</formula>
    </cfRule>
    <cfRule type="expression" dxfId="604" priority="1840">
      <formula>_xlfn.IFS(K262="T1",TRUE)</formula>
    </cfRule>
  </conditionalFormatting>
  <conditionalFormatting sqref="E262:E270">
    <cfRule type="expression" priority="1837">
      <formula>_xlfn.IFS(L262="",TRUE)</formula>
    </cfRule>
    <cfRule type="expression" dxfId="603" priority="1838">
      <formula>_xlfn.IFS(K262="T2",TRUE)</formula>
    </cfRule>
  </conditionalFormatting>
  <conditionalFormatting sqref="D275">
    <cfRule type="expression" priority="1835">
      <formula>_xlfn.IFS(K275="",TRUE)</formula>
    </cfRule>
    <cfRule type="expression" dxfId="602" priority="1836">
      <formula>_xlfn.IFS(K275="T1",TRUE)</formula>
    </cfRule>
  </conditionalFormatting>
  <conditionalFormatting sqref="E275">
    <cfRule type="expression" priority="1833">
      <formula>_xlfn.IFS(L275="",TRUE)</formula>
    </cfRule>
    <cfRule type="expression" dxfId="601" priority="1834">
      <formula>_xlfn.IFS(K275="T2",TRUE)</formula>
    </cfRule>
  </conditionalFormatting>
  <conditionalFormatting sqref="D276:D284">
    <cfRule type="expression" priority="1831">
      <formula>_xlfn.IFS(K276="",TRUE)</formula>
    </cfRule>
    <cfRule type="expression" dxfId="600" priority="1832">
      <formula>_xlfn.IFS(K276="T1",TRUE)</formula>
    </cfRule>
  </conditionalFormatting>
  <conditionalFormatting sqref="E276:E284">
    <cfRule type="expression" priority="1829">
      <formula>_xlfn.IFS(L276="",TRUE)</formula>
    </cfRule>
    <cfRule type="expression" dxfId="599" priority="1830">
      <formula>_xlfn.IFS(K276="T2",TRUE)</formula>
    </cfRule>
  </conditionalFormatting>
  <conditionalFormatting sqref="D319">
    <cfRule type="expression" priority="1827">
      <formula>_xlfn.IFS(K319="",TRUE)</formula>
    </cfRule>
    <cfRule type="expression" dxfId="598" priority="1828">
      <formula>_xlfn.IFS(K319="T1",TRUE)</formula>
    </cfRule>
  </conditionalFormatting>
  <conditionalFormatting sqref="E319">
    <cfRule type="expression" priority="1825">
      <formula>_xlfn.IFS(L319="",TRUE)</formula>
    </cfRule>
    <cfRule type="expression" dxfId="597" priority="1826">
      <formula>_xlfn.IFS(K319="T2",TRUE)</formula>
    </cfRule>
  </conditionalFormatting>
  <conditionalFormatting sqref="D320:D328">
    <cfRule type="expression" priority="1823">
      <formula>_xlfn.IFS(K320="",TRUE)</formula>
    </cfRule>
    <cfRule type="expression" dxfId="596" priority="1824">
      <formula>_xlfn.IFS(K320="T1",TRUE)</formula>
    </cfRule>
  </conditionalFormatting>
  <conditionalFormatting sqref="E320:E328">
    <cfRule type="expression" priority="1821">
      <formula>_xlfn.IFS(L320="",TRUE)</formula>
    </cfRule>
    <cfRule type="expression" dxfId="595" priority="1822">
      <formula>_xlfn.IFS(K320="T2",TRUE)</formula>
    </cfRule>
  </conditionalFormatting>
  <conditionalFormatting sqref="D333">
    <cfRule type="expression" priority="1819">
      <formula>_xlfn.IFS(K333="",TRUE)</formula>
    </cfRule>
    <cfRule type="expression" dxfId="594" priority="1820">
      <formula>_xlfn.IFS(K333="T1",TRUE)</formula>
    </cfRule>
  </conditionalFormatting>
  <conditionalFormatting sqref="E333">
    <cfRule type="expression" priority="1817">
      <formula>_xlfn.IFS(L333="",TRUE)</formula>
    </cfRule>
    <cfRule type="expression" dxfId="593" priority="1818">
      <formula>_xlfn.IFS(K333="T2",TRUE)</formula>
    </cfRule>
  </conditionalFormatting>
  <conditionalFormatting sqref="D334:D342">
    <cfRule type="expression" priority="1815">
      <formula>_xlfn.IFS(K334="",TRUE)</formula>
    </cfRule>
    <cfRule type="expression" dxfId="592" priority="1816">
      <formula>_xlfn.IFS(K334="T1",TRUE)</formula>
    </cfRule>
  </conditionalFormatting>
  <conditionalFormatting sqref="E334:E342">
    <cfRule type="expression" priority="1813">
      <formula>_xlfn.IFS(L334="",TRUE)</formula>
    </cfRule>
    <cfRule type="expression" dxfId="591" priority="1814">
      <formula>_xlfn.IFS(K334="T2",TRUE)</formula>
    </cfRule>
  </conditionalFormatting>
  <conditionalFormatting sqref="D347">
    <cfRule type="expression" priority="1811">
      <formula>_xlfn.IFS(K347="",TRUE)</formula>
    </cfRule>
    <cfRule type="expression" dxfId="590" priority="1812">
      <formula>_xlfn.IFS(K347="T1",TRUE)</formula>
    </cfRule>
  </conditionalFormatting>
  <conditionalFormatting sqref="E347">
    <cfRule type="expression" priority="1809">
      <formula>_xlfn.IFS(L347="",TRUE)</formula>
    </cfRule>
    <cfRule type="expression" dxfId="589" priority="1810">
      <formula>_xlfn.IFS(K347="T2",TRUE)</formula>
    </cfRule>
  </conditionalFormatting>
  <conditionalFormatting sqref="D348:D356">
    <cfRule type="expression" priority="1807">
      <formula>_xlfn.IFS(K348="",TRUE)</formula>
    </cfRule>
    <cfRule type="expression" dxfId="588" priority="1808">
      <formula>_xlfn.IFS(K348="T1",TRUE)</formula>
    </cfRule>
  </conditionalFormatting>
  <conditionalFormatting sqref="E348:E356">
    <cfRule type="expression" priority="1805">
      <formula>_xlfn.IFS(L348="",TRUE)</formula>
    </cfRule>
    <cfRule type="expression" dxfId="587" priority="1806">
      <formula>_xlfn.IFS(K348="T2",TRUE)</formula>
    </cfRule>
  </conditionalFormatting>
  <conditionalFormatting sqref="D361">
    <cfRule type="expression" priority="1803">
      <formula>_xlfn.IFS(K361="",TRUE)</formula>
    </cfRule>
    <cfRule type="expression" dxfId="586" priority="1804">
      <formula>_xlfn.IFS(K361="T1",TRUE)</formula>
    </cfRule>
  </conditionalFormatting>
  <conditionalFormatting sqref="E361">
    <cfRule type="expression" priority="1801">
      <formula>_xlfn.IFS(L361="",TRUE)</formula>
    </cfRule>
    <cfRule type="expression" dxfId="585" priority="1802">
      <formula>_xlfn.IFS(K361="T2",TRUE)</formula>
    </cfRule>
  </conditionalFormatting>
  <conditionalFormatting sqref="D362:D370">
    <cfRule type="expression" priority="1799">
      <formula>_xlfn.IFS(K362="",TRUE)</formula>
    </cfRule>
    <cfRule type="expression" dxfId="584" priority="1800">
      <formula>_xlfn.IFS(K362="T1",TRUE)</formula>
    </cfRule>
  </conditionalFormatting>
  <conditionalFormatting sqref="E362:E370">
    <cfRule type="expression" priority="1797">
      <formula>_xlfn.IFS(L362="",TRUE)</formula>
    </cfRule>
    <cfRule type="expression" dxfId="583" priority="1798">
      <formula>_xlfn.IFS(K362="T2",TRUE)</formula>
    </cfRule>
  </conditionalFormatting>
  <conditionalFormatting sqref="D375">
    <cfRule type="expression" priority="1795">
      <formula>_xlfn.IFS(K375="",TRUE)</formula>
    </cfRule>
    <cfRule type="expression" dxfId="582" priority="1796">
      <formula>_xlfn.IFS(K375="T1",TRUE)</formula>
    </cfRule>
  </conditionalFormatting>
  <conditionalFormatting sqref="E375">
    <cfRule type="expression" priority="1793">
      <formula>_xlfn.IFS(L375="",TRUE)</formula>
    </cfRule>
    <cfRule type="expression" dxfId="581" priority="1794">
      <formula>_xlfn.IFS(K375="T2",TRUE)</formula>
    </cfRule>
  </conditionalFormatting>
  <conditionalFormatting sqref="D376:D384">
    <cfRule type="expression" priority="1791">
      <formula>_xlfn.IFS(K376="",TRUE)</formula>
    </cfRule>
    <cfRule type="expression" dxfId="580" priority="1792">
      <formula>_xlfn.IFS(K376="T1",TRUE)</formula>
    </cfRule>
  </conditionalFormatting>
  <conditionalFormatting sqref="E376:E384">
    <cfRule type="expression" priority="1789">
      <formula>_xlfn.IFS(L376="",TRUE)</formula>
    </cfRule>
    <cfRule type="expression" dxfId="579" priority="1790">
      <formula>_xlfn.IFS(K376="T2",TRUE)</formula>
    </cfRule>
  </conditionalFormatting>
  <conditionalFormatting sqref="D403">
    <cfRule type="expression" priority="1787">
      <formula>_xlfn.IFS(K403="",TRUE)</formula>
    </cfRule>
    <cfRule type="expression" dxfId="578" priority="1788">
      <formula>_xlfn.IFS(K403="T1",TRUE)</formula>
    </cfRule>
  </conditionalFormatting>
  <conditionalFormatting sqref="E403">
    <cfRule type="expression" priority="1785">
      <formula>_xlfn.IFS(L403="",TRUE)</formula>
    </cfRule>
    <cfRule type="expression" dxfId="577" priority="1786">
      <formula>_xlfn.IFS(K403="T2",TRUE)</formula>
    </cfRule>
  </conditionalFormatting>
  <conditionalFormatting sqref="D404:D412">
    <cfRule type="expression" priority="1783">
      <formula>_xlfn.IFS(K404="",TRUE)</formula>
    </cfRule>
    <cfRule type="expression" dxfId="576" priority="1784">
      <formula>_xlfn.IFS(K404="T1",TRUE)</formula>
    </cfRule>
  </conditionalFormatting>
  <conditionalFormatting sqref="E404:E412">
    <cfRule type="expression" priority="1781">
      <formula>_xlfn.IFS(L404="",TRUE)</formula>
    </cfRule>
    <cfRule type="expression" dxfId="575" priority="1782">
      <formula>_xlfn.IFS(K404="T2",TRUE)</formula>
    </cfRule>
  </conditionalFormatting>
  <conditionalFormatting sqref="D417">
    <cfRule type="expression" priority="1779">
      <formula>_xlfn.IFS(K417="",TRUE)</formula>
    </cfRule>
    <cfRule type="expression" dxfId="574" priority="1780">
      <formula>_xlfn.IFS(K417="T1",TRUE)</formula>
    </cfRule>
  </conditionalFormatting>
  <conditionalFormatting sqref="E417">
    <cfRule type="expression" priority="1777">
      <formula>_xlfn.IFS(L417="",TRUE)</formula>
    </cfRule>
    <cfRule type="expression" dxfId="573" priority="1778">
      <formula>_xlfn.IFS(K417="T2",TRUE)</formula>
    </cfRule>
  </conditionalFormatting>
  <conditionalFormatting sqref="D418:D426">
    <cfRule type="expression" priority="1775">
      <formula>_xlfn.IFS(K418="",TRUE)</formula>
    </cfRule>
    <cfRule type="expression" dxfId="572" priority="1776">
      <formula>_xlfn.IFS(K418="T1",TRUE)</formula>
    </cfRule>
  </conditionalFormatting>
  <conditionalFormatting sqref="E418:E426">
    <cfRule type="expression" priority="1773">
      <formula>_xlfn.IFS(L418="",TRUE)</formula>
    </cfRule>
    <cfRule type="expression" dxfId="571" priority="1774">
      <formula>_xlfn.IFS(K418="T2",TRUE)</formula>
    </cfRule>
  </conditionalFormatting>
  <conditionalFormatting sqref="D431">
    <cfRule type="expression" priority="1771">
      <formula>_xlfn.IFS(K431="",TRUE)</formula>
    </cfRule>
    <cfRule type="expression" dxfId="570" priority="1772">
      <formula>_xlfn.IFS(K431="T1",TRUE)</formula>
    </cfRule>
  </conditionalFormatting>
  <conditionalFormatting sqref="E431">
    <cfRule type="expression" priority="1769">
      <formula>_xlfn.IFS(L431="",TRUE)</formula>
    </cfRule>
    <cfRule type="expression" dxfId="569" priority="1770">
      <formula>_xlfn.IFS(K431="T2",TRUE)</formula>
    </cfRule>
  </conditionalFormatting>
  <conditionalFormatting sqref="D432:D440">
    <cfRule type="expression" priority="1767">
      <formula>_xlfn.IFS(K432="",TRUE)</formula>
    </cfRule>
    <cfRule type="expression" dxfId="568" priority="1768">
      <formula>_xlfn.IFS(K432="T1",TRUE)</formula>
    </cfRule>
  </conditionalFormatting>
  <conditionalFormatting sqref="E432:E440">
    <cfRule type="expression" priority="1765">
      <formula>_xlfn.IFS(L432="",TRUE)</formula>
    </cfRule>
    <cfRule type="expression" dxfId="567" priority="1766">
      <formula>_xlfn.IFS(K432="T2",TRUE)</formula>
    </cfRule>
  </conditionalFormatting>
  <conditionalFormatting sqref="D475">
    <cfRule type="expression" priority="1763">
      <formula>_xlfn.IFS(K475="",TRUE)</formula>
    </cfRule>
    <cfRule type="expression" dxfId="566" priority="1764">
      <formula>_xlfn.IFS(K475="T1",TRUE)</formula>
    </cfRule>
  </conditionalFormatting>
  <conditionalFormatting sqref="E475">
    <cfRule type="expression" priority="1761">
      <formula>_xlfn.IFS(L475="",TRUE)</formula>
    </cfRule>
    <cfRule type="expression" dxfId="565" priority="1762">
      <formula>_xlfn.IFS(K475="T2",TRUE)</formula>
    </cfRule>
  </conditionalFormatting>
  <conditionalFormatting sqref="D476:D484">
    <cfRule type="expression" priority="1759">
      <formula>_xlfn.IFS(K476="",TRUE)</formula>
    </cfRule>
    <cfRule type="expression" dxfId="564" priority="1760">
      <formula>_xlfn.IFS(K476="T1",TRUE)</formula>
    </cfRule>
  </conditionalFormatting>
  <conditionalFormatting sqref="E476:E484">
    <cfRule type="expression" priority="1757">
      <formula>_xlfn.IFS(L476="",TRUE)</formula>
    </cfRule>
    <cfRule type="expression" dxfId="563" priority="1758">
      <formula>_xlfn.IFS(K476="T2",TRUE)</formula>
    </cfRule>
  </conditionalFormatting>
  <conditionalFormatting sqref="D489">
    <cfRule type="expression" priority="1755">
      <formula>_xlfn.IFS(K489="",TRUE)</formula>
    </cfRule>
    <cfRule type="expression" dxfId="562" priority="1756">
      <formula>_xlfn.IFS(K489="T1",TRUE)</formula>
    </cfRule>
  </conditionalFormatting>
  <conditionalFormatting sqref="E489">
    <cfRule type="expression" priority="1753">
      <formula>_xlfn.IFS(L489="",TRUE)</formula>
    </cfRule>
    <cfRule type="expression" dxfId="561" priority="1754">
      <formula>_xlfn.IFS(K489="T2",TRUE)</formula>
    </cfRule>
  </conditionalFormatting>
  <conditionalFormatting sqref="D490:D498">
    <cfRule type="expression" priority="1751">
      <formula>_xlfn.IFS(K490="",TRUE)</formula>
    </cfRule>
    <cfRule type="expression" dxfId="560" priority="1752">
      <formula>_xlfn.IFS(K490="T1",TRUE)</formula>
    </cfRule>
  </conditionalFormatting>
  <conditionalFormatting sqref="E490:E498">
    <cfRule type="expression" priority="1749">
      <formula>_xlfn.IFS(L490="",TRUE)</formula>
    </cfRule>
    <cfRule type="expression" dxfId="559" priority="1750">
      <formula>_xlfn.IFS(K490="T2",TRUE)</formula>
    </cfRule>
  </conditionalFormatting>
  <conditionalFormatting sqref="D503">
    <cfRule type="expression" priority="1747">
      <formula>_xlfn.IFS(K503="",TRUE)</formula>
    </cfRule>
    <cfRule type="expression" dxfId="558" priority="1748">
      <formula>_xlfn.IFS(K503="T1",TRUE)</formula>
    </cfRule>
  </conditionalFormatting>
  <conditionalFormatting sqref="E503">
    <cfRule type="expression" priority="1745">
      <formula>_xlfn.IFS(L503="",TRUE)</formula>
    </cfRule>
    <cfRule type="expression" dxfId="557" priority="1746">
      <formula>_xlfn.IFS(K503="T2",TRUE)</formula>
    </cfRule>
  </conditionalFormatting>
  <conditionalFormatting sqref="D504:D512">
    <cfRule type="expression" priority="1743">
      <formula>_xlfn.IFS(K504="",TRUE)</formula>
    </cfRule>
    <cfRule type="expression" dxfId="556" priority="1744">
      <formula>_xlfn.IFS(K504="T1",TRUE)</formula>
    </cfRule>
  </conditionalFormatting>
  <conditionalFormatting sqref="E504:E512">
    <cfRule type="expression" priority="1741">
      <formula>_xlfn.IFS(L504="",TRUE)</formula>
    </cfRule>
    <cfRule type="expression" dxfId="555" priority="1742">
      <formula>_xlfn.IFS(K504="T2",TRUE)</formula>
    </cfRule>
  </conditionalFormatting>
  <conditionalFormatting sqref="D517">
    <cfRule type="expression" priority="1739">
      <formula>_xlfn.IFS(K517="",TRUE)</formula>
    </cfRule>
    <cfRule type="expression" dxfId="554" priority="1740">
      <formula>_xlfn.IFS(K517="T1",TRUE)</formula>
    </cfRule>
  </conditionalFormatting>
  <conditionalFormatting sqref="E517">
    <cfRule type="expression" priority="1737">
      <formula>_xlfn.IFS(L517="",TRUE)</formula>
    </cfRule>
    <cfRule type="expression" dxfId="553" priority="1738">
      <formula>_xlfn.IFS(K517="T2",TRUE)</formula>
    </cfRule>
  </conditionalFormatting>
  <conditionalFormatting sqref="D518:D526">
    <cfRule type="expression" priority="1735">
      <formula>_xlfn.IFS(K518="",TRUE)</formula>
    </cfRule>
    <cfRule type="expression" dxfId="552" priority="1736">
      <formula>_xlfn.IFS(K518="T1",TRUE)</formula>
    </cfRule>
  </conditionalFormatting>
  <conditionalFormatting sqref="E518:E526">
    <cfRule type="expression" priority="1733">
      <formula>_xlfn.IFS(L518="",TRUE)</formula>
    </cfRule>
    <cfRule type="expression" dxfId="551" priority="1734">
      <formula>_xlfn.IFS(K518="T2",TRUE)</formula>
    </cfRule>
  </conditionalFormatting>
  <conditionalFormatting sqref="D531">
    <cfRule type="expression" priority="1731">
      <formula>_xlfn.IFS(K531="",TRUE)</formula>
    </cfRule>
    <cfRule type="expression" dxfId="550" priority="1732">
      <formula>_xlfn.IFS(K531="T1",TRUE)</formula>
    </cfRule>
  </conditionalFormatting>
  <conditionalFormatting sqref="E531">
    <cfRule type="expression" priority="1729">
      <formula>_xlfn.IFS(L531="",TRUE)</formula>
    </cfRule>
    <cfRule type="expression" dxfId="549" priority="1730">
      <formula>_xlfn.IFS(K531="T2",TRUE)</formula>
    </cfRule>
  </conditionalFormatting>
  <conditionalFormatting sqref="D532:D540">
    <cfRule type="expression" priority="1727">
      <formula>_xlfn.IFS(K532="",TRUE)</formula>
    </cfRule>
    <cfRule type="expression" dxfId="548" priority="1728">
      <formula>_xlfn.IFS(K532="T1",TRUE)</formula>
    </cfRule>
  </conditionalFormatting>
  <conditionalFormatting sqref="E532:E540">
    <cfRule type="expression" priority="1725">
      <formula>_xlfn.IFS(L532="",TRUE)</formula>
    </cfRule>
    <cfRule type="expression" dxfId="547" priority="1726">
      <formula>_xlfn.IFS(K532="T2",TRUE)</formula>
    </cfRule>
  </conditionalFormatting>
  <conditionalFormatting sqref="D545">
    <cfRule type="expression" priority="1723">
      <formula>_xlfn.IFS(K545="",TRUE)</formula>
    </cfRule>
    <cfRule type="expression" dxfId="546" priority="1724">
      <formula>_xlfn.IFS(K545="T1",TRUE)</formula>
    </cfRule>
  </conditionalFormatting>
  <conditionalFormatting sqref="E545">
    <cfRule type="expression" priority="1721">
      <formula>_xlfn.IFS(L545="",TRUE)</formula>
    </cfRule>
    <cfRule type="expression" dxfId="545" priority="1722">
      <formula>_xlfn.IFS(K545="T2",TRUE)</formula>
    </cfRule>
  </conditionalFormatting>
  <conditionalFormatting sqref="D546:D554">
    <cfRule type="expression" priority="1719">
      <formula>_xlfn.IFS(K546="",TRUE)</formula>
    </cfRule>
    <cfRule type="expression" dxfId="544" priority="1720">
      <formula>_xlfn.IFS(K546="T1",TRUE)</formula>
    </cfRule>
  </conditionalFormatting>
  <conditionalFormatting sqref="E546:E554">
    <cfRule type="expression" priority="1717">
      <formula>_xlfn.IFS(L546="",TRUE)</formula>
    </cfRule>
    <cfRule type="expression" dxfId="543" priority="1718">
      <formula>_xlfn.IFS(K546="T2",TRUE)</formula>
    </cfRule>
  </conditionalFormatting>
  <conditionalFormatting sqref="D559">
    <cfRule type="expression" priority="1715">
      <formula>_xlfn.IFS(K559="",TRUE)</formula>
    </cfRule>
    <cfRule type="expression" dxfId="542" priority="1716">
      <formula>_xlfn.IFS(K559="T1",TRUE)</formula>
    </cfRule>
  </conditionalFormatting>
  <conditionalFormatting sqref="E559">
    <cfRule type="expression" priority="1713">
      <formula>_xlfn.IFS(L559="",TRUE)</formula>
    </cfRule>
    <cfRule type="expression" dxfId="541" priority="1714">
      <formula>_xlfn.IFS(K559="T2",TRUE)</formula>
    </cfRule>
  </conditionalFormatting>
  <conditionalFormatting sqref="D560:D568">
    <cfRule type="expression" priority="1711">
      <formula>_xlfn.IFS(K560="",TRUE)</formula>
    </cfRule>
    <cfRule type="expression" dxfId="540" priority="1712">
      <formula>_xlfn.IFS(K560="T1",TRUE)</formula>
    </cfRule>
  </conditionalFormatting>
  <conditionalFormatting sqref="E560:E568">
    <cfRule type="expression" priority="1709">
      <formula>_xlfn.IFS(L560="",TRUE)</formula>
    </cfRule>
    <cfRule type="expression" dxfId="539" priority="1710">
      <formula>_xlfn.IFS(K560="T2",TRUE)</formula>
    </cfRule>
  </conditionalFormatting>
  <conditionalFormatting sqref="D573">
    <cfRule type="expression" priority="1707">
      <formula>_xlfn.IFS(K573="",TRUE)</formula>
    </cfRule>
    <cfRule type="expression" dxfId="538" priority="1708">
      <formula>_xlfn.IFS(K573="T1",TRUE)</formula>
    </cfRule>
  </conditionalFormatting>
  <conditionalFormatting sqref="E573">
    <cfRule type="expression" priority="1705">
      <formula>_xlfn.IFS(L573="",TRUE)</formula>
    </cfRule>
    <cfRule type="expression" dxfId="537" priority="1706">
      <formula>_xlfn.IFS(K573="T2",TRUE)</formula>
    </cfRule>
  </conditionalFormatting>
  <conditionalFormatting sqref="D574:D582">
    <cfRule type="expression" priority="1703">
      <formula>_xlfn.IFS(K574="",TRUE)</formula>
    </cfRule>
    <cfRule type="expression" dxfId="536" priority="1704">
      <formula>_xlfn.IFS(K574="T1",TRUE)</formula>
    </cfRule>
  </conditionalFormatting>
  <conditionalFormatting sqref="E574:E582">
    <cfRule type="expression" priority="1701">
      <formula>_xlfn.IFS(L574="",TRUE)</formula>
    </cfRule>
    <cfRule type="expression" dxfId="535" priority="1702">
      <formula>_xlfn.IFS(K574="T2",TRUE)</formula>
    </cfRule>
  </conditionalFormatting>
  <conditionalFormatting sqref="D587">
    <cfRule type="expression" priority="1699">
      <formula>_xlfn.IFS(K587="",TRUE)</formula>
    </cfRule>
    <cfRule type="expression" dxfId="534" priority="1700">
      <formula>_xlfn.IFS(K587="T1",TRUE)</formula>
    </cfRule>
  </conditionalFormatting>
  <conditionalFormatting sqref="E587">
    <cfRule type="expression" priority="1697">
      <formula>_xlfn.IFS(L587="",TRUE)</formula>
    </cfRule>
    <cfRule type="expression" dxfId="533" priority="1698">
      <formula>_xlfn.IFS(K587="T2",TRUE)</formula>
    </cfRule>
  </conditionalFormatting>
  <conditionalFormatting sqref="D588:D596">
    <cfRule type="expression" priority="1695">
      <formula>_xlfn.IFS(K588="",TRUE)</formula>
    </cfRule>
    <cfRule type="expression" dxfId="532" priority="1696">
      <formula>_xlfn.IFS(K588="T1",TRUE)</formula>
    </cfRule>
  </conditionalFormatting>
  <conditionalFormatting sqref="E588:E596">
    <cfRule type="expression" priority="1693">
      <formula>_xlfn.IFS(L588="",TRUE)</formula>
    </cfRule>
    <cfRule type="expression" dxfId="531" priority="1694">
      <formula>_xlfn.IFS(K588="T2",TRUE)</formula>
    </cfRule>
  </conditionalFormatting>
  <conditionalFormatting sqref="D631">
    <cfRule type="expression" priority="1691">
      <formula>_xlfn.IFS(K631="",TRUE)</formula>
    </cfRule>
    <cfRule type="expression" dxfId="530" priority="1692">
      <formula>_xlfn.IFS(K631="T1",TRUE)</formula>
    </cfRule>
  </conditionalFormatting>
  <conditionalFormatting sqref="E631">
    <cfRule type="expression" priority="1689">
      <formula>_xlfn.IFS(L631="",TRUE)</formula>
    </cfRule>
    <cfRule type="expression" dxfId="529" priority="1690">
      <formula>_xlfn.IFS(K631="T2",TRUE)</formula>
    </cfRule>
  </conditionalFormatting>
  <conditionalFormatting sqref="D632:D637">
    <cfRule type="expression" priority="1687">
      <formula>_xlfn.IFS(K632="",TRUE)</formula>
    </cfRule>
    <cfRule type="expression" dxfId="528" priority="1688">
      <formula>_xlfn.IFS(K632="T1",TRUE)</formula>
    </cfRule>
  </conditionalFormatting>
  <conditionalFormatting sqref="E632:E637">
    <cfRule type="expression" priority="1685">
      <formula>_xlfn.IFS(L632="",TRUE)</formula>
    </cfRule>
    <cfRule type="expression" dxfId="527" priority="1686">
      <formula>_xlfn.IFS(K632="T2",TRUE)</formula>
    </cfRule>
  </conditionalFormatting>
  <conditionalFormatting sqref="D645">
    <cfRule type="expression" priority="1683">
      <formula>_xlfn.IFS(K645="",TRUE)</formula>
    </cfRule>
    <cfRule type="expression" dxfId="526" priority="1684">
      <formula>_xlfn.IFS(K645="T1",TRUE)</formula>
    </cfRule>
  </conditionalFormatting>
  <conditionalFormatting sqref="E645">
    <cfRule type="expression" priority="1681">
      <formula>_xlfn.IFS(L645="",TRUE)</formula>
    </cfRule>
    <cfRule type="expression" dxfId="525" priority="1682">
      <formula>_xlfn.IFS(K645="T2",TRUE)</formula>
    </cfRule>
  </conditionalFormatting>
  <conditionalFormatting sqref="D646:D654">
    <cfRule type="expression" priority="1679">
      <formula>_xlfn.IFS(K646="",TRUE)</formula>
    </cfRule>
    <cfRule type="expression" dxfId="524" priority="1680">
      <formula>_xlfn.IFS(K646="T1",TRUE)</formula>
    </cfRule>
  </conditionalFormatting>
  <conditionalFormatting sqref="E646:E654">
    <cfRule type="expression" priority="1677">
      <formula>_xlfn.IFS(L646="",TRUE)</formula>
    </cfRule>
    <cfRule type="expression" dxfId="523" priority="1678">
      <formula>_xlfn.IFS(K646="T2",TRUE)</formula>
    </cfRule>
  </conditionalFormatting>
  <conditionalFormatting sqref="D659">
    <cfRule type="expression" priority="1675">
      <formula>_xlfn.IFS(K659="",TRUE)</formula>
    </cfRule>
    <cfRule type="expression" dxfId="522" priority="1676">
      <formula>_xlfn.IFS(K659="T1",TRUE)</formula>
    </cfRule>
  </conditionalFormatting>
  <conditionalFormatting sqref="E659">
    <cfRule type="expression" priority="1673">
      <formula>_xlfn.IFS(L659="",TRUE)</formula>
    </cfRule>
    <cfRule type="expression" dxfId="521" priority="1674">
      <formula>_xlfn.IFS(K659="T2",TRUE)</formula>
    </cfRule>
  </conditionalFormatting>
  <conditionalFormatting sqref="D660:D668">
    <cfRule type="expression" priority="1671">
      <formula>_xlfn.IFS(K660="",TRUE)</formula>
    </cfRule>
    <cfRule type="expression" dxfId="520" priority="1672">
      <formula>_xlfn.IFS(K660="T1",TRUE)</formula>
    </cfRule>
  </conditionalFormatting>
  <conditionalFormatting sqref="E660:E668">
    <cfRule type="expression" priority="1669">
      <formula>_xlfn.IFS(L660="",TRUE)</formula>
    </cfRule>
    <cfRule type="expression" dxfId="519" priority="1670">
      <formula>_xlfn.IFS(K660="T2",TRUE)</formula>
    </cfRule>
  </conditionalFormatting>
  <conditionalFormatting sqref="D687">
    <cfRule type="expression" priority="1667">
      <formula>_xlfn.IFS(K687="",TRUE)</formula>
    </cfRule>
    <cfRule type="expression" dxfId="518" priority="1668">
      <formula>_xlfn.IFS(K687="T1",TRUE)</formula>
    </cfRule>
  </conditionalFormatting>
  <conditionalFormatting sqref="E687">
    <cfRule type="expression" priority="1665">
      <formula>_xlfn.IFS(L687="",TRUE)</formula>
    </cfRule>
    <cfRule type="expression" dxfId="517" priority="1666">
      <formula>_xlfn.IFS(K687="T2",TRUE)</formula>
    </cfRule>
  </conditionalFormatting>
  <conditionalFormatting sqref="D688:D696">
    <cfRule type="expression" priority="1663">
      <formula>_xlfn.IFS(K688="",TRUE)</formula>
    </cfRule>
    <cfRule type="expression" dxfId="516" priority="1664">
      <formula>_xlfn.IFS(K688="T1",TRUE)</formula>
    </cfRule>
  </conditionalFormatting>
  <conditionalFormatting sqref="E688:E696">
    <cfRule type="expression" priority="1661">
      <formula>_xlfn.IFS(L688="",TRUE)</formula>
    </cfRule>
    <cfRule type="expression" dxfId="515" priority="1662">
      <formula>_xlfn.IFS(K688="T2",TRUE)</formula>
    </cfRule>
  </conditionalFormatting>
  <conditionalFormatting sqref="D701">
    <cfRule type="expression" priority="1659">
      <formula>_xlfn.IFS(K701="",TRUE)</formula>
    </cfRule>
    <cfRule type="expression" dxfId="514" priority="1660">
      <formula>_xlfn.IFS(K701="T1",TRUE)</formula>
    </cfRule>
  </conditionalFormatting>
  <conditionalFormatting sqref="E701">
    <cfRule type="expression" priority="1657">
      <formula>_xlfn.IFS(L701="",TRUE)</formula>
    </cfRule>
    <cfRule type="expression" dxfId="513" priority="1658">
      <formula>_xlfn.IFS(K701="T2",TRUE)</formula>
    </cfRule>
  </conditionalFormatting>
  <conditionalFormatting sqref="D702:D710">
    <cfRule type="expression" priority="1655">
      <formula>_xlfn.IFS(K702="",TRUE)</formula>
    </cfRule>
    <cfRule type="expression" dxfId="512" priority="1656">
      <formula>_xlfn.IFS(K702="T1",TRUE)</formula>
    </cfRule>
  </conditionalFormatting>
  <conditionalFormatting sqref="E702:E710">
    <cfRule type="expression" priority="1653">
      <formula>_xlfn.IFS(L702="",TRUE)</formula>
    </cfRule>
    <cfRule type="expression" dxfId="511" priority="1654">
      <formula>_xlfn.IFS(K702="T2",TRUE)</formula>
    </cfRule>
  </conditionalFormatting>
  <conditionalFormatting sqref="D715">
    <cfRule type="expression" priority="1651">
      <formula>_xlfn.IFS(K715="",TRUE)</formula>
    </cfRule>
    <cfRule type="expression" dxfId="510" priority="1652">
      <formula>_xlfn.IFS(K715="T1",TRUE)</formula>
    </cfRule>
  </conditionalFormatting>
  <conditionalFormatting sqref="E715">
    <cfRule type="expression" priority="1649">
      <formula>_xlfn.IFS(L715="",TRUE)</formula>
    </cfRule>
    <cfRule type="expression" dxfId="509" priority="1650">
      <formula>_xlfn.IFS(K715="T2",TRUE)</formula>
    </cfRule>
  </conditionalFormatting>
  <conditionalFormatting sqref="D716:D724">
    <cfRule type="expression" priority="1647">
      <formula>_xlfn.IFS(K716="",TRUE)</formula>
    </cfRule>
    <cfRule type="expression" dxfId="508" priority="1648">
      <formula>_xlfn.IFS(K716="T1",TRUE)</formula>
    </cfRule>
  </conditionalFormatting>
  <conditionalFormatting sqref="E716:E724">
    <cfRule type="expression" priority="1645">
      <formula>_xlfn.IFS(L716="",TRUE)</formula>
    </cfRule>
    <cfRule type="expression" dxfId="507" priority="1646">
      <formula>_xlfn.IFS(K716="T2",TRUE)</formula>
    </cfRule>
  </conditionalFormatting>
  <conditionalFormatting sqref="D729">
    <cfRule type="expression" priority="1643">
      <formula>_xlfn.IFS(K729="",TRUE)</formula>
    </cfRule>
    <cfRule type="expression" dxfId="506" priority="1644">
      <formula>_xlfn.IFS(K729="T1",TRUE)</formula>
    </cfRule>
  </conditionalFormatting>
  <conditionalFormatting sqref="E729">
    <cfRule type="expression" priority="1641">
      <formula>_xlfn.IFS(L729="",TRUE)</formula>
    </cfRule>
    <cfRule type="expression" dxfId="505" priority="1642">
      <formula>_xlfn.IFS(K729="T2",TRUE)</formula>
    </cfRule>
  </conditionalFormatting>
  <conditionalFormatting sqref="D730:D738">
    <cfRule type="expression" priority="1639">
      <formula>_xlfn.IFS(K730="",TRUE)</formula>
    </cfRule>
    <cfRule type="expression" dxfId="504" priority="1640">
      <formula>_xlfn.IFS(K730="T1",TRUE)</formula>
    </cfRule>
  </conditionalFormatting>
  <conditionalFormatting sqref="E730:E738">
    <cfRule type="expression" priority="1637">
      <formula>_xlfn.IFS(L730="",TRUE)</formula>
    </cfRule>
    <cfRule type="expression" dxfId="503" priority="1638">
      <formula>_xlfn.IFS(K730="T2",TRUE)</formula>
    </cfRule>
  </conditionalFormatting>
  <conditionalFormatting sqref="D743">
    <cfRule type="expression" priority="1635">
      <formula>_xlfn.IFS(K743="",TRUE)</formula>
    </cfRule>
    <cfRule type="expression" dxfId="502" priority="1636">
      <formula>_xlfn.IFS(K743="T1",TRUE)</formula>
    </cfRule>
  </conditionalFormatting>
  <conditionalFormatting sqref="E743">
    <cfRule type="expression" priority="1633">
      <formula>_xlfn.IFS(L743="",TRUE)</formula>
    </cfRule>
    <cfRule type="expression" dxfId="501" priority="1634">
      <formula>_xlfn.IFS(K743="T2",TRUE)</formula>
    </cfRule>
  </conditionalFormatting>
  <conditionalFormatting sqref="D744:D752">
    <cfRule type="expression" priority="1631">
      <formula>_xlfn.IFS(K744="",TRUE)</formula>
    </cfRule>
    <cfRule type="expression" dxfId="500" priority="1632">
      <formula>_xlfn.IFS(K744="T1",TRUE)</formula>
    </cfRule>
  </conditionalFormatting>
  <conditionalFormatting sqref="E744:E752">
    <cfRule type="expression" priority="1629">
      <formula>_xlfn.IFS(L744="",TRUE)</formula>
    </cfRule>
    <cfRule type="expression" dxfId="499" priority="1630">
      <formula>_xlfn.IFS(K744="T2",TRUE)</formula>
    </cfRule>
  </conditionalFormatting>
  <conditionalFormatting sqref="D638:D640">
    <cfRule type="expression" priority="1627">
      <formula>_xlfn.IFS(K638="",TRUE)</formula>
    </cfRule>
    <cfRule type="expression" dxfId="498" priority="1628">
      <formula>_xlfn.IFS(K638="T1",TRUE)</formula>
    </cfRule>
  </conditionalFormatting>
  <conditionalFormatting sqref="E638:E640">
    <cfRule type="expression" priority="1625">
      <formula>_xlfn.IFS(L638="",TRUE)</formula>
    </cfRule>
    <cfRule type="expression" dxfId="497" priority="1626">
      <formula>_xlfn.IFS(K638="T2",TRUE)</formula>
    </cfRule>
  </conditionalFormatting>
  <conditionalFormatting sqref="D673">
    <cfRule type="expression" priority="1623">
      <formula>_xlfn.IFS(K673="",TRUE)</formula>
    </cfRule>
    <cfRule type="expression" dxfId="496" priority="1624">
      <formula>_xlfn.IFS(K673="T1",TRUE)</formula>
    </cfRule>
  </conditionalFormatting>
  <conditionalFormatting sqref="E673">
    <cfRule type="expression" priority="1621">
      <formula>_xlfn.IFS(L673="",TRUE)</formula>
    </cfRule>
    <cfRule type="expression" dxfId="495" priority="1622">
      <formula>_xlfn.IFS(K673="T2",TRUE)</formula>
    </cfRule>
  </conditionalFormatting>
  <conditionalFormatting sqref="D674:D682">
    <cfRule type="expression" priority="1619">
      <formula>_xlfn.IFS(K674="",TRUE)</formula>
    </cfRule>
    <cfRule type="expression" dxfId="494" priority="1620">
      <formula>_xlfn.IFS(K674="T1",TRUE)</formula>
    </cfRule>
  </conditionalFormatting>
  <conditionalFormatting sqref="E674:E682">
    <cfRule type="expression" priority="1617">
      <formula>_xlfn.IFS(L674="",TRUE)</formula>
    </cfRule>
    <cfRule type="expression" dxfId="493" priority="1618">
      <formula>_xlfn.IFS(K674="T2",TRUE)</formula>
    </cfRule>
  </conditionalFormatting>
  <conditionalFormatting sqref="D389:D395">
    <cfRule type="expression" priority="1615">
      <formula>_xlfn.IFS(H389="",TRUE)</formula>
    </cfRule>
    <cfRule type="expression" dxfId="492" priority="1616">
      <formula>_xlfn.IFS(H389="T1",TRUE)</formula>
    </cfRule>
  </conditionalFormatting>
  <conditionalFormatting sqref="E389:E395">
    <cfRule type="expression" priority="1613">
      <formula>_xlfn.IFS(I389="",TRUE)</formula>
    </cfRule>
    <cfRule type="expression" dxfId="491" priority="1614">
      <formula>_xlfn.IFS(H389="T2",TRUE)</formula>
    </cfRule>
  </conditionalFormatting>
  <conditionalFormatting sqref="D149">
    <cfRule type="expression" priority="1611">
      <formula>_xlfn.IFS(K149="",TRUE)</formula>
    </cfRule>
    <cfRule type="expression" dxfId="490" priority="1612">
      <formula>_xlfn.IFS(K149="T1",TRUE)</formula>
    </cfRule>
  </conditionalFormatting>
  <conditionalFormatting sqref="E149">
    <cfRule type="expression" priority="1609">
      <formula>_xlfn.IFS(L149="",TRUE)</formula>
    </cfRule>
    <cfRule type="expression" dxfId="489" priority="1610">
      <formula>_xlfn.IFS(K149="T2",TRUE)</formula>
    </cfRule>
  </conditionalFormatting>
  <conditionalFormatting sqref="D150:D158">
    <cfRule type="expression" priority="1607">
      <formula>_xlfn.IFS(K150="",TRUE)</formula>
    </cfRule>
    <cfRule type="expression" dxfId="488" priority="1608">
      <formula>_xlfn.IFS(K150="T1",TRUE)</formula>
    </cfRule>
  </conditionalFormatting>
  <conditionalFormatting sqref="E150:E158">
    <cfRule type="expression" priority="1605">
      <formula>_xlfn.IFS(L150="",TRUE)</formula>
    </cfRule>
    <cfRule type="expression" dxfId="487" priority="1606">
      <formula>_xlfn.IFS(K150="T2",TRUE)</formula>
    </cfRule>
  </conditionalFormatting>
  <conditionalFormatting sqref="D305">
    <cfRule type="expression" priority="1603">
      <formula>_xlfn.IFS(K305="",TRUE)</formula>
    </cfRule>
    <cfRule type="expression" dxfId="486" priority="1604">
      <formula>_xlfn.IFS(K305="T1",TRUE)</formula>
    </cfRule>
  </conditionalFormatting>
  <conditionalFormatting sqref="E305">
    <cfRule type="expression" priority="1601">
      <formula>_xlfn.IFS(L305="",TRUE)</formula>
    </cfRule>
    <cfRule type="expression" dxfId="485" priority="1602">
      <formula>_xlfn.IFS(K305="T2",TRUE)</formula>
    </cfRule>
  </conditionalFormatting>
  <conditionalFormatting sqref="D306:D314">
    <cfRule type="expression" priority="1599">
      <formula>_xlfn.IFS(K306="",TRUE)</formula>
    </cfRule>
    <cfRule type="expression" dxfId="484" priority="1600">
      <formula>_xlfn.IFS(K306="T1",TRUE)</formula>
    </cfRule>
  </conditionalFormatting>
  <conditionalFormatting sqref="E306:E314">
    <cfRule type="expression" priority="1597">
      <formula>_xlfn.IFS(L306="",TRUE)</formula>
    </cfRule>
    <cfRule type="expression" dxfId="483" priority="1598">
      <formula>_xlfn.IFS(K306="T2",TRUE)</formula>
    </cfRule>
  </conditionalFormatting>
  <conditionalFormatting sqref="P461:P466">
    <cfRule type="expression" dxfId="482" priority="1594">
      <formula>AND(NOT(L461=P461),NOT(P461=""))</formula>
    </cfRule>
    <cfRule type="expression" dxfId="481" priority="1595">
      <formula>AND((L461=P461),NOT(P461=""))</formula>
    </cfRule>
  </conditionalFormatting>
  <conditionalFormatting sqref="P461">
    <cfRule type="expression" priority="1593">
      <formula>(P461="")</formula>
    </cfRule>
  </conditionalFormatting>
  <conditionalFormatting sqref="P462">
    <cfRule type="expression" dxfId="480" priority="1582">
      <formula>IF(M462="NO BET", TRUE, FALSE)</formula>
    </cfRule>
    <cfRule type="expression" priority="1592">
      <formula>(P462="")</formula>
    </cfRule>
  </conditionalFormatting>
  <conditionalFormatting sqref="P463">
    <cfRule type="expression" priority="1591">
      <formula>(P463="")</formula>
    </cfRule>
  </conditionalFormatting>
  <conditionalFormatting sqref="P464">
    <cfRule type="expression" priority="1590">
      <formula>(P464="")</formula>
    </cfRule>
  </conditionalFormatting>
  <conditionalFormatting sqref="P465">
    <cfRule type="expression" priority="1589">
      <formula>(P465="")</formula>
    </cfRule>
  </conditionalFormatting>
  <conditionalFormatting sqref="P466">
    <cfRule type="expression" priority="1588">
      <formula>(P466="")</formula>
    </cfRule>
  </conditionalFormatting>
  <conditionalFormatting sqref="P462">
    <cfRule type="expression" priority="1587">
      <formula>(P462="")</formula>
    </cfRule>
  </conditionalFormatting>
  <conditionalFormatting sqref="P463">
    <cfRule type="expression" priority="1586">
      <formula>(P463="")</formula>
    </cfRule>
  </conditionalFormatting>
  <conditionalFormatting sqref="P464">
    <cfRule type="expression" priority="1585">
      <formula>(P464="")</formula>
    </cfRule>
  </conditionalFormatting>
  <conditionalFormatting sqref="P465">
    <cfRule type="expression" priority="1584">
      <formula>(P465="")</formula>
    </cfRule>
  </conditionalFormatting>
  <conditionalFormatting sqref="P466">
    <cfRule type="expression" priority="1583">
      <formula>(P466="")</formula>
    </cfRule>
  </conditionalFormatting>
  <conditionalFormatting sqref="P461">
    <cfRule type="expression" dxfId="479" priority="1579">
      <formula>IF(M461="NO BET", TRUE, FALSE)</formula>
    </cfRule>
    <cfRule type="expression" priority="1581">
      <formula>(P461="")</formula>
    </cfRule>
  </conditionalFormatting>
  <conditionalFormatting sqref="P461">
    <cfRule type="expression" priority="1580">
      <formula>(P461="")</formula>
    </cfRule>
  </conditionalFormatting>
  <conditionalFormatting sqref="P463">
    <cfRule type="expression" priority="1578">
      <formula>(P463="")</formula>
    </cfRule>
  </conditionalFormatting>
  <conditionalFormatting sqref="P464">
    <cfRule type="expression" dxfId="478" priority="1575">
      <formula>IF(M464="NO BET", TRUE, FALSE)</formula>
    </cfRule>
    <cfRule type="expression" priority="1577">
      <formula>(P464="")</formula>
    </cfRule>
  </conditionalFormatting>
  <conditionalFormatting sqref="P464">
    <cfRule type="expression" priority="1576">
      <formula>(P464="")</formula>
    </cfRule>
  </conditionalFormatting>
  <conditionalFormatting sqref="P463">
    <cfRule type="expression" dxfId="477" priority="1572">
      <formula>IF(M463="NO BET", TRUE, FALSE)</formula>
    </cfRule>
    <cfRule type="expression" priority="1574">
      <formula>(P463="")</formula>
    </cfRule>
  </conditionalFormatting>
  <conditionalFormatting sqref="P463">
    <cfRule type="expression" priority="1573">
      <formula>(P463="")</formula>
    </cfRule>
  </conditionalFormatting>
  <conditionalFormatting sqref="P465">
    <cfRule type="expression" priority="1571">
      <formula>(P465="")</formula>
    </cfRule>
  </conditionalFormatting>
  <conditionalFormatting sqref="P466">
    <cfRule type="expression" dxfId="476" priority="1568">
      <formula>IF(M466="NO BET", TRUE, FALSE)</formula>
    </cfRule>
    <cfRule type="expression" priority="1570">
      <formula>(P466="")</formula>
    </cfRule>
  </conditionalFormatting>
  <conditionalFormatting sqref="P466">
    <cfRule type="expression" priority="1569">
      <formula>(P466="")</formula>
    </cfRule>
  </conditionalFormatting>
  <conditionalFormatting sqref="P465">
    <cfRule type="expression" dxfId="475" priority="1565">
      <formula>IF(M465="NO BET", TRUE, FALSE)</formula>
    </cfRule>
    <cfRule type="expression" priority="1567">
      <formula>(P465="")</formula>
    </cfRule>
  </conditionalFormatting>
  <conditionalFormatting sqref="P465">
    <cfRule type="expression" priority="1566">
      <formula>(P465="")</formula>
    </cfRule>
  </conditionalFormatting>
  <conditionalFormatting sqref="P467:P470">
    <cfRule type="expression" dxfId="474" priority="1563">
      <formula>AND(NOT(L467=P467),NOT(P467=""))</formula>
    </cfRule>
    <cfRule type="expression" dxfId="473" priority="1564">
      <formula>AND((L467=P467),NOT(P467=""))</formula>
    </cfRule>
  </conditionalFormatting>
  <conditionalFormatting sqref="P467">
    <cfRule type="expression" priority="1562">
      <formula>(P467="")</formula>
    </cfRule>
  </conditionalFormatting>
  <conditionalFormatting sqref="P468">
    <cfRule type="expression" dxfId="472" priority="1555">
      <formula>IF(M468="NO BET", TRUE, FALSE)</formula>
    </cfRule>
    <cfRule type="expression" priority="1561">
      <formula>(P468="")</formula>
    </cfRule>
  </conditionalFormatting>
  <conditionalFormatting sqref="P469">
    <cfRule type="expression" priority="1560">
      <formula>(P469="")</formula>
    </cfRule>
  </conditionalFormatting>
  <conditionalFormatting sqref="P470">
    <cfRule type="expression" priority="1559">
      <formula>(P470="")</formula>
    </cfRule>
  </conditionalFormatting>
  <conditionalFormatting sqref="P468">
    <cfRule type="expression" priority="1558">
      <formula>(P468="")</formula>
    </cfRule>
  </conditionalFormatting>
  <conditionalFormatting sqref="P469">
    <cfRule type="expression" priority="1557">
      <formula>(P469="")</formula>
    </cfRule>
  </conditionalFormatting>
  <conditionalFormatting sqref="P470">
    <cfRule type="expression" priority="1556">
      <formula>(P470="")</formula>
    </cfRule>
  </conditionalFormatting>
  <conditionalFormatting sqref="P467">
    <cfRule type="expression" dxfId="471" priority="1552">
      <formula>IF(M467="NO BET", TRUE, FALSE)</formula>
    </cfRule>
    <cfRule type="expression" priority="1554">
      <formula>(P467="")</formula>
    </cfRule>
  </conditionalFormatting>
  <conditionalFormatting sqref="P467">
    <cfRule type="expression" priority="1553">
      <formula>(P467="")</formula>
    </cfRule>
  </conditionalFormatting>
  <conditionalFormatting sqref="P469">
    <cfRule type="expression" priority="1551">
      <formula>(P469="")</formula>
    </cfRule>
  </conditionalFormatting>
  <conditionalFormatting sqref="P470">
    <cfRule type="expression" dxfId="470" priority="1548">
      <formula>IF(M470="NO BET", TRUE, FALSE)</formula>
    </cfRule>
    <cfRule type="expression" priority="1550">
      <formula>(P470="")</formula>
    </cfRule>
  </conditionalFormatting>
  <conditionalFormatting sqref="P470">
    <cfRule type="expression" priority="1549">
      <formula>(P470="")</formula>
    </cfRule>
  </conditionalFormatting>
  <conditionalFormatting sqref="P469">
    <cfRule type="expression" dxfId="469" priority="1545">
      <formula>IF(M469="NO BET", TRUE, FALSE)</formula>
    </cfRule>
    <cfRule type="expression" priority="1547">
      <formula>(P469="")</formula>
    </cfRule>
  </conditionalFormatting>
  <conditionalFormatting sqref="P469">
    <cfRule type="expression" priority="1546">
      <formula>(P469="")</formula>
    </cfRule>
  </conditionalFormatting>
  <conditionalFormatting sqref="P475:P480">
    <cfRule type="expression" dxfId="468" priority="1543">
      <formula>AND(NOT(L475=P475),NOT(P475=""))</formula>
    </cfRule>
    <cfRule type="expression" dxfId="467" priority="1544">
      <formula>AND((L475=P475),NOT(P475=""))</formula>
    </cfRule>
  </conditionalFormatting>
  <conditionalFormatting sqref="P475">
    <cfRule type="expression" priority="1542">
      <formula>(P475="")</formula>
    </cfRule>
  </conditionalFormatting>
  <conditionalFormatting sqref="P476">
    <cfRule type="expression" dxfId="466" priority="1531">
      <formula>IF(M476="NO BET", TRUE, FALSE)</formula>
    </cfRule>
    <cfRule type="expression" priority="1541">
      <formula>(P476="")</formula>
    </cfRule>
  </conditionalFormatting>
  <conditionalFormatting sqref="P477">
    <cfRule type="expression" priority="1540">
      <formula>(P477="")</formula>
    </cfRule>
  </conditionalFormatting>
  <conditionalFormatting sqref="P478">
    <cfRule type="expression" priority="1539">
      <formula>(P478="")</formula>
    </cfRule>
  </conditionalFormatting>
  <conditionalFormatting sqref="P479">
    <cfRule type="expression" priority="1538">
      <formula>(P479="")</formula>
    </cfRule>
  </conditionalFormatting>
  <conditionalFormatting sqref="P480">
    <cfRule type="expression" priority="1537">
      <formula>(P480="")</formula>
    </cfRule>
  </conditionalFormatting>
  <conditionalFormatting sqref="P476">
    <cfRule type="expression" priority="1536">
      <formula>(P476="")</formula>
    </cfRule>
  </conditionalFormatting>
  <conditionalFormatting sqref="P477">
    <cfRule type="expression" priority="1535">
      <formula>(P477="")</formula>
    </cfRule>
  </conditionalFormatting>
  <conditionalFormatting sqref="P478">
    <cfRule type="expression" priority="1534">
      <formula>(P478="")</formula>
    </cfRule>
  </conditionalFormatting>
  <conditionalFormatting sqref="P479">
    <cfRule type="expression" priority="1533">
      <formula>(P479="")</formula>
    </cfRule>
  </conditionalFormatting>
  <conditionalFormatting sqref="P480">
    <cfRule type="expression" priority="1532">
      <formula>(P480="")</formula>
    </cfRule>
  </conditionalFormatting>
  <conditionalFormatting sqref="P475">
    <cfRule type="expression" dxfId="465" priority="1528">
      <formula>IF(M475="NO BET", TRUE, FALSE)</formula>
    </cfRule>
    <cfRule type="expression" priority="1530">
      <formula>(P475="")</formula>
    </cfRule>
  </conditionalFormatting>
  <conditionalFormatting sqref="P475">
    <cfRule type="expression" priority="1529">
      <formula>(P475="")</formula>
    </cfRule>
  </conditionalFormatting>
  <conditionalFormatting sqref="P477">
    <cfRule type="expression" priority="1527">
      <formula>(P477="")</formula>
    </cfRule>
  </conditionalFormatting>
  <conditionalFormatting sqref="P478">
    <cfRule type="expression" dxfId="464" priority="1524">
      <formula>IF(M478="NO BET", TRUE, FALSE)</formula>
    </cfRule>
    <cfRule type="expression" priority="1526">
      <formula>(P478="")</formula>
    </cfRule>
  </conditionalFormatting>
  <conditionalFormatting sqref="P478">
    <cfRule type="expression" priority="1525">
      <formula>(P478="")</formula>
    </cfRule>
  </conditionalFormatting>
  <conditionalFormatting sqref="P477">
    <cfRule type="expression" dxfId="463" priority="1521">
      <formula>IF(M477="NO BET", TRUE, FALSE)</formula>
    </cfRule>
    <cfRule type="expression" priority="1523">
      <formula>(P477="")</formula>
    </cfRule>
  </conditionalFormatting>
  <conditionalFormatting sqref="P477">
    <cfRule type="expression" priority="1522">
      <formula>(P477="")</formula>
    </cfRule>
  </conditionalFormatting>
  <conditionalFormatting sqref="P479">
    <cfRule type="expression" priority="1520">
      <formula>(P479="")</formula>
    </cfRule>
  </conditionalFormatting>
  <conditionalFormatting sqref="P480">
    <cfRule type="expression" dxfId="462" priority="1517">
      <formula>IF(M480="NO BET", TRUE, FALSE)</formula>
    </cfRule>
    <cfRule type="expression" priority="1519">
      <formula>(P480="")</formula>
    </cfRule>
  </conditionalFormatting>
  <conditionalFormatting sqref="P480">
    <cfRule type="expression" priority="1518">
      <formula>(P480="")</formula>
    </cfRule>
  </conditionalFormatting>
  <conditionalFormatting sqref="P479">
    <cfRule type="expression" dxfId="461" priority="1514">
      <formula>IF(M479="NO BET", TRUE, FALSE)</formula>
    </cfRule>
    <cfRule type="expression" priority="1516">
      <formula>(P479="")</formula>
    </cfRule>
  </conditionalFormatting>
  <conditionalFormatting sqref="P479">
    <cfRule type="expression" priority="1515">
      <formula>(P479="")</formula>
    </cfRule>
  </conditionalFormatting>
  <conditionalFormatting sqref="P481:P484">
    <cfRule type="expression" dxfId="460" priority="1512">
      <formula>AND(NOT(L481=P481),NOT(P481=""))</formula>
    </cfRule>
    <cfRule type="expression" dxfId="459" priority="1513">
      <formula>AND((L481=P481),NOT(P481=""))</formula>
    </cfRule>
  </conditionalFormatting>
  <conditionalFormatting sqref="P481">
    <cfRule type="expression" priority="1511">
      <formula>(P481="")</formula>
    </cfRule>
  </conditionalFormatting>
  <conditionalFormatting sqref="P482">
    <cfRule type="expression" dxfId="458" priority="1504">
      <formula>IF(M482="NO BET", TRUE, FALSE)</formula>
    </cfRule>
    <cfRule type="expression" priority="1510">
      <formula>(P482="")</formula>
    </cfRule>
  </conditionalFormatting>
  <conditionalFormatting sqref="P483">
    <cfRule type="expression" priority="1509">
      <formula>(P483="")</formula>
    </cfRule>
  </conditionalFormatting>
  <conditionalFormatting sqref="P484">
    <cfRule type="expression" priority="1508">
      <formula>(P484="")</formula>
    </cfRule>
  </conditionalFormatting>
  <conditionalFormatting sqref="P482">
    <cfRule type="expression" priority="1507">
      <formula>(P482="")</formula>
    </cfRule>
  </conditionalFormatting>
  <conditionalFormatting sqref="P483">
    <cfRule type="expression" priority="1506">
      <formula>(P483="")</formula>
    </cfRule>
  </conditionalFormatting>
  <conditionalFormatting sqref="P484">
    <cfRule type="expression" priority="1505">
      <formula>(P484="")</formula>
    </cfRule>
  </conditionalFormatting>
  <conditionalFormatting sqref="P481">
    <cfRule type="expression" dxfId="457" priority="1501">
      <formula>IF(M481="NO BET", TRUE, FALSE)</formula>
    </cfRule>
    <cfRule type="expression" priority="1503">
      <formula>(P481="")</formula>
    </cfRule>
  </conditionalFormatting>
  <conditionalFormatting sqref="P481">
    <cfRule type="expression" priority="1502">
      <formula>(P481="")</formula>
    </cfRule>
  </conditionalFormatting>
  <conditionalFormatting sqref="P483">
    <cfRule type="expression" priority="1500">
      <formula>(P483="")</formula>
    </cfRule>
  </conditionalFormatting>
  <conditionalFormatting sqref="P484">
    <cfRule type="expression" dxfId="456" priority="1497">
      <formula>IF(M484="NO BET", TRUE, FALSE)</formula>
    </cfRule>
    <cfRule type="expression" priority="1499">
      <formula>(P484="")</formula>
    </cfRule>
  </conditionalFormatting>
  <conditionalFormatting sqref="P484">
    <cfRule type="expression" priority="1498">
      <formula>(P484="")</formula>
    </cfRule>
  </conditionalFormatting>
  <conditionalFormatting sqref="P483">
    <cfRule type="expression" dxfId="455" priority="1494">
      <formula>IF(M483="NO BET", TRUE, FALSE)</formula>
    </cfRule>
    <cfRule type="expression" priority="1496">
      <formula>(P483="")</formula>
    </cfRule>
  </conditionalFormatting>
  <conditionalFormatting sqref="P483">
    <cfRule type="expression" priority="1495">
      <formula>(P483="")</formula>
    </cfRule>
  </conditionalFormatting>
  <conditionalFormatting sqref="P489:P494">
    <cfRule type="expression" dxfId="454" priority="1492">
      <formula>AND(NOT(L489=P489),NOT(P489=""))</formula>
    </cfRule>
    <cfRule type="expression" dxfId="453" priority="1493">
      <formula>AND((L489=P489),NOT(P489=""))</formula>
    </cfRule>
  </conditionalFormatting>
  <conditionalFormatting sqref="P489">
    <cfRule type="expression" priority="1491">
      <formula>(P489="")</formula>
    </cfRule>
  </conditionalFormatting>
  <conditionalFormatting sqref="P490">
    <cfRule type="expression" dxfId="452" priority="1480">
      <formula>IF(M490="NO BET", TRUE, FALSE)</formula>
    </cfRule>
    <cfRule type="expression" priority="1490">
      <formula>(P490="")</formula>
    </cfRule>
  </conditionalFormatting>
  <conditionalFormatting sqref="P491">
    <cfRule type="expression" priority="1489">
      <formula>(P491="")</formula>
    </cfRule>
  </conditionalFormatting>
  <conditionalFormatting sqref="P492">
    <cfRule type="expression" priority="1488">
      <formula>(P492="")</formula>
    </cfRule>
  </conditionalFormatting>
  <conditionalFormatting sqref="P493">
    <cfRule type="expression" priority="1487">
      <formula>(P493="")</formula>
    </cfRule>
  </conditionalFormatting>
  <conditionalFormatting sqref="P494">
    <cfRule type="expression" priority="1486">
      <formula>(P494="")</formula>
    </cfRule>
  </conditionalFormatting>
  <conditionalFormatting sqref="P490">
    <cfRule type="expression" priority="1485">
      <formula>(P490="")</formula>
    </cfRule>
  </conditionalFormatting>
  <conditionalFormatting sqref="P491">
    <cfRule type="expression" priority="1484">
      <formula>(P491="")</formula>
    </cfRule>
  </conditionalFormatting>
  <conditionalFormatting sqref="P492">
    <cfRule type="expression" priority="1483">
      <formula>(P492="")</formula>
    </cfRule>
  </conditionalFormatting>
  <conditionalFormatting sqref="P493">
    <cfRule type="expression" priority="1482">
      <formula>(P493="")</formula>
    </cfRule>
  </conditionalFormatting>
  <conditionalFormatting sqref="P494">
    <cfRule type="expression" priority="1481">
      <formula>(P494="")</formula>
    </cfRule>
  </conditionalFormatting>
  <conditionalFormatting sqref="P489">
    <cfRule type="expression" dxfId="451" priority="1477">
      <formula>IF(M489="NO BET", TRUE, FALSE)</formula>
    </cfRule>
    <cfRule type="expression" priority="1479">
      <formula>(P489="")</formula>
    </cfRule>
  </conditionalFormatting>
  <conditionalFormatting sqref="P489">
    <cfRule type="expression" priority="1478">
      <formula>(P489="")</formula>
    </cfRule>
  </conditionalFormatting>
  <conditionalFormatting sqref="P491">
    <cfRule type="expression" priority="1476">
      <formula>(P491="")</formula>
    </cfRule>
  </conditionalFormatting>
  <conditionalFormatting sqref="P492">
    <cfRule type="expression" dxfId="450" priority="1473">
      <formula>IF(M492="NO BET", TRUE, FALSE)</formula>
    </cfRule>
    <cfRule type="expression" priority="1475">
      <formula>(P492="")</formula>
    </cfRule>
  </conditionalFormatting>
  <conditionalFormatting sqref="P492">
    <cfRule type="expression" priority="1474">
      <formula>(P492="")</formula>
    </cfRule>
  </conditionalFormatting>
  <conditionalFormatting sqref="P491">
    <cfRule type="expression" dxfId="449" priority="1470">
      <formula>IF(M491="NO BET", TRUE, FALSE)</formula>
    </cfRule>
    <cfRule type="expression" priority="1472">
      <formula>(P491="")</formula>
    </cfRule>
  </conditionalFormatting>
  <conditionalFormatting sqref="P491">
    <cfRule type="expression" priority="1471">
      <formula>(P491="")</formula>
    </cfRule>
  </conditionalFormatting>
  <conditionalFormatting sqref="P493">
    <cfRule type="expression" priority="1469">
      <formula>(P493="")</formula>
    </cfRule>
  </conditionalFormatting>
  <conditionalFormatting sqref="P494">
    <cfRule type="expression" dxfId="448" priority="1466">
      <formula>IF(M494="NO BET", TRUE, FALSE)</formula>
    </cfRule>
    <cfRule type="expression" priority="1468">
      <formula>(P494="")</formula>
    </cfRule>
  </conditionalFormatting>
  <conditionalFormatting sqref="P494">
    <cfRule type="expression" priority="1467">
      <formula>(P494="")</formula>
    </cfRule>
  </conditionalFormatting>
  <conditionalFormatting sqref="P493">
    <cfRule type="expression" dxfId="447" priority="1463">
      <formula>IF(M493="NO BET", TRUE, FALSE)</formula>
    </cfRule>
    <cfRule type="expression" priority="1465">
      <formula>(P493="")</formula>
    </cfRule>
  </conditionalFormatting>
  <conditionalFormatting sqref="P493">
    <cfRule type="expression" priority="1464">
      <formula>(P493="")</formula>
    </cfRule>
  </conditionalFormatting>
  <conditionalFormatting sqref="P495:P498">
    <cfRule type="expression" dxfId="446" priority="1461">
      <formula>AND(NOT(L495=P495),NOT(P495=""))</formula>
    </cfRule>
    <cfRule type="expression" dxfId="445" priority="1462">
      <formula>AND((L495=P495),NOT(P495=""))</formula>
    </cfRule>
  </conditionalFormatting>
  <conditionalFormatting sqref="P495">
    <cfRule type="expression" priority="1460">
      <formula>(P495="")</formula>
    </cfRule>
  </conditionalFormatting>
  <conditionalFormatting sqref="P496">
    <cfRule type="expression" dxfId="444" priority="1453">
      <formula>IF(M496="NO BET", TRUE, FALSE)</formula>
    </cfRule>
    <cfRule type="expression" priority="1459">
      <formula>(P496="")</formula>
    </cfRule>
  </conditionalFormatting>
  <conditionalFormatting sqref="P497">
    <cfRule type="expression" priority="1458">
      <formula>(P497="")</formula>
    </cfRule>
  </conditionalFormatting>
  <conditionalFormatting sqref="P498">
    <cfRule type="expression" priority="1457">
      <formula>(P498="")</formula>
    </cfRule>
  </conditionalFormatting>
  <conditionalFormatting sqref="P496">
    <cfRule type="expression" priority="1456">
      <formula>(P496="")</formula>
    </cfRule>
  </conditionalFormatting>
  <conditionalFormatting sqref="P497">
    <cfRule type="expression" priority="1455">
      <formula>(P497="")</formula>
    </cfRule>
  </conditionalFormatting>
  <conditionalFormatting sqref="P498">
    <cfRule type="expression" priority="1454">
      <formula>(P498="")</formula>
    </cfRule>
  </conditionalFormatting>
  <conditionalFormatting sqref="P495">
    <cfRule type="expression" dxfId="443" priority="1450">
      <formula>IF(M495="NO BET", TRUE, FALSE)</formula>
    </cfRule>
    <cfRule type="expression" priority="1452">
      <formula>(P495="")</formula>
    </cfRule>
  </conditionalFormatting>
  <conditionalFormatting sqref="P495">
    <cfRule type="expression" priority="1451">
      <formula>(P495="")</formula>
    </cfRule>
  </conditionalFormatting>
  <conditionalFormatting sqref="P497">
    <cfRule type="expression" priority="1449">
      <formula>(P497="")</formula>
    </cfRule>
  </conditionalFormatting>
  <conditionalFormatting sqref="P498">
    <cfRule type="expression" dxfId="442" priority="1446">
      <formula>IF(M498="NO BET", TRUE, FALSE)</formula>
    </cfRule>
    <cfRule type="expression" priority="1448">
      <formula>(P498="")</formula>
    </cfRule>
  </conditionalFormatting>
  <conditionalFormatting sqref="P498">
    <cfRule type="expression" priority="1447">
      <formula>(P498="")</formula>
    </cfRule>
  </conditionalFormatting>
  <conditionalFormatting sqref="P497">
    <cfRule type="expression" dxfId="441" priority="1443">
      <formula>IF(M497="NO BET", TRUE, FALSE)</formula>
    </cfRule>
    <cfRule type="expression" priority="1445">
      <formula>(P497="")</formula>
    </cfRule>
  </conditionalFormatting>
  <conditionalFormatting sqref="P497">
    <cfRule type="expression" priority="1444">
      <formula>(P497="")</formula>
    </cfRule>
  </conditionalFormatting>
  <conditionalFormatting sqref="P503:P508">
    <cfRule type="expression" dxfId="440" priority="1441">
      <formula>AND(NOT(L503=P503),NOT(P503=""))</formula>
    </cfRule>
    <cfRule type="expression" dxfId="439" priority="1442">
      <formula>AND((L503=P503),NOT(P503=""))</formula>
    </cfRule>
  </conditionalFormatting>
  <conditionalFormatting sqref="P503">
    <cfRule type="expression" priority="1440">
      <formula>(P503="")</formula>
    </cfRule>
  </conditionalFormatting>
  <conditionalFormatting sqref="P504">
    <cfRule type="expression" dxfId="438" priority="1429">
      <formula>IF(M504="NO BET", TRUE, FALSE)</formula>
    </cfRule>
    <cfRule type="expression" priority="1439">
      <formula>(P504="")</formula>
    </cfRule>
  </conditionalFormatting>
  <conditionalFormatting sqref="P505">
    <cfRule type="expression" priority="1438">
      <formula>(P505="")</formula>
    </cfRule>
  </conditionalFormatting>
  <conditionalFormatting sqref="P506">
    <cfRule type="expression" priority="1437">
      <formula>(P506="")</formula>
    </cfRule>
  </conditionalFormatting>
  <conditionalFormatting sqref="P507">
    <cfRule type="expression" priority="1436">
      <formula>(P507="")</formula>
    </cfRule>
  </conditionalFormatting>
  <conditionalFormatting sqref="P508">
    <cfRule type="expression" priority="1435">
      <formula>(P508="")</formula>
    </cfRule>
  </conditionalFormatting>
  <conditionalFormatting sqref="P504">
    <cfRule type="expression" priority="1434">
      <formula>(P504="")</formula>
    </cfRule>
  </conditionalFormatting>
  <conditionalFormatting sqref="P505">
    <cfRule type="expression" priority="1433">
      <formula>(P505="")</formula>
    </cfRule>
  </conditionalFormatting>
  <conditionalFormatting sqref="P506">
    <cfRule type="expression" priority="1432">
      <formula>(P506="")</formula>
    </cfRule>
  </conditionalFormatting>
  <conditionalFormatting sqref="P507">
    <cfRule type="expression" priority="1431">
      <formula>(P507="")</formula>
    </cfRule>
  </conditionalFormatting>
  <conditionalFormatting sqref="P508">
    <cfRule type="expression" priority="1430">
      <formula>(P508="")</formula>
    </cfRule>
  </conditionalFormatting>
  <conditionalFormatting sqref="P503">
    <cfRule type="expression" dxfId="437" priority="1426">
      <formula>IF(M503="NO BET", TRUE, FALSE)</formula>
    </cfRule>
    <cfRule type="expression" priority="1428">
      <formula>(P503="")</formula>
    </cfRule>
  </conditionalFormatting>
  <conditionalFormatting sqref="P503">
    <cfRule type="expression" priority="1427">
      <formula>(P503="")</formula>
    </cfRule>
  </conditionalFormatting>
  <conditionalFormatting sqref="P505">
    <cfRule type="expression" priority="1425">
      <formula>(P505="")</formula>
    </cfRule>
  </conditionalFormatting>
  <conditionalFormatting sqref="P506">
    <cfRule type="expression" dxfId="436" priority="1422">
      <formula>IF(M506="NO BET", TRUE, FALSE)</formula>
    </cfRule>
    <cfRule type="expression" priority="1424">
      <formula>(P506="")</formula>
    </cfRule>
  </conditionalFormatting>
  <conditionalFormatting sqref="P506">
    <cfRule type="expression" priority="1423">
      <formula>(P506="")</formula>
    </cfRule>
  </conditionalFormatting>
  <conditionalFormatting sqref="P505">
    <cfRule type="expression" dxfId="435" priority="1419">
      <formula>IF(M505="NO BET", TRUE, FALSE)</formula>
    </cfRule>
    <cfRule type="expression" priority="1421">
      <formula>(P505="")</formula>
    </cfRule>
  </conditionalFormatting>
  <conditionalFormatting sqref="P505">
    <cfRule type="expression" priority="1420">
      <formula>(P505="")</formula>
    </cfRule>
  </conditionalFormatting>
  <conditionalFormatting sqref="P507">
    <cfRule type="expression" priority="1418">
      <formula>(P507="")</formula>
    </cfRule>
  </conditionalFormatting>
  <conditionalFormatting sqref="P508">
    <cfRule type="expression" dxfId="434" priority="1415">
      <formula>IF(M508="NO BET", TRUE, FALSE)</formula>
    </cfRule>
    <cfRule type="expression" priority="1417">
      <formula>(P508="")</formula>
    </cfRule>
  </conditionalFormatting>
  <conditionalFormatting sqref="P508">
    <cfRule type="expression" priority="1416">
      <formula>(P508="")</formula>
    </cfRule>
  </conditionalFormatting>
  <conditionalFormatting sqref="P507">
    <cfRule type="expression" dxfId="433" priority="1412">
      <formula>IF(M507="NO BET", TRUE, FALSE)</formula>
    </cfRule>
    <cfRule type="expression" priority="1414">
      <formula>(P507="")</formula>
    </cfRule>
  </conditionalFormatting>
  <conditionalFormatting sqref="P507">
    <cfRule type="expression" priority="1413">
      <formula>(P507="")</formula>
    </cfRule>
  </conditionalFormatting>
  <conditionalFormatting sqref="P509:P512">
    <cfRule type="expression" dxfId="432" priority="1410">
      <formula>AND(NOT(L509=P509),NOT(P509=""))</formula>
    </cfRule>
    <cfRule type="expression" dxfId="431" priority="1411">
      <formula>AND((L509=P509),NOT(P509=""))</formula>
    </cfRule>
  </conditionalFormatting>
  <conditionalFormatting sqref="P509">
    <cfRule type="expression" priority="1409">
      <formula>(P509="")</formula>
    </cfRule>
  </conditionalFormatting>
  <conditionalFormatting sqref="P510">
    <cfRule type="expression" dxfId="430" priority="1402">
      <formula>IF(M510="NO BET", TRUE, FALSE)</formula>
    </cfRule>
    <cfRule type="expression" priority="1408">
      <formula>(P510="")</formula>
    </cfRule>
  </conditionalFormatting>
  <conditionalFormatting sqref="P511">
    <cfRule type="expression" priority="1407">
      <formula>(P511="")</formula>
    </cfRule>
  </conditionalFormatting>
  <conditionalFormatting sqref="P512">
    <cfRule type="expression" priority="1406">
      <formula>(P512="")</formula>
    </cfRule>
  </conditionalFormatting>
  <conditionalFormatting sqref="P510">
    <cfRule type="expression" priority="1405">
      <formula>(P510="")</formula>
    </cfRule>
  </conditionalFormatting>
  <conditionalFormatting sqref="P511">
    <cfRule type="expression" priority="1404">
      <formula>(P511="")</formula>
    </cfRule>
  </conditionalFormatting>
  <conditionalFormatting sqref="P512">
    <cfRule type="expression" priority="1403">
      <formula>(P512="")</formula>
    </cfRule>
  </conditionalFormatting>
  <conditionalFormatting sqref="P509">
    <cfRule type="expression" dxfId="429" priority="1399">
      <formula>IF(M509="NO BET", TRUE, FALSE)</formula>
    </cfRule>
    <cfRule type="expression" priority="1401">
      <formula>(P509="")</formula>
    </cfRule>
  </conditionalFormatting>
  <conditionalFormatting sqref="P509">
    <cfRule type="expression" priority="1400">
      <formula>(P509="")</formula>
    </cfRule>
  </conditionalFormatting>
  <conditionalFormatting sqref="P511">
    <cfRule type="expression" priority="1398">
      <formula>(P511="")</formula>
    </cfRule>
  </conditionalFormatting>
  <conditionalFormatting sqref="P512">
    <cfRule type="expression" dxfId="428" priority="1395">
      <formula>IF(M512="NO BET", TRUE, FALSE)</formula>
    </cfRule>
    <cfRule type="expression" priority="1397">
      <formula>(P512="")</formula>
    </cfRule>
  </conditionalFormatting>
  <conditionalFormatting sqref="P512">
    <cfRule type="expression" priority="1396">
      <formula>(P512="")</formula>
    </cfRule>
  </conditionalFormatting>
  <conditionalFormatting sqref="P511">
    <cfRule type="expression" dxfId="427" priority="1392">
      <formula>IF(M511="NO BET", TRUE, FALSE)</formula>
    </cfRule>
    <cfRule type="expression" priority="1394">
      <formula>(P511="")</formula>
    </cfRule>
  </conditionalFormatting>
  <conditionalFormatting sqref="P511">
    <cfRule type="expression" priority="1393">
      <formula>(P511="")</formula>
    </cfRule>
  </conditionalFormatting>
  <conditionalFormatting sqref="P517:P522">
    <cfRule type="expression" dxfId="426" priority="1390">
      <formula>AND(NOT(L517=P517),NOT(P517=""))</formula>
    </cfRule>
    <cfRule type="expression" dxfId="425" priority="1391">
      <formula>AND((L517=P517),NOT(P517=""))</formula>
    </cfRule>
  </conditionalFormatting>
  <conditionalFormatting sqref="P517">
    <cfRule type="expression" priority="1389">
      <formula>(P517="")</formula>
    </cfRule>
  </conditionalFormatting>
  <conditionalFormatting sqref="P518">
    <cfRule type="expression" dxfId="424" priority="1378">
      <formula>IF(M518="NO BET", TRUE, FALSE)</formula>
    </cfRule>
    <cfRule type="expression" priority="1388">
      <formula>(P518="")</formula>
    </cfRule>
  </conditionalFormatting>
  <conditionalFormatting sqref="P519">
    <cfRule type="expression" priority="1387">
      <formula>(P519="")</formula>
    </cfRule>
  </conditionalFormatting>
  <conditionalFormatting sqref="P520">
    <cfRule type="expression" priority="1386">
      <formula>(P520="")</formula>
    </cfRule>
  </conditionalFormatting>
  <conditionalFormatting sqref="P521">
    <cfRule type="expression" priority="1385">
      <formula>(P521="")</formula>
    </cfRule>
  </conditionalFormatting>
  <conditionalFormatting sqref="P522">
    <cfRule type="expression" priority="1384">
      <formula>(P522="")</formula>
    </cfRule>
  </conditionalFormatting>
  <conditionalFormatting sqref="P518">
    <cfRule type="expression" priority="1383">
      <formula>(P518="")</formula>
    </cfRule>
  </conditionalFormatting>
  <conditionalFormatting sqref="P519">
    <cfRule type="expression" priority="1382">
      <formula>(P519="")</formula>
    </cfRule>
  </conditionalFormatting>
  <conditionalFormatting sqref="P520">
    <cfRule type="expression" priority="1381">
      <formula>(P520="")</formula>
    </cfRule>
  </conditionalFormatting>
  <conditionalFormatting sqref="P521">
    <cfRule type="expression" priority="1380">
      <formula>(P521="")</formula>
    </cfRule>
  </conditionalFormatting>
  <conditionalFormatting sqref="P522">
    <cfRule type="expression" priority="1379">
      <formula>(P522="")</formula>
    </cfRule>
  </conditionalFormatting>
  <conditionalFormatting sqref="P517">
    <cfRule type="expression" dxfId="423" priority="1375">
      <formula>IF(M517="NO BET", TRUE, FALSE)</formula>
    </cfRule>
    <cfRule type="expression" priority="1377">
      <formula>(P517="")</formula>
    </cfRule>
  </conditionalFormatting>
  <conditionalFormatting sqref="P517">
    <cfRule type="expression" priority="1376">
      <formula>(P517="")</formula>
    </cfRule>
  </conditionalFormatting>
  <conditionalFormatting sqref="P519">
    <cfRule type="expression" priority="1374">
      <formula>(P519="")</formula>
    </cfRule>
  </conditionalFormatting>
  <conditionalFormatting sqref="P520">
    <cfRule type="expression" dxfId="422" priority="1371">
      <formula>IF(M520="NO BET", TRUE, FALSE)</formula>
    </cfRule>
    <cfRule type="expression" priority="1373">
      <formula>(P520="")</formula>
    </cfRule>
  </conditionalFormatting>
  <conditionalFormatting sqref="P520">
    <cfRule type="expression" priority="1372">
      <formula>(P520="")</formula>
    </cfRule>
  </conditionalFormatting>
  <conditionalFormatting sqref="P519">
    <cfRule type="expression" dxfId="421" priority="1368">
      <formula>IF(M519="NO BET", TRUE, FALSE)</formula>
    </cfRule>
    <cfRule type="expression" priority="1370">
      <formula>(P519="")</formula>
    </cfRule>
  </conditionalFormatting>
  <conditionalFormatting sqref="P519">
    <cfRule type="expression" priority="1369">
      <formula>(P519="")</formula>
    </cfRule>
  </conditionalFormatting>
  <conditionalFormatting sqref="P521">
    <cfRule type="expression" priority="1367">
      <formula>(P521="")</formula>
    </cfRule>
  </conditionalFormatting>
  <conditionalFormatting sqref="P522">
    <cfRule type="expression" dxfId="420" priority="1364">
      <formula>IF(M522="NO BET", TRUE, FALSE)</formula>
    </cfRule>
    <cfRule type="expression" priority="1366">
      <formula>(P522="")</formula>
    </cfRule>
  </conditionalFormatting>
  <conditionalFormatting sqref="P522">
    <cfRule type="expression" priority="1365">
      <formula>(P522="")</formula>
    </cfRule>
  </conditionalFormatting>
  <conditionalFormatting sqref="P521">
    <cfRule type="expression" dxfId="419" priority="1361">
      <formula>IF(M521="NO BET", TRUE, FALSE)</formula>
    </cfRule>
    <cfRule type="expression" priority="1363">
      <formula>(P521="")</formula>
    </cfRule>
  </conditionalFormatting>
  <conditionalFormatting sqref="P521">
    <cfRule type="expression" priority="1362">
      <formula>(P521="")</formula>
    </cfRule>
  </conditionalFormatting>
  <conditionalFormatting sqref="P523:P526">
    <cfRule type="expression" dxfId="418" priority="1359">
      <formula>AND(NOT(L523=P523),NOT(P523=""))</formula>
    </cfRule>
    <cfRule type="expression" dxfId="417" priority="1360">
      <formula>AND((L523=P523),NOT(P523=""))</formula>
    </cfRule>
  </conditionalFormatting>
  <conditionalFormatting sqref="P523">
    <cfRule type="expression" priority="1358">
      <formula>(P523="")</formula>
    </cfRule>
  </conditionalFormatting>
  <conditionalFormatting sqref="P524">
    <cfRule type="expression" dxfId="416" priority="1351">
      <formula>IF(M524="NO BET", TRUE, FALSE)</formula>
    </cfRule>
    <cfRule type="expression" priority="1357">
      <formula>(P524="")</formula>
    </cfRule>
  </conditionalFormatting>
  <conditionalFormatting sqref="P525">
    <cfRule type="expression" priority="1356">
      <formula>(P525="")</formula>
    </cfRule>
  </conditionalFormatting>
  <conditionalFormatting sqref="P526">
    <cfRule type="expression" priority="1355">
      <formula>(P526="")</formula>
    </cfRule>
  </conditionalFormatting>
  <conditionalFormatting sqref="P524">
    <cfRule type="expression" priority="1354">
      <formula>(P524="")</formula>
    </cfRule>
  </conditionalFormatting>
  <conditionalFormatting sqref="P525">
    <cfRule type="expression" priority="1353">
      <formula>(P525="")</formula>
    </cfRule>
  </conditionalFormatting>
  <conditionalFormatting sqref="P526">
    <cfRule type="expression" priority="1352">
      <formula>(P526="")</formula>
    </cfRule>
  </conditionalFormatting>
  <conditionalFormatting sqref="P523">
    <cfRule type="expression" dxfId="415" priority="1348">
      <formula>IF(M523="NO BET", TRUE, FALSE)</formula>
    </cfRule>
    <cfRule type="expression" priority="1350">
      <formula>(P523="")</formula>
    </cfRule>
  </conditionalFormatting>
  <conditionalFormatting sqref="P523">
    <cfRule type="expression" priority="1349">
      <formula>(P523="")</formula>
    </cfRule>
  </conditionalFormatting>
  <conditionalFormatting sqref="P525">
    <cfRule type="expression" priority="1347">
      <formula>(P525="")</formula>
    </cfRule>
  </conditionalFormatting>
  <conditionalFormatting sqref="P526">
    <cfRule type="expression" dxfId="414" priority="1344">
      <formula>IF(M526="NO BET", TRUE, FALSE)</formula>
    </cfRule>
    <cfRule type="expression" priority="1346">
      <formula>(P526="")</formula>
    </cfRule>
  </conditionalFormatting>
  <conditionalFormatting sqref="P526">
    <cfRule type="expression" priority="1345">
      <formula>(P526="")</formula>
    </cfRule>
  </conditionalFormatting>
  <conditionalFormatting sqref="P525">
    <cfRule type="expression" dxfId="413" priority="1341">
      <formula>IF(M525="NO BET", TRUE, FALSE)</formula>
    </cfRule>
    <cfRule type="expression" priority="1343">
      <formula>(P525="")</formula>
    </cfRule>
  </conditionalFormatting>
  <conditionalFormatting sqref="P525">
    <cfRule type="expression" priority="1342">
      <formula>(P525="")</formula>
    </cfRule>
  </conditionalFormatting>
  <conditionalFormatting sqref="P531:P536">
    <cfRule type="expression" dxfId="412" priority="1339">
      <formula>AND(NOT(L531=P531),NOT(P531=""))</formula>
    </cfRule>
    <cfRule type="expression" dxfId="411" priority="1340">
      <formula>AND((L531=P531),NOT(P531=""))</formula>
    </cfRule>
  </conditionalFormatting>
  <conditionalFormatting sqref="P531">
    <cfRule type="expression" priority="1338">
      <formula>(P531="")</formula>
    </cfRule>
  </conditionalFormatting>
  <conditionalFormatting sqref="P532">
    <cfRule type="expression" dxfId="410" priority="1327">
      <formula>IF(M532="NO BET", TRUE, FALSE)</formula>
    </cfRule>
    <cfRule type="expression" priority="1337">
      <formula>(P532="")</formula>
    </cfRule>
  </conditionalFormatting>
  <conditionalFormatting sqref="P533">
    <cfRule type="expression" priority="1336">
      <formula>(P533="")</formula>
    </cfRule>
  </conditionalFormatting>
  <conditionalFormatting sqref="P534">
    <cfRule type="expression" priority="1335">
      <formula>(P534="")</formula>
    </cfRule>
  </conditionalFormatting>
  <conditionalFormatting sqref="P535">
    <cfRule type="expression" priority="1334">
      <formula>(P535="")</formula>
    </cfRule>
  </conditionalFormatting>
  <conditionalFormatting sqref="P536">
    <cfRule type="expression" priority="1333">
      <formula>(P536="")</formula>
    </cfRule>
  </conditionalFormatting>
  <conditionalFormatting sqref="P532">
    <cfRule type="expression" priority="1332">
      <formula>(P532="")</formula>
    </cfRule>
  </conditionalFormatting>
  <conditionalFormatting sqref="P533">
    <cfRule type="expression" priority="1331">
      <formula>(P533="")</formula>
    </cfRule>
  </conditionalFormatting>
  <conditionalFormatting sqref="P534">
    <cfRule type="expression" priority="1330">
      <formula>(P534="")</formula>
    </cfRule>
  </conditionalFormatting>
  <conditionalFormatting sqref="P535">
    <cfRule type="expression" priority="1329">
      <formula>(P535="")</formula>
    </cfRule>
  </conditionalFormatting>
  <conditionalFormatting sqref="P536">
    <cfRule type="expression" priority="1328">
      <formula>(P536="")</formula>
    </cfRule>
  </conditionalFormatting>
  <conditionalFormatting sqref="P531">
    <cfRule type="expression" dxfId="409" priority="1324">
      <formula>IF(M531="NO BET", TRUE, FALSE)</formula>
    </cfRule>
    <cfRule type="expression" priority="1326">
      <formula>(P531="")</formula>
    </cfRule>
  </conditionalFormatting>
  <conditionalFormatting sqref="P531">
    <cfRule type="expression" priority="1325">
      <formula>(P531="")</formula>
    </cfRule>
  </conditionalFormatting>
  <conditionalFormatting sqref="P533">
    <cfRule type="expression" priority="1323">
      <formula>(P533="")</formula>
    </cfRule>
  </conditionalFormatting>
  <conditionalFormatting sqref="P534">
    <cfRule type="expression" dxfId="408" priority="1320">
      <formula>IF(M534="NO BET", TRUE, FALSE)</formula>
    </cfRule>
    <cfRule type="expression" priority="1322">
      <formula>(P534="")</formula>
    </cfRule>
  </conditionalFormatting>
  <conditionalFormatting sqref="P534">
    <cfRule type="expression" priority="1321">
      <formula>(P534="")</formula>
    </cfRule>
  </conditionalFormatting>
  <conditionalFormatting sqref="P533">
    <cfRule type="expression" dxfId="407" priority="1317">
      <formula>IF(M533="NO BET", TRUE, FALSE)</formula>
    </cfRule>
    <cfRule type="expression" priority="1319">
      <formula>(P533="")</formula>
    </cfRule>
  </conditionalFormatting>
  <conditionalFormatting sqref="P533">
    <cfRule type="expression" priority="1318">
      <formula>(P533="")</formula>
    </cfRule>
  </conditionalFormatting>
  <conditionalFormatting sqref="P535">
    <cfRule type="expression" priority="1316">
      <formula>(P535="")</formula>
    </cfRule>
  </conditionalFormatting>
  <conditionalFormatting sqref="P536">
    <cfRule type="expression" dxfId="406" priority="1313">
      <formula>IF(M536="NO BET", TRUE, FALSE)</formula>
    </cfRule>
    <cfRule type="expression" priority="1315">
      <formula>(P536="")</formula>
    </cfRule>
  </conditionalFormatting>
  <conditionalFormatting sqref="P536">
    <cfRule type="expression" priority="1314">
      <formula>(P536="")</formula>
    </cfRule>
  </conditionalFormatting>
  <conditionalFormatting sqref="P535">
    <cfRule type="expression" dxfId="405" priority="1310">
      <formula>IF(M535="NO BET", TRUE, FALSE)</formula>
    </cfRule>
    <cfRule type="expression" priority="1312">
      <formula>(P535="")</formula>
    </cfRule>
  </conditionalFormatting>
  <conditionalFormatting sqref="P535">
    <cfRule type="expression" priority="1311">
      <formula>(P535="")</formula>
    </cfRule>
  </conditionalFormatting>
  <conditionalFormatting sqref="P537:P540">
    <cfRule type="expression" dxfId="404" priority="1308">
      <formula>AND(NOT(L537=P537),NOT(P537=""))</formula>
    </cfRule>
    <cfRule type="expression" dxfId="403" priority="1309">
      <formula>AND((L537=P537),NOT(P537=""))</formula>
    </cfRule>
  </conditionalFormatting>
  <conditionalFormatting sqref="P537">
    <cfRule type="expression" priority="1307">
      <formula>(P537="")</formula>
    </cfRule>
  </conditionalFormatting>
  <conditionalFormatting sqref="P538">
    <cfRule type="expression" dxfId="402" priority="1300">
      <formula>IF(M538="NO BET", TRUE, FALSE)</formula>
    </cfRule>
    <cfRule type="expression" priority="1306">
      <formula>(P538="")</formula>
    </cfRule>
  </conditionalFormatting>
  <conditionalFormatting sqref="P539">
    <cfRule type="expression" priority="1305">
      <formula>(P539="")</formula>
    </cfRule>
  </conditionalFormatting>
  <conditionalFormatting sqref="P540">
    <cfRule type="expression" priority="1304">
      <formula>(P540="")</formula>
    </cfRule>
  </conditionalFormatting>
  <conditionalFormatting sqref="P538">
    <cfRule type="expression" priority="1303">
      <formula>(P538="")</formula>
    </cfRule>
  </conditionalFormatting>
  <conditionalFormatting sqref="P539">
    <cfRule type="expression" priority="1302">
      <formula>(P539="")</formula>
    </cfRule>
  </conditionalFormatting>
  <conditionalFormatting sqref="P540">
    <cfRule type="expression" priority="1301">
      <formula>(P540="")</formula>
    </cfRule>
  </conditionalFormatting>
  <conditionalFormatting sqref="P537">
    <cfRule type="expression" dxfId="401" priority="1297">
      <formula>IF(M537="NO BET", TRUE, FALSE)</formula>
    </cfRule>
    <cfRule type="expression" priority="1299">
      <formula>(P537="")</formula>
    </cfRule>
  </conditionalFormatting>
  <conditionalFormatting sqref="P537">
    <cfRule type="expression" priority="1298">
      <formula>(P537="")</formula>
    </cfRule>
  </conditionalFormatting>
  <conditionalFormatting sqref="P539">
    <cfRule type="expression" priority="1296">
      <formula>(P539="")</formula>
    </cfRule>
  </conditionalFormatting>
  <conditionalFormatting sqref="P540">
    <cfRule type="expression" dxfId="400" priority="1293">
      <formula>IF(M540="NO BET", TRUE, FALSE)</formula>
    </cfRule>
    <cfRule type="expression" priority="1295">
      <formula>(P540="")</formula>
    </cfRule>
  </conditionalFormatting>
  <conditionalFormatting sqref="P540">
    <cfRule type="expression" priority="1294">
      <formula>(P540="")</formula>
    </cfRule>
  </conditionalFormatting>
  <conditionalFormatting sqref="P539">
    <cfRule type="expression" dxfId="399" priority="1290">
      <formula>IF(M539="NO BET", TRUE, FALSE)</formula>
    </cfRule>
    <cfRule type="expression" priority="1292">
      <formula>(P539="")</formula>
    </cfRule>
  </conditionalFormatting>
  <conditionalFormatting sqref="P539">
    <cfRule type="expression" priority="1291">
      <formula>(P539="")</formula>
    </cfRule>
  </conditionalFormatting>
  <conditionalFormatting sqref="P545:P550">
    <cfRule type="expression" dxfId="398" priority="1288">
      <formula>AND(NOT(L545=P545),NOT(P545=""))</formula>
    </cfRule>
    <cfRule type="expression" dxfId="397" priority="1289">
      <formula>AND((L545=P545),NOT(P545=""))</formula>
    </cfRule>
  </conditionalFormatting>
  <conditionalFormatting sqref="P545">
    <cfRule type="expression" priority="1287">
      <formula>(P545="")</formula>
    </cfRule>
  </conditionalFormatting>
  <conditionalFormatting sqref="P546">
    <cfRule type="expression" dxfId="396" priority="1276">
      <formula>IF(M546="NO BET", TRUE, FALSE)</formula>
    </cfRule>
    <cfRule type="expression" priority="1286">
      <formula>(P546="")</formula>
    </cfRule>
  </conditionalFormatting>
  <conditionalFormatting sqref="P547">
    <cfRule type="expression" priority="1285">
      <formula>(P547="")</formula>
    </cfRule>
  </conditionalFormatting>
  <conditionalFormatting sqref="P548">
    <cfRule type="expression" priority="1284">
      <formula>(P548="")</formula>
    </cfRule>
  </conditionalFormatting>
  <conditionalFormatting sqref="P549">
    <cfRule type="expression" priority="1283">
      <formula>(P549="")</formula>
    </cfRule>
  </conditionalFormatting>
  <conditionalFormatting sqref="P550">
    <cfRule type="expression" priority="1282">
      <formula>(P550="")</formula>
    </cfRule>
  </conditionalFormatting>
  <conditionalFormatting sqref="P546">
    <cfRule type="expression" priority="1281">
      <formula>(P546="")</formula>
    </cfRule>
  </conditionalFormatting>
  <conditionalFormatting sqref="P547">
    <cfRule type="expression" priority="1280">
      <formula>(P547="")</formula>
    </cfRule>
  </conditionalFormatting>
  <conditionalFormatting sqref="P548">
    <cfRule type="expression" priority="1279">
      <formula>(P548="")</formula>
    </cfRule>
  </conditionalFormatting>
  <conditionalFormatting sqref="P549">
    <cfRule type="expression" priority="1278">
      <formula>(P549="")</formula>
    </cfRule>
  </conditionalFormatting>
  <conditionalFormatting sqref="P550">
    <cfRule type="expression" priority="1277">
      <formula>(P550="")</formula>
    </cfRule>
  </conditionalFormatting>
  <conditionalFormatting sqref="P545">
    <cfRule type="expression" dxfId="395" priority="1273">
      <formula>IF(M545="NO BET", TRUE, FALSE)</formula>
    </cfRule>
    <cfRule type="expression" priority="1275">
      <formula>(P545="")</formula>
    </cfRule>
  </conditionalFormatting>
  <conditionalFormatting sqref="P545">
    <cfRule type="expression" priority="1274">
      <formula>(P545="")</formula>
    </cfRule>
  </conditionalFormatting>
  <conditionalFormatting sqref="P547">
    <cfRule type="expression" priority="1272">
      <formula>(P547="")</formula>
    </cfRule>
  </conditionalFormatting>
  <conditionalFormatting sqref="P548">
    <cfRule type="expression" dxfId="394" priority="1269">
      <formula>IF(M548="NO BET", TRUE, FALSE)</formula>
    </cfRule>
    <cfRule type="expression" priority="1271">
      <formula>(P548="")</formula>
    </cfRule>
  </conditionalFormatting>
  <conditionalFormatting sqref="P548">
    <cfRule type="expression" priority="1270">
      <formula>(P548="")</formula>
    </cfRule>
  </conditionalFormatting>
  <conditionalFormatting sqref="P547">
    <cfRule type="expression" dxfId="393" priority="1266">
      <formula>IF(M547="NO BET", TRUE, FALSE)</formula>
    </cfRule>
    <cfRule type="expression" priority="1268">
      <formula>(P547="")</formula>
    </cfRule>
  </conditionalFormatting>
  <conditionalFormatting sqref="P547">
    <cfRule type="expression" priority="1267">
      <formula>(P547="")</formula>
    </cfRule>
  </conditionalFormatting>
  <conditionalFormatting sqref="P549">
    <cfRule type="expression" priority="1265">
      <formula>(P549="")</formula>
    </cfRule>
  </conditionalFormatting>
  <conditionalFormatting sqref="P550">
    <cfRule type="expression" dxfId="392" priority="1262">
      <formula>IF(M550="NO BET", TRUE, FALSE)</formula>
    </cfRule>
    <cfRule type="expression" priority="1264">
      <formula>(P550="")</formula>
    </cfRule>
  </conditionalFormatting>
  <conditionalFormatting sqref="P550">
    <cfRule type="expression" priority="1263">
      <formula>(P550="")</formula>
    </cfRule>
  </conditionalFormatting>
  <conditionalFormatting sqref="P549">
    <cfRule type="expression" dxfId="391" priority="1259">
      <formula>IF(M549="NO BET", TRUE, FALSE)</formula>
    </cfRule>
    <cfRule type="expression" priority="1261">
      <formula>(P549="")</formula>
    </cfRule>
  </conditionalFormatting>
  <conditionalFormatting sqref="P549">
    <cfRule type="expression" priority="1260">
      <formula>(P549="")</formula>
    </cfRule>
  </conditionalFormatting>
  <conditionalFormatting sqref="P551:P554">
    <cfRule type="expression" dxfId="390" priority="1257">
      <formula>AND(NOT(L551=P551),NOT(P551=""))</formula>
    </cfRule>
    <cfRule type="expression" dxfId="389" priority="1258">
      <formula>AND((L551=P551),NOT(P551=""))</formula>
    </cfRule>
  </conditionalFormatting>
  <conditionalFormatting sqref="P551">
    <cfRule type="expression" priority="1256">
      <formula>(P551="")</formula>
    </cfRule>
  </conditionalFormatting>
  <conditionalFormatting sqref="P552">
    <cfRule type="expression" dxfId="388" priority="1249">
      <formula>IF(M552="NO BET", TRUE, FALSE)</formula>
    </cfRule>
    <cfRule type="expression" priority="1255">
      <formula>(P552="")</formula>
    </cfRule>
  </conditionalFormatting>
  <conditionalFormatting sqref="P553">
    <cfRule type="expression" priority="1254">
      <formula>(P553="")</formula>
    </cfRule>
  </conditionalFormatting>
  <conditionalFormatting sqref="P554">
    <cfRule type="expression" priority="1253">
      <formula>(P554="")</formula>
    </cfRule>
  </conditionalFormatting>
  <conditionalFormatting sqref="P552">
    <cfRule type="expression" priority="1252">
      <formula>(P552="")</formula>
    </cfRule>
  </conditionalFormatting>
  <conditionalFormatting sqref="P553">
    <cfRule type="expression" priority="1251">
      <formula>(P553="")</formula>
    </cfRule>
  </conditionalFormatting>
  <conditionalFormatting sqref="P554">
    <cfRule type="expression" priority="1250">
      <formula>(P554="")</formula>
    </cfRule>
  </conditionalFormatting>
  <conditionalFormatting sqref="P551">
    <cfRule type="expression" dxfId="387" priority="1246">
      <formula>IF(M551="NO BET", TRUE, FALSE)</formula>
    </cfRule>
    <cfRule type="expression" priority="1248">
      <formula>(P551="")</formula>
    </cfRule>
  </conditionalFormatting>
  <conditionalFormatting sqref="P551">
    <cfRule type="expression" priority="1247">
      <formula>(P551="")</formula>
    </cfRule>
  </conditionalFormatting>
  <conditionalFormatting sqref="P553">
    <cfRule type="expression" priority="1245">
      <formula>(P553="")</formula>
    </cfRule>
  </conditionalFormatting>
  <conditionalFormatting sqref="P554">
    <cfRule type="expression" dxfId="386" priority="1242">
      <formula>IF(M554="NO BET", TRUE, FALSE)</formula>
    </cfRule>
    <cfRule type="expression" priority="1244">
      <formula>(P554="")</formula>
    </cfRule>
  </conditionalFormatting>
  <conditionalFormatting sqref="P554">
    <cfRule type="expression" priority="1243">
      <formula>(P554="")</formula>
    </cfRule>
  </conditionalFormatting>
  <conditionalFormatting sqref="P553">
    <cfRule type="expression" dxfId="385" priority="1239">
      <formula>IF(M553="NO BET", TRUE, FALSE)</formula>
    </cfRule>
    <cfRule type="expression" priority="1241">
      <formula>(P553="")</formula>
    </cfRule>
  </conditionalFormatting>
  <conditionalFormatting sqref="P553">
    <cfRule type="expression" priority="1240">
      <formula>(P553="")</formula>
    </cfRule>
  </conditionalFormatting>
  <conditionalFormatting sqref="P559:P564">
    <cfRule type="expression" dxfId="384" priority="1237">
      <formula>AND(NOT(L559=P559),NOT(P559=""))</formula>
    </cfRule>
    <cfRule type="expression" dxfId="383" priority="1238">
      <formula>AND((L559=P559),NOT(P559=""))</formula>
    </cfRule>
  </conditionalFormatting>
  <conditionalFormatting sqref="P559">
    <cfRule type="expression" priority="1236">
      <formula>(P559="")</formula>
    </cfRule>
  </conditionalFormatting>
  <conditionalFormatting sqref="P560">
    <cfRule type="expression" dxfId="382" priority="1225">
      <formula>IF(M560="NO BET", TRUE, FALSE)</formula>
    </cfRule>
    <cfRule type="expression" priority="1235">
      <formula>(P560="")</formula>
    </cfRule>
  </conditionalFormatting>
  <conditionalFormatting sqref="P561">
    <cfRule type="expression" priority="1234">
      <formula>(P561="")</formula>
    </cfRule>
  </conditionalFormatting>
  <conditionalFormatting sqref="P562">
    <cfRule type="expression" priority="1233">
      <formula>(P562="")</formula>
    </cfRule>
  </conditionalFormatting>
  <conditionalFormatting sqref="P563">
    <cfRule type="expression" priority="1232">
      <formula>(P563="")</formula>
    </cfRule>
  </conditionalFormatting>
  <conditionalFormatting sqref="P564">
    <cfRule type="expression" priority="1231">
      <formula>(P564="")</formula>
    </cfRule>
  </conditionalFormatting>
  <conditionalFormatting sqref="P560">
    <cfRule type="expression" priority="1230">
      <formula>(P560="")</formula>
    </cfRule>
  </conditionalFormatting>
  <conditionalFormatting sqref="P561">
    <cfRule type="expression" priority="1229">
      <formula>(P561="")</formula>
    </cfRule>
  </conditionalFormatting>
  <conditionalFormatting sqref="P562">
    <cfRule type="expression" priority="1228">
      <formula>(P562="")</formula>
    </cfRule>
  </conditionalFormatting>
  <conditionalFormatting sqref="P563">
    <cfRule type="expression" priority="1227">
      <formula>(P563="")</formula>
    </cfRule>
  </conditionalFormatting>
  <conditionalFormatting sqref="P564">
    <cfRule type="expression" priority="1226">
      <formula>(P564="")</formula>
    </cfRule>
  </conditionalFormatting>
  <conditionalFormatting sqref="P559">
    <cfRule type="expression" dxfId="381" priority="1222">
      <formula>IF(M559="NO BET", TRUE, FALSE)</formula>
    </cfRule>
    <cfRule type="expression" priority="1224">
      <formula>(P559="")</formula>
    </cfRule>
  </conditionalFormatting>
  <conditionalFormatting sqref="P559">
    <cfRule type="expression" priority="1223">
      <formula>(P559="")</formula>
    </cfRule>
  </conditionalFormatting>
  <conditionalFormatting sqref="P561">
    <cfRule type="expression" priority="1221">
      <formula>(P561="")</formula>
    </cfRule>
  </conditionalFormatting>
  <conditionalFormatting sqref="P562">
    <cfRule type="expression" dxfId="380" priority="1218">
      <formula>IF(M562="NO BET", TRUE, FALSE)</formula>
    </cfRule>
    <cfRule type="expression" priority="1220">
      <formula>(P562="")</formula>
    </cfRule>
  </conditionalFormatting>
  <conditionalFormatting sqref="P562">
    <cfRule type="expression" priority="1219">
      <formula>(P562="")</formula>
    </cfRule>
  </conditionalFormatting>
  <conditionalFormatting sqref="P561">
    <cfRule type="expression" dxfId="379" priority="1215">
      <formula>IF(M561="NO BET", TRUE, FALSE)</formula>
    </cfRule>
    <cfRule type="expression" priority="1217">
      <formula>(P561="")</formula>
    </cfRule>
  </conditionalFormatting>
  <conditionalFormatting sqref="P561">
    <cfRule type="expression" priority="1216">
      <formula>(P561="")</formula>
    </cfRule>
  </conditionalFormatting>
  <conditionalFormatting sqref="P563">
    <cfRule type="expression" priority="1214">
      <formula>(P563="")</formula>
    </cfRule>
  </conditionalFormatting>
  <conditionalFormatting sqref="P564">
    <cfRule type="expression" dxfId="378" priority="1211">
      <formula>IF(M564="NO BET", TRUE, FALSE)</formula>
    </cfRule>
    <cfRule type="expression" priority="1213">
      <formula>(P564="")</formula>
    </cfRule>
  </conditionalFormatting>
  <conditionalFormatting sqref="P564">
    <cfRule type="expression" priority="1212">
      <formula>(P564="")</formula>
    </cfRule>
  </conditionalFormatting>
  <conditionalFormatting sqref="P563">
    <cfRule type="expression" dxfId="377" priority="1208">
      <formula>IF(M563="NO BET", TRUE, FALSE)</formula>
    </cfRule>
    <cfRule type="expression" priority="1210">
      <formula>(P563="")</formula>
    </cfRule>
  </conditionalFormatting>
  <conditionalFormatting sqref="P563">
    <cfRule type="expression" priority="1209">
      <formula>(P563="")</formula>
    </cfRule>
  </conditionalFormatting>
  <conditionalFormatting sqref="P565:P568">
    <cfRule type="expression" dxfId="376" priority="1206">
      <formula>AND(NOT(L565=P565),NOT(P565=""))</formula>
    </cfRule>
    <cfRule type="expression" dxfId="375" priority="1207">
      <formula>AND((L565=P565),NOT(P565=""))</formula>
    </cfRule>
  </conditionalFormatting>
  <conditionalFormatting sqref="P565">
    <cfRule type="expression" priority="1205">
      <formula>(P565="")</formula>
    </cfRule>
  </conditionalFormatting>
  <conditionalFormatting sqref="P566">
    <cfRule type="expression" dxfId="374" priority="1198">
      <formula>IF(M566="NO BET", TRUE, FALSE)</formula>
    </cfRule>
    <cfRule type="expression" priority="1204">
      <formula>(P566="")</formula>
    </cfRule>
  </conditionalFormatting>
  <conditionalFormatting sqref="P567">
    <cfRule type="expression" priority="1203">
      <formula>(P567="")</formula>
    </cfRule>
  </conditionalFormatting>
  <conditionalFormatting sqref="P568">
    <cfRule type="expression" priority="1202">
      <formula>(P568="")</formula>
    </cfRule>
  </conditionalFormatting>
  <conditionalFormatting sqref="P566">
    <cfRule type="expression" priority="1201">
      <formula>(P566="")</formula>
    </cfRule>
  </conditionalFormatting>
  <conditionalFormatting sqref="P567">
    <cfRule type="expression" priority="1200">
      <formula>(P567="")</formula>
    </cfRule>
  </conditionalFormatting>
  <conditionalFormatting sqref="P568">
    <cfRule type="expression" priority="1199">
      <formula>(P568="")</formula>
    </cfRule>
  </conditionalFormatting>
  <conditionalFormatting sqref="P565">
    <cfRule type="expression" dxfId="373" priority="1195">
      <formula>IF(M565="NO BET", TRUE, FALSE)</formula>
    </cfRule>
    <cfRule type="expression" priority="1197">
      <formula>(P565="")</formula>
    </cfRule>
  </conditionalFormatting>
  <conditionalFormatting sqref="P565">
    <cfRule type="expression" priority="1196">
      <formula>(P565="")</formula>
    </cfRule>
  </conditionalFormatting>
  <conditionalFormatting sqref="P567">
    <cfRule type="expression" priority="1194">
      <formula>(P567="")</formula>
    </cfRule>
  </conditionalFormatting>
  <conditionalFormatting sqref="P568">
    <cfRule type="expression" dxfId="372" priority="1191">
      <formula>IF(M568="NO BET", TRUE, FALSE)</formula>
    </cfRule>
    <cfRule type="expression" priority="1193">
      <formula>(P568="")</formula>
    </cfRule>
  </conditionalFormatting>
  <conditionalFormatting sqref="P568">
    <cfRule type="expression" priority="1192">
      <formula>(P568="")</formula>
    </cfRule>
  </conditionalFormatting>
  <conditionalFormatting sqref="P567">
    <cfRule type="expression" dxfId="371" priority="1188">
      <formula>IF(M567="NO BET", TRUE, FALSE)</formula>
    </cfRule>
    <cfRule type="expression" priority="1190">
      <formula>(P567="")</formula>
    </cfRule>
  </conditionalFormatting>
  <conditionalFormatting sqref="P567">
    <cfRule type="expression" priority="1189">
      <formula>(P567="")</formula>
    </cfRule>
  </conditionalFormatting>
  <conditionalFormatting sqref="P573:P578">
    <cfRule type="expression" dxfId="370" priority="1186">
      <formula>AND(NOT(L573=P573),NOT(P573=""))</formula>
    </cfRule>
    <cfRule type="expression" dxfId="369" priority="1187">
      <formula>AND((L573=P573),NOT(P573=""))</formula>
    </cfRule>
  </conditionalFormatting>
  <conditionalFormatting sqref="P573">
    <cfRule type="expression" priority="1185">
      <formula>(P573="")</formula>
    </cfRule>
  </conditionalFormatting>
  <conditionalFormatting sqref="P574">
    <cfRule type="expression" dxfId="368" priority="1174">
      <formula>IF(M574="NO BET", TRUE, FALSE)</formula>
    </cfRule>
    <cfRule type="expression" priority="1184">
      <formula>(P574="")</formula>
    </cfRule>
  </conditionalFormatting>
  <conditionalFormatting sqref="P575">
    <cfRule type="expression" priority="1183">
      <formula>(P575="")</formula>
    </cfRule>
  </conditionalFormatting>
  <conditionalFormatting sqref="P576">
    <cfRule type="expression" priority="1182">
      <formula>(P576="")</formula>
    </cfRule>
  </conditionalFormatting>
  <conditionalFormatting sqref="P577">
    <cfRule type="expression" priority="1181">
      <formula>(P577="")</formula>
    </cfRule>
  </conditionalFormatting>
  <conditionalFormatting sqref="P578">
    <cfRule type="expression" priority="1180">
      <formula>(P578="")</formula>
    </cfRule>
  </conditionalFormatting>
  <conditionalFormatting sqref="P574">
    <cfRule type="expression" priority="1179">
      <formula>(P574="")</formula>
    </cfRule>
  </conditionalFormatting>
  <conditionalFormatting sqref="P575">
    <cfRule type="expression" priority="1178">
      <formula>(P575="")</formula>
    </cfRule>
  </conditionalFormatting>
  <conditionalFormatting sqref="P576">
    <cfRule type="expression" priority="1177">
      <formula>(P576="")</formula>
    </cfRule>
  </conditionalFormatting>
  <conditionalFormatting sqref="P577">
    <cfRule type="expression" priority="1176">
      <formula>(P577="")</formula>
    </cfRule>
  </conditionalFormatting>
  <conditionalFormatting sqref="P578">
    <cfRule type="expression" priority="1175">
      <formula>(P578="")</formula>
    </cfRule>
  </conditionalFormatting>
  <conditionalFormatting sqref="P573">
    <cfRule type="expression" dxfId="367" priority="1171">
      <formula>IF(M573="NO BET", TRUE, FALSE)</formula>
    </cfRule>
    <cfRule type="expression" priority="1173">
      <formula>(P573="")</formula>
    </cfRule>
  </conditionalFormatting>
  <conditionalFormatting sqref="P573">
    <cfRule type="expression" priority="1172">
      <formula>(P573="")</formula>
    </cfRule>
  </conditionalFormatting>
  <conditionalFormatting sqref="P575">
    <cfRule type="expression" priority="1170">
      <formula>(P575="")</formula>
    </cfRule>
  </conditionalFormatting>
  <conditionalFormatting sqref="P576">
    <cfRule type="expression" dxfId="366" priority="1167">
      <formula>IF(M576="NO BET", TRUE, FALSE)</formula>
    </cfRule>
    <cfRule type="expression" priority="1169">
      <formula>(P576="")</formula>
    </cfRule>
  </conditionalFormatting>
  <conditionalFormatting sqref="P576">
    <cfRule type="expression" priority="1168">
      <formula>(P576="")</formula>
    </cfRule>
  </conditionalFormatting>
  <conditionalFormatting sqref="P575">
    <cfRule type="expression" dxfId="365" priority="1164">
      <formula>IF(M575="NO BET", TRUE, FALSE)</formula>
    </cfRule>
    <cfRule type="expression" priority="1166">
      <formula>(P575="")</formula>
    </cfRule>
  </conditionalFormatting>
  <conditionalFormatting sqref="P575">
    <cfRule type="expression" priority="1165">
      <formula>(P575="")</formula>
    </cfRule>
  </conditionalFormatting>
  <conditionalFormatting sqref="P577">
    <cfRule type="expression" priority="1163">
      <formula>(P577="")</formula>
    </cfRule>
  </conditionalFormatting>
  <conditionalFormatting sqref="P578">
    <cfRule type="expression" dxfId="364" priority="1160">
      <formula>IF(M578="NO BET", TRUE, FALSE)</formula>
    </cfRule>
    <cfRule type="expression" priority="1162">
      <formula>(P578="")</formula>
    </cfRule>
  </conditionalFormatting>
  <conditionalFormatting sqref="P578">
    <cfRule type="expression" priority="1161">
      <formula>(P578="")</formula>
    </cfRule>
  </conditionalFormatting>
  <conditionalFormatting sqref="P577">
    <cfRule type="expression" dxfId="363" priority="1157">
      <formula>IF(M577="NO BET", TRUE, FALSE)</formula>
    </cfRule>
    <cfRule type="expression" priority="1159">
      <formula>(P577="")</formula>
    </cfRule>
  </conditionalFormatting>
  <conditionalFormatting sqref="P577">
    <cfRule type="expression" priority="1158">
      <formula>(P577="")</formula>
    </cfRule>
  </conditionalFormatting>
  <conditionalFormatting sqref="P579:P582">
    <cfRule type="expression" dxfId="362" priority="1155">
      <formula>AND(NOT(L579=P579),NOT(P579=""))</formula>
    </cfRule>
    <cfRule type="expression" dxfId="361" priority="1156">
      <formula>AND((L579=P579),NOT(P579=""))</formula>
    </cfRule>
  </conditionalFormatting>
  <conditionalFormatting sqref="P579">
    <cfRule type="expression" priority="1154">
      <formula>(P579="")</formula>
    </cfRule>
  </conditionalFormatting>
  <conditionalFormatting sqref="P580">
    <cfRule type="expression" dxfId="360" priority="1147">
      <formula>IF(M580="NO BET", TRUE, FALSE)</formula>
    </cfRule>
    <cfRule type="expression" priority="1153">
      <formula>(P580="")</formula>
    </cfRule>
  </conditionalFormatting>
  <conditionalFormatting sqref="P581">
    <cfRule type="expression" priority="1152">
      <formula>(P581="")</formula>
    </cfRule>
  </conditionalFormatting>
  <conditionalFormatting sqref="P582">
    <cfRule type="expression" priority="1151">
      <formula>(P582="")</formula>
    </cfRule>
  </conditionalFormatting>
  <conditionalFormatting sqref="P580">
    <cfRule type="expression" priority="1150">
      <formula>(P580="")</formula>
    </cfRule>
  </conditionalFormatting>
  <conditionalFormatting sqref="P581">
    <cfRule type="expression" priority="1149">
      <formula>(P581="")</formula>
    </cfRule>
  </conditionalFormatting>
  <conditionalFormatting sqref="P582">
    <cfRule type="expression" priority="1148">
      <formula>(P582="")</formula>
    </cfRule>
  </conditionalFormatting>
  <conditionalFormatting sqref="P579">
    <cfRule type="expression" dxfId="359" priority="1144">
      <formula>IF(M579="NO BET", TRUE, FALSE)</formula>
    </cfRule>
    <cfRule type="expression" priority="1146">
      <formula>(P579="")</formula>
    </cfRule>
  </conditionalFormatting>
  <conditionalFormatting sqref="P579">
    <cfRule type="expression" priority="1145">
      <formula>(P579="")</formula>
    </cfRule>
  </conditionalFormatting>
  <conditionalFormatting sqref="P581">
    <cfRule type="expression" priority="1143">
      <formula>(P581="")</formula>
    </cfRule>
  </conditionalFormatting>
  <conditionalFormatting sqref="P582">
    <cfRule type="expression" dxfId="358" priority="1140">
      <formula>IF(M582="NO BET", TRUE, FALSE)</formula>
    </cfRule>
    <cfRule type="expression" priority="1142">
      <formula>(P582="")</formula>
    </cfRule>
  </conditionalFormatting>
  <conditionalFormatting sqref="P582">
    <cfRule type="expression" priority="1141">
      <formula>(P582="")</formula>
    </cfRule>
  </conditionalFormatting>
  <conditionalFormatting sqref="P581">
    <cfRule type="expression" dxfId="357" priority="1137">
      <formula>IF(M581="NO BET", TRUE, FALSE)</formula>
    </cfRule>
    <cfRule type="expression" priority="1139">
      <formula>(P581="")</formula>
    </cfRule>
  </conditionalFormatting>
  <conditionalFormatting sqref="P581">
    <cfRule type="expression" priority="1138">
      <formula>(P581="")</formula>
    </cfRule>
  </conditionalFormatting>
  <conditionalFormatting sqref="P587:P592">
    <cfRule type="expression" dxfId="356" priority="1135">
      <formula>AND(NOT(L587=P587),NOT(P587=""))</formula>
    </cfRule>
    <cfRule type="expression" dxfId="355" priority="1136">
      <formula>AND((L587=P587),NOT(P587=""))</formula>
    </cfRule>
  </conditionalFormatting>
  <conditionalFormatting sqref="P587">
    <cfRule type="expression" priority="1134">
      <formula>(P587="")</formula>
    </cfRule>
  </conditionalFormatting>
  <conditionalFormatting sqref="P588">
    <cfRule type="expression" dxfId="354" priority="1123">
      <formula>IF(M588="NO BET", TRUE, FALSE)</formula>
    </cfRule>
    <cfRule type="expression" priority="1133">
      <formula>(P588="")</formula>
    </cfRule>
  </conditionalFormatting>
  <conditionalFormatting sqref="P589">
    <cfRule type="expression" priority="1132">
      <formula>(P589="")</formula>
    </cfRule>
  </conditionalFormatting>
  <conditionalFormatting sqref="P590">
    <cfRule type="expression" priority="1131">
      <formula>(P590="")</formula>
    </cfRule>
  </conditionalFormatting>
  <conditionalFormatting sqref="P591">
    <cfRule type="expression" priority="1130">
      <formula>(P591="")</formula>
    </cfRule>
  </conditionalFormatting>
  <conditionalFormatting sqref="P592">
    <cfRule type="expression" priority="1129">
      <formula>(P592="")</formula>
    </cfRule>
  </conditionalFormatting>
  <conditionalFormatting sqref="P588">
    <cfRule type="expression" priority="1128">
      <formula>(P588="")</formula>
    </cfRule>
  </conditionalFormatting>
  <conditionalFormatting sqref="P589">
    <cfRule type="expression" priority="1127">
      <formula>(P589="")</formula>
    </cfRule>
  </conditionalFormatting>
  <conditionalFormatting sqref="P590">
    <cfRule type="expression" priority="1126">
      <formula>(P590="")</formula>
    </cfRule>
  </conditionalFormatting>
  <conditionalFormatting sqref="P591">
    <cfRule type="expression" priority="1125">
      <formula>(P591="")</formula>
    </cfRule>
  </conditionalFormatting>
  <conditionalFormatting sqref="P592">
    <cfRule type="expression" priority="1124">
      <formula>(P592="")</formula>
    </cfRule>
  </conditionalFormatting>
  <conditionalFormatting sqref="P587">
    <cfRule type="expression" dxfId="353" priority="1120">
      <formula>IF(M587="NO BET", TRUE, FALSE)</formula>
    </cfRule>
    <cfRule type="expression" priority="1122">
      <formula>(P587="")</formula>
    </cfRule>
  </conditionalFormatting>
  <conditionalFormatting sqref="P587">
    <cfRule type="expression" priority="1121">
      <formula>(P587="")</formula>
    </cfRule>
  </conditionalFormatting>
  <conditionalFormatting sqref="P589">
    <cfRule type="expression" priority="1119">
      <formula>(P589="")</formula>
    </cfRule>
  </conditionalFormatting>
  <conditionalFormatting sqref="P590">
    <cfRule type="expression" dxfId="352" priority="1116">
      <formula>IF(M590="NO BET", TRUE, FALSE)</formula>
    </cfRule>
    <cfRule type="expression" priority="1118">
      <formula>(P590="")</formula>
    </cfRule>
  </conditionalFormatting>
  <conditionalFormatting sqref="P590">
    <cfRule type="expression" priority="1117">
      <formula>(P590="")</formula>
    </cfRule>
  </conditionalFormatting>
  <conditionalFormatting sqref="P589">
    <cfRule type="expression" dxfId="351" priority="1113">
      <formula>IF(M589="NO BET", TRUE, FALSE)</formula>
    </cfRule>
    <cfRule type="expression" priority="1115">
      <formula>(P589="")</formula>
    </cfRule>
  </conditionalFormatting>
  <conditionalFormatting sqref="P589">
    <cfRule type="expression" priority="1114">
      <formula>(P589="")</formula>
    </cfRule>
  </conditionalFormatting>
  <conditionalFormatting sqref="P591">
    <cfRule type="expression" priority="1112">
      <formula>(P591="")</formula>
    </cfRule>
  </conditionalFormatting>
  <conditionalFormatting sqref="P592">
    <cfRule type="expression" dxfId="350" priority="1109">
      <formula>IF(M592="NO BET", TRUE, FALSE)</formula>
    </cfRule>
    <cfRule type="expression" priority="1111">
      <formula>(P592="")</formula>
    </cfRule>
  </conditionalFormatting>
  <conditionalFormatting sqref="P592">
    <cfRule type="expression" priority="1110">
      <formula>(P592="")</formula>
    </cfRule>
  </conditionalFormatting>
  <conditionalFormatting sqref="P591">
    <cfRule type="expression" dxfId="349" priority="1106">
      <formula>IF(M591="NO BET", TRUE, FALSE)</formula>
    </cfRule>
    <cfRule type="expression" priority="1108">
      <formula>(P591="")</formula>
    </cfRule>
  </conditionalFormatting>
  <conditionalFormatting sqref="P591">
    <cfRule type="expression" priority="1107">
      <formula>(P591="")</formula>
    </cfRule>
  </conditionalFormatting>
  <conditionalFormatting sqref="P593:P596">
    <cfRule type="expression" dxfId="348" priority="1104">
      <formula>AND(NOT(L593=P593),NOT(P593=""))</formula>
    </cfRule>
    <cfRule type="expression" dxfId="347" priority="1105">
      <formula>AND((L593=P593),NOT(P593=""))</formula>
    </cfRule>
  </conditionalFormatting>
  <conditionalFormatting sqref="P593">
    <cfRule type="expression" priority="1103">
      <formula>(P593="")</formula>
    </cfRule>
  </conditionalFormatting>
  <conditionalFormatting sqref="P594">
    <cfRule type="expression" dxfId="346" priority="1096">
      <formula>IF(M594="NO BET", TRUE, FALSE)</formula>
    </cfRule>
    <cfRule type="expression" priority="1102">
      <formula>(P594="")</formula>
    </cfRule>
  </conditionalFormatting>
  <conditionalFormatting sqref="P595">
    <cfRule type="expression" priority="1101">
      <formula>(P595="")</formula>
    </cfRule>
  </conditionalFormatting>
  <conditionalFormatting sqref="P596">
    <cfRule type="expression" priority="1100">
      <formula>(P596="")</formula>
    </cfRule>
  </conditionalFormatting>
  <conditionalFormatting sqref="P594">
    <cfRule type="expression" priority="1099">
      <formula>(P594="")</formula>
    </cfRule>
  </conditionalFormatting>
  <conditionalFormatting sqref="P595">
    <cfRule type="expression" priority="1098">
      <formula>(P595="")</formula>
    </cfRule>
  </conditionalFormatting>
  <conditionalFormatting sqref="P596">
    <cfRule type="expression" priority="1097">
      <formula>(P596="")</formula>
    </cfRule>
  </conditionalFormatting>
  <conditionalFormatting sqref="P593">
    <cfRule type="expression" dxfId="345" priority="1093">
      <formula>IF(M593="NO BET", TRUE, FALSE)</formula>
    </cfRule>
    <cfRule type="expression" priority="1095">
      <formula>(P593="")</formula>
    </cfRule>
  </conditionalFormatting>
  <conditionalFormatting sqref="P593">
    <cfRule type="expression" priority="1094">
      <formula>(P593="")</formula>
    </cfRule>
  </conditionalFormatting>
  <conditionalFormatting sqref="P595">
    <cfRule type="expression" priority="1092">
      <formula>(P595="")</formula>
    </cfRule>
  </conditionalFormatting>
  <conditionalFormatting sqref="P596">
    <cfRule type="expression" dxfId="344" priority="1089">
      <formula>IF(M596="NO BET", TRUE, FALSE)</formula>
    </cfRule>
    <cfRule type="expression" priority="1091">
      <formula>(P596="")</formula>
    </cfRule>
  </conditionalFormatting>
  <conditionalFormatting sqref="P596">
    <cfRule type="expression" priority="1090">
      <formula>(P596="")</formula>
    </cfRule>
  </conditionalFormatting>
  <conditionalFormatting sqref="P595">
    <cfRule type="expression" dxfId="343" priority="1086">
      <formula>IF(M595="NO BET", TRUE, FALSE)</formula>
    </cfRule>
    <cfRule type="expression" priority="1088">
      <formula>(P595="")</formula>
    </cfRule>
  </conditionalFormatting>
  <conditionalFormatting sqref="P595">
    <cfRule type="expression" priority="1087">
      <formula>(P595="")</formula>
    </cfRule>
  </conditionalFormatting>
  <conditionalFormatting sqref="P431:P436">
    <cfRule type="expression" dxfId="342" priority="1084">
      <formula>AND(NOT(L431=P431),NOT(P431=""))</formula>
    </cfRule>
    <cfRule type="expression" dxfId="341" priority="1085">
      <formula>AND((L431=P431),NOT(P431=""))</formula>
    </cfRule>
  </conditionalFormatting>
  <conditionalFormatting sqref="P431">
    <cfRule type="expression" priority="1083">
      <formula>(P431="")</formula>
    </cfRule>
  </conditionalFormatting>
  <conditionalFormatting sqref="P432">
    <cfRule type="expression" dxfId="340" priority="1072">
      <formula>IF(M432="NO BET", TRUE, FALSE)</formula>
    </cfRule>
    <cfRule type="expression" priority="1082">
      <formula>(P432="")</formula>
    </cfRule>
  </conditionalFormatting>
  <conditionalFormatting sqref="P433">
    <cfRule type="expression" priority="1081">
      <formula>(P433="")</formula>
    </cfRule>
  </conditionalFormatting>
  <conditionalFormatting sqref="P434">
    <cfRule type="expression" priority="1080">
      <formula>(P434="")</formula>
    </cfRule>
  </conditionalFormatting>
  <conditionalFormatting sqref="P435">
    <cfRule type="expression" priority="1079">
      <formula>(P435="")</formula>
    </cfRule>
  </conditionalFormatting>
  <conditionalFormatting sqref="P436">
    <cfRule type="expression" priority="1078">
      <formula>(P436="")</formula>
    </cfRule>
  </conditionalFormatting>
  <conditionalFormatting sqref="P432">
    <cfRule type="expression" priority="1077">
      <formula>(P432="")</formula>
    </cfRule>
  </conditionalFormatting>
  <conditionalFormatting sqref="P433">
    <cfRule type="expression" priority="1076">
      <formula>(P433="")</formula>
    </cfRule>
  </conditionalFormatting>
  <conditionalFormatting sqref="P434">
    <cfRule type="expression" priority="1075">
      <formula>(P434="")</formula>
    </cfRule>
  </conditionalFormatting>
  <conditionalFormatting sqref="P435">
    <cfRule type="expression" priority="1074">
      <formula>(P435="")</formula>
    </cfRule>
  </conditionalFormatting>
  <conditionalFormatting sqref="P436">
    <cfRule type="expression" priority="1073">
      <formula>(P436="")</formula>
    </cfRule>
  </conditionalFormatting>
  <conditionalFormatting sqref="P431">
    <cfRule type="expression" dxfId="339" priority="1069">
      <formula>IF(M431="NO BET", TRUE, FALSE)</formula>
    </cfRule>
    <cfRule type="expression" priority="1071">
      <formula>(P431="")</formula>
    </cfRule>
  </conditionalFormatting>
  <conditionalFormatting sqref="P431">
    <cfRule type="expression" priority="1070">
      <formula>(P431="")</formula>
    </cfRule>
  </conditionalFormatting>
  <conditionalFormatting sqref="P433">
    <cfRule type="expression" priority="1068">
      <formula>(P433="")</formula>
    </cfRule>
  </conditionalFormatting>
  <conditionalFormatting sqref="P434">
    <cfRule type="expression" dxfId="338" priority="1065">
      <formula>IF(M434="NO BET", TRUE, FALSE)</formula>
    </cfRule>
    <cfRule type="expression" priority="1067">
      <formula>(P434="")</formula>
    </cfRule>
  </conditionalFormatting>
  <conditionalFormatting sqref="P434">
    <cfRule type="expression" priority="1066">
      <formula>(P434="")</formula>
    </cfRule>
  </conditionalFormatting>
  <conditionalFormatting sqref="P433">
    <cfRule type="expression" dxfId="337" priority="1062">
      <formula>IF(M433="NO BET", TRUE, FALSE)</formula>
    </cfRule>
    <cfRule type="expression" priority="1064">
      <formula>(P433="")</formula>
    </cfRule>
  </conditionalFormatting>
  <conditionalFormatting sqref="P433">
    <cfRule type="expression" priority="1063">
      <formula>(P433="")</formula>
    </cfRule>
  </conditionalFormatting>
  <conditionalFormatting sqref="P435">
    <cfRule type="expression" priority="1061">
      <formula>(P435="")</formula>
    </cfRule>
  </conditionalFormatting>
  <conditionalFormatting sqref="P436">
    <cfRule type="expression" dxfId="336" priority="1058">
      <formula>IF(M436="NO BET", TRUE, FALSE)</formula>
    </cfRule>
    <cfRule type="expression" priority="1060">
      <formula>(P436="")</formula>
    </cfRule>
  </conditionalFormatting>
  <conditionalFormatting sqref="P436">
    <cfRule type="expression" priority="1059">
      <formula>(P436="")</formula>
    </cfRule>
  </conditionalFormatting>
  <conditionalFormatting sqref="P435">
    <cfRule type="expression" dxfId="335" priority="1055">
      <formula>IF(M435="NO BET", TRUE, FALSE)</formula>
    </cfRule>
    <cfRule type="expression" priority="1057">
      <formula>(P435="")</formula>
    </cfRule>
  </conditionalFormatting>
  <conditionalFormatting sqref="P435">
    <cfRule type="expression" priority="1056">
      <formula>(P435="")</formula>
    </cfRule>
  </conditionalFormatting>
  <conditionalFormatting sqref="P437:P440">
    <cfRule type="expression" dxfId="334" priority="1053">
      <formula>AND(NOT(L437=P437),NOT(P437=""))</formula>
    </cfRule>
    <cfRule type="expression" dxfId="333" priority="1054">
      <formula>AND((L437=P437),NOT(P437=""))</formula>
    </cfRule>
  </conditionalFormatting>
  <conditionalFormatting sqref="P437">
    <cfRule type="expression" priority="1052">
      <formula>(P437="")</formula>
    </cfRule>
  </conditionalFormatting>
  <conditionalFormatting sqref="P438">
    <cfRule type="expression" dxfId="332" priority="1045">
      <formula>IF(M438="NO BET", TRUE, FALSE)</formula>
    </cfRule>
    <cfRule type="expression" priority="1051">
      <formula>(P438="")</formula>
    </cfRule>
  </conditionalFormatting>
  <conditionalFormatting sqref="P439">
    <cfRule type="expression" priority="1050">
      <formula>(P439="")</formula>
    </cfRule>
  </conditionalFormatting>
  <conditionalFormatting sqref="P440">
    <cfRule type="expression" priority="1049">
      <formula>(P440="")</formula>
    </cfRule>
  </conditionalFormatting>
  <conditionalFormatting sqref="P438">
    <cfRule type="expression" priority="1048">
      <formula>(P438="")</formula>
    </cfRule>
  </conditionalFormatting>
  <conditionalFormatting sqref="P439">
    <cfRule type="expression" priority="1047">
      <formula>(P439="")</formula>
    </cfRule>
  </conditionalFormatting>
  <conditionalFormatting sqref="P440">
    <cfRule type="expression" priority="1046">
      <formula>(P440="")</formula>
    </cfRule>
  </conditionalFormatting>
  <conditionalFormatting sqref="P437">
    <cfRule type="expression" dxfId="331" priority="1042">
      <formula>IF(M437="NO BET", TRUE, FALSE)</formula>
    </cfRule>
    <cfRule type="expression" priority="1044">
      <formula>(P437="")</formula>
    </cfRule>
  </conditionalFormatting>
  <conditionalFormatting sqref="P437">
    <cfRule type="expression" priority="1043">
      <formula>(P437="")</formula>
    </cfRule>
  </conditionalFormatting>
  <conditionalFormatting sqref="P439">
    <cfRule type="expression" priority="1041">
      <formula>(P439="")</formula>
    </cfRule>
  </conditionalFormatting>
  <conditionalFormatting sqref="P440">
    <cfRule type="expression" dxfId="330" priority="1038">
      <formula>IF(M440="NO BET", TRUE, FALSE)</formula>
    </cfRule>
    <cfRule type="expression" priority="1040">
      <formula>(P440="")</formula>
    </cfRule>
  </conditionalFormatting>
  <conditionalFormatting sqref="P440">
    <cfRule type="expression" priority="1039">
      <formula>(P440="")</formula>
    </cfRule>
  </conditionalFormatting>
  <conditionalFormatting sqref="P439">
    <cfRule type="expression" dxfId="329" priority="1035">
      <formula>IF(M439="NO BET", TRUE, FALSE)</formula>
    </cfRule>
    <cfRule type="expression" priority="1037">
      <formula>(P439="")</formula>
    </cfRule>
  </conditionalFormatting>
  <conditionalFormatting sqref="P439">
    <cfRule type="expression" priority="1036">
      <formula>(P439="")</formula>
    </cfRule>
  </conditionalFormatting>
  <conditionalFormatting sqref="P417:P422">
    <cfRule type="expression" dxfId="328" priority="1033">
      <formula>AND(NOT(L417=P417),NOT(P417=""))</formula>
    </cfRule>
    <cfRule type="expression" dxfId="327" priority="1034">
      <formula>AND((L417=P417),NOT(P417=""))</formula>
    </cfRule>
  </conditionalFormatting>
  <conditionalFormatting sqref="P417">
    <cfRule type="expression" priority="1032">
      <formula>(P417="")</formula>
    </cfRule>
  </conditionalFormatting>
  <conditionalFormatting sqref="P418">
    <cfRule type="expression" dxfId="326" priority="1021">
      <formula>IF(M418="NO BET", TRUE, FALSE)</formula>
    </cfRule>
    <cfRule type="expression" priority="1031">
      <formula>(P418="")</formula>
    </cfRule>
  </conditionalFormatting>
  <conditionalFormatting sqref="P419">
    <cfRule type="expression" priority="1030">
      <formula>(P419="")</formula>
    </cfRule>
  </conditionalFormatting>
  <conditionalFormatting sqref="P420">
    <cfRule type="expression" priority="1029">
      <formula>(P420="")</formula>
    </cfRule>
  </conditionalFormatting>
  <conditionalFormatting sqref="P421">
    <cfRule type="expression" priority="1028">
      <formula>(P421="")</formula>
    </cfRule>
  </conditionalFormatting>
  <conditionalFormatting sqref="P422">
    <cfRule type="expression" priority="1027">
      <formula>(P422="")</formula>
    </cfRule>
  </conditionalFormatting>
  <conditionalFormatting sqref="P418">
    <cfRule type="expression" priority="1026">
      <formula>(P418="")</formula>
    </cfRule>
  </conditionalFormatting>
  <conditionalFormatting sqref="P419">
    <cfRule type="expression" priority="1025">
      <formula>(P419="")</formula>
    </cfRule>
  </conditionalFormatting>
  <conditionalFormatting sqref="P420">
    <cfRule type="expression" priority="1024">
      <formula>(P420="")</formula>
    </cfRule>
  </conditionalFormatting>
  <conditionalFormatting sqref="P421">
    <cfRule type="expression" priority="1023">
      <formula>(P421="")</formula>
    </cfRule>
  </conditionalFormatting>
  <conditionalFormatting sqref="P422">
    <cfRule type="expression" priority="1022">
      <formula>(P422="")</formula>
    </cfRule>
  </conditionalFormatting>
  <conditionalFormatting sqref="P417">
    <cfRule type="expression" dxfId="325" priority="1018">
      <formula>IF(M417="NO BET", TRUE, FALSE)</formula>
    </cfRule>
    <cfRule type="expression" priority="1020">
      <formula>(P417="")</formula>
    </cfRule>
  </conditionalFormatting>
  <conditionalFormatting sqref="P417">
    <cfRule type="expression" priority="1019">
      <formula>(P417="")</formula>
    </cfRule>
  </conditionalFormatting>
  <conditionalFormatting sqref="P419">
    <cfRule type="expression" priority="1017">
      <formula>(P419="")</formula>
    </cfRule>
  </conditionalFormatting>
  <conditionalFormatting sqref="P420">
    <cfRule type="expression" dxfId="324" priority="1014">
      <formula>IF(M420="NO BET", TRUE, FALSE)</formula>
    </cfRule>
    <cfRule type="expression" priority="1016">
      <formula>(P420="")</formula>
    </cfRule>
  </conditionalFormatting>
  <conditionalFormatting sqref="P420">
    <cfRule type="expression" priority="1015">
      <formula>(P420="")</formula>
    </cfRule>
  </conditionalFormatting>
  <conditionalFormatting sqref="P419">
    <cfRule type="expression" dxfId="323" priority="1011">
      <formula>IF(M419="NO BET", TRUE, FALSE)</formula>
    </cfRule>
    <cfRule type="expression" priority="1013">
      <formula>(P419="")</formula>
    </cfRule>
  </conditionalFormatting>
  <conditionalFormatting sqref="P419">
    <cfRule type="expression" priority="1012">
      <formula>(P419="")</formula>
    </cfRule>
  </conditionalFormatting>
  <conditionalFormatting sqref="P421">
    <cfRule type="expression" priority="1010">
      <formula>(P421="")</formula>
    </cfRule>
  </conditionalFormatting>
  <conditionalFormatting sqref="P422">
    <cfRule type="expression" dxfId="322" priority="1007">
      <formula>IF(M422="NO BET", TRUE, FALSE)</formula>
    </cfRule>
    <cfRule type="expression" priority="1009">
      <formula>(P422="")</formula>
    </cfRule>
  </conditionalFormatting>
  <conditionalFormatting sqref="P422">
    <cfRule type="expression" priority="1008">
      <formula>(P422="")</formula>
    </cfRule>
  </conditionalFormatting>
  <conditionalFormatting sqref="P421">
    <cfRule type="expression" dxfId="321" priority="1004">
      <formula>IF(M421="NO BET", TRUE, FALSE)</formula>
    </cfRule>
    <cfRule type="expression" priority="1006">
      <formula>(P421="")</formula>
    </cfRule>
  </conditionalFormatting>
  <conditionalFormatting sqref="P421">
    <cfRule type="expression" priority="1005">
      <formula>(P421="")</formula>
    </cfRule>
  </conditionalFormatting>
  <conditionalFormatting sqref="P423:P426">
    <cfRule type="expression" dxfId="320" priority="1002">
      <formula>AND(NOT(L423=P423),NOT(P423=""))</formula>
    </cfRule>
    <cfRule type="expression" dxfId="319" priority="1003">
      <formula>AND((L423=P423),NOT(P423=""))</formula>
    </cfRule>
  </conditionalFormatting>
  <conditionalFormatting sqref="P423">
    <cfRule type="expression" priority="1001">
      <formula>(P423="")</formula>
    </cfRule>
  </conditionalFormatting>
  <conditionalFormatting sqref="P424">
    <cfRule type="expression" dxfId="318" priority="994">
      <formula>IF(M424="NO BET", TRUE, FALSE)</formula>
    </cfRule>
    <cfRule type="expression" priority="1000">
      <formula>(P424="")</formula>
    </cfRule>
  </conditionalFormatting>
  <conditionalFormatting sqref="P425">
    <cfRule type="expression" priority="999">
      <formula>(P425="")</formula>
    </cfRule>
  </conditionalFormatting>
  <conditionalFormatting sqref="P426">
    <cfRule type="expression" priority="998">
      <formula>(P426="")</formula>
    </cfRule>
  </conditionalFormatting>
  <conditionalFormatting sqref="P424">
    <cfRule type="expression" priority="997">
      <formula>(P424="")</formula>
    </cfRule>
  </conditionalFormatting>
  <conditionalFormatting sqref="P425">
    <cfRule type="expression" priority="996">
      <formula>(P425="")</formula>
    </cfRule>
  </conditionalFormatting>
  <conditionalFormatting sqref="P426">
    <cfRule type="expression" priority="995">
      <formula>(P426="")</formula>
    </cfRule>
  </conditionalFormatting>
  <conditionalFormatting sqref="P423">
    <cfRule type="expression" dxfId="317" priority="991">
      <formula>IF(M423="NO BET", TRUE, FALSE)</formula>
    </cfRule>
    <cfRule type="expression" priority="993">
      <formula>(P423="")</formula>
    </cfRule>
  </conditionalFormatting>
  <conditionalFormatting sqref="P423">
    <cfRule type="expression" priority="992">
      <formula>(P423="")</formula>
    </cfRule>
  </conditionalFormatting>
  <conditionalFormatting sqref="P425">
    <cfRule type="expression" priority="990">
      <formula>(P425="")</formula>
    </cfRule>
  </conditionalFormatting>
  <conditionalFormatting sqref="P426">
    <cfRule type="expression" dxfId="316" priority="987">
      <formula>IF(M426="NO BET", TRUE, FALSE)</formula>
    </cfRule>
    <cfRule type="expression" priority="989">
      <formula>(P426="")</formula>
    </cfRule>
  </conditionalFormatting>
  <conditionalFormatting sqref="P426">
    <cfRule type="expression" priority="988">
      <formula>(P426="")</formula>
    </cfRule>
  </conditionalFormatting>
  <conditionalFormatting sqref="P425">
    <cfRule type="expression" dxfId="315" priority="984">
      <formula>IF(M425="NO BET", TRUE, FALSE)</formula>
    </cfRule>
    <cfRule type="expression" priority="986">
      <formula>(P425="")</formula>
    </cfRule>
  </conditionalFormatting>
  <conditionalFormatting sqref="P425">
    <cfRule type="expression" priority="985">
      <formula>(P425="")</formula>
    </cfRule>
  </conditionalFormatting>
  <conditionalFormatting sqref="P403:P408">
    <cfRule type="expression" dxfId="314" priority="982">
      <formula>AND(NOT(L403=P403),NOT(P403=""))</formula>
    </cfRule>
    <cfRule type="expression" dxfId="313" priority="983">
      <formula>AND((L403=P403),NOT(P403=""))</formula>
    </cfRule>
  </conditionalFormatting>
  <conditionalFormatting sqref="P403">
    <cfRule type="expression" priority="981">
      <formula>(P403="")</formula>
    </cfRule>
  </conditionalFormatting>
  <conditionalFormatting sqref="P404">
    <cfRule type="expression" dxfId="312" priority="970">
      <formula>IF(M404="NO BET", TRUE, FALSE)</formula>
    </cfRule>
    <cfRule type="expression" priority="980">
      <formula>(P404="")</formula>
    </cfRule>
  </conditionalFormatting>
  <conditionalFormatting sqref="P405">
    <cfRule type="expression" priority="979">
      <formula>(P405="")</formula>
    </cfRule>
  </conditionalFormatting>
  <conditionalFormatting sqref="P406">
    <cfRule type="expression" priority="978">
      <formula>(P406="")</formula>
    </cfRule>
  </conditionalFormatting>
  <conditionalFormatting sqref="P407">
    <cfRule type="expression" priority="977">
      <formula>(P407="")</formula>
    </cfRule>
  </conditionalFormatting>
  <conditionalFormatting sqref="P408">
    <cfRule type="expression" priority="976">
      <formula>(P408="")</formula>
    </cfRule>
  </conditionalFormatting>
  <conditionalFormatting sqref="P404">
    <cfRule type="expression" priority="975">
      <formula>(P404="")</formula>
    </cfRule>
  </conditionalFormatting>
  <conditionalFormatting sqref="P405">
    <cfRule type="expression" priority="974">
      <formula>(P405="")</formula>
    </cfRule>
  </conditionalFormatting>
  <conditionalFormatting sqref="P406">
    <cfRule type="expression" priority="973">
      <formula>(P406="")</formula>
    </cfRule>
  </conditionalFormatting>
  <conditionalFormatting sqref="P407">
    <cfRule type="expression" priority="972">
      <formula>(P407="")</formula>
    </cfRule>
  </conditionalFormatting>
  <conditionalFormatting sqref="P408">
    <cfRule type="expression" priority="971">
      <formula>(P408="")</formula>
    </cfRule>
  </conditionalFormatting>
  <conditionalFormatting sqref="P403">
    <cfRule type="expression" dxfId="311" priority="967">
      <formula>IF(M403="NO BET", TRUE, FALSE)</formula>
    </cfRule>
    <cfRule type="expression" priority="969">
      <formula>(P403="")</formula>
    </cfRule>
  </conditionalFormatting>
  <conditionalFormatting sqref="P403">
    <cfRule type="expression" priority="968">
      <formula>(P403="")</formula>
    </cfRule>
  </conditionalFormatting>
  <conditionalFormatting sqref="P405">
    <cfRule type="expression" priority="966">
      <formula>(P405="")</formula>
    </cfRule>
  </conditionalFormatting>
  <conditionalFormatting sqref="P406">
    <cfRule type="expression" dxfId="310" priority="963">
      <formula>IF(M406="NO BET", TRUE, FALSE)</formula>
    </cfRule>
    <cfRule type="expression" priority="965">
      <formula>(P406="")</formula>
    </cfRule>
  </conditionalFormatting>
  <conditionalFormatting sqref="P406">
    <cfRule type="expression" priority="964">
      <formula>(P406="")</formula>
    </cfRule>
  </conditionalFormatting>
  <conditionalFormatting sqref="P405">
    <cfRule type="expression" dxfId="309" priority="960">
      <formula>IF(M405="NO BET", TRUE, FALSE)</formula>
    </cfRule>
    <cfRule type="expression" priority="962">
      <formula>(P405="")</formula>
    </cfRule>
  </conditionalFormatting>
  <conditionalFormatting sqref="P405">
    <cfRule type="expression" priority="961">
      <formula>(P405="")</formula>
    </cfRule>
  </conditionalFormatting>
  <conditionalFormatting sqref="P407">
    <cfRule type="expression" priority="959">
      <formula>(P407="")</formula>
    </cfRule>
  </conditionalFormatting>
  <conditionalFormatting sqref="P408">
    <cfRule type="expression" dxfId="308" priority="956">
      <formula>IF(M408="NO BET", TRUE, FALSE)</formula>
    </cfRule>
    <cfRule type="expression" priority="958">
      <formula>(P408="")</formula>
    </cfRule>
  </conditionalFormatting>
  <conditionalFormatting sqref="P408">
    <cfRule type="expression" priority="957">
      <formula>(P408="")</formula>
    </cfRule>
  </conditionalFormatting>
  <conditionalFormatting sqref="P407">
    <cfRule type="expression" dxfId="307" priority="953">
      <formula>IF(M407="NO BET", TRUE, FALSE)</formula>
    </cfRule>
    <cfRule type="expression" priority="955">
      <formula>(P407="")</formula>
    </cfRule>
  </conditionalFormatting>
  <conditionalFormatting sqref="P407">
    <cfRule type="expression" priority="954">
      <formula>(P407="")</formula>
    </cfRule>
  </conditionalFormatting>
  <conditionalFormatting sqref="P409:P412">
    <cfRule type="expression" dxfId="306" priority="951">
      <formula>AND(NOT(L409=P409),NOT(P409=""))</formula>
    </cfRule>
    <cfRule type="expression" dxfId="305" priority="952">
      <formula>AND((L409=P409),NOT(P409=""))</formula>
    </cfRule>
  </conditionalFormatting>
  <conditionalFormatting sqref="P409">
    <cfRule type="expression" priority="950">
      <formula>(P409="")</formula>
    </cfRule>
  </conditionalFormatting>
  <conditionalFormatting sqref="P410">
    <cfRule type="expression" dxfId="304" priority="943">
      <formula>IF(M410="NO BET", TRUE, FALSE)</formula>
    </cfRule>
    <cfRule type="expression" priority="949">
      <formula>(P410="")</formula>
    </cfRule>
  </conditionalFormatting>
  <conditionalFormatting sqref="P411">
    <cfRule type="expression" priority="948">
      <formula>(P411="")</formula>
    </cfRule>
  </conditionalFormatting>
  <conditionalFormatting sqref="P412">
    <cfRule type="expression" priority="947">
      <formula>(P412="")</formula>
    </cfRule>
  </conditionalFormatting>
  <conditionalFormatting sqref="P410">
    <cfRule type="expression" priority="946">
      <formula>(P410="")</formula>
    </cfRule>
  </conditionalFormatting>
  <conditionalFormatting sqref="P411">
    <cfRule type="expression" priority="945">
      <formula>(P411="")</formula>
    </cfRule>
  </conditionalFormatting>
  <conditionalFormatting sqref="P412">
    <cfRule type="expression" priority="944">
      <formula>(P412="")</formula>
    </cfRule>
  </conditionalFormatting>
  <conditionalFormatting sqref="P409">
    <cfRule type="expression" dxfId="303" priority="940">
      <formula>IF(M409="NO BET", TRUE, FALSE)</formula>
    </cfRule>
    <cfRule type="expression" priority="942">
      <formula>(P409="")</formula>
    </cfRule>
  </conditionalFormatting>
  <conditionalFormatting sqref="P409">
    <cfRule type="expression" priority="941">
      <formula>(P409="")</formula>
    </cfRule>
  </conditionalFormatting>
  <conditionalFormatting sqref="P411">
    <cfRule type="expression" priority="939">
      <formula>(P411="")</formula>
    </cfRule>
  </conditionalFormatting>
  <conditionalFormatting sqref="P412">
    <cfRule type="expression" dxfId="302" priority="936">
      <formula>IF(M412="NO BET", TRUE, FALSE)</formula>
    </cfRule>
    <cfRule type="expression" priority="938">
      <formula>(P412="")</formula>
    </cfRule>
  </conditionalFormatting>
  <conditionalFormatting sqref="P412">
    <cfRule type="expression" priority="937">
      <formula>(P412="")</formula>
    </cfRule>
  </conditionalFormatting>
  <conditionalFormatting sqref="P411">
    <cfRule type="expression" dxfId="301" priority="933">
      <formula>IF(M411="NO BET", TRUE, FALSE)</formula>
    </cfRule>
    <cfRule type="expression" priority="935">
      <formula>(P411="")</formula>
    </cfRule>
  </conditionalFormatting>
  <conditionalFormatting sqref="P411">
    <cfRule type="expression" priority="934">
      <formula>(P411="")</formula>
    </cfRule>
  </conditionalFormatting>
  <conditionalFormatting sqref="P375:P380">
    <cfRule type="expression" dxfId="300" priority="931">
      <formula>AND(NOT(L375=P375),NOT(P375=""))</formula>
    </cfRule>
    <cfRule type="expression" dxfId="299" priority="932">
      <formula>AND((L375=P375),NOT(P375=""))</formula>
    </cfRule>
  </conditionalFormatting>
  <conditionalFormatting sqref="P375">
    <cfRule type="expression" priority="930">
      <formula>(P375="")</formula>
    </cfRule>
  </conditionalFormatting>
  <conditionalFormatting sqref="P376">
    <cfRule type="expression" dxfId="298" priority="919">
      <formula>IF(M376="NO BET", TRUE, FALSE)</formula>
    </cfRule>
    <cfRule type="expression" priority="929">
      <formula>(P376="")</formula>
    </cfRule>
  </conditionalFormatting>
  <conditionalFormatting sqref="P377">
    <cfRule type="expression" priority="928">
      <formula>(P377="")</formula>
    </cfRule>
  </conditionalFormatting>
  <conditionalFormatting sqref="P378">
    <cfRule type="expression" priority="927">
      <formula>(P378="")</formula>
    </cfRule>
  </conditionalFormatting>
  <conditionalFormatting sqref="P379">
    <cfRule type="expression" priority="926">
      <formula>(P379="")</formula>
    </cfRule>
  </conditionalFormatting>
  <conditionalFormatting sqref="P380">
    <cfRule type="expression" priority="925">
      <formula>(P380="")</formula>
    </cfRule>
  </conditionalFormatting>
  <conditionalFormatting sqref="P376">
    <cfRule type="expression" priority="924">
      <formula>(P376="")</formula>
    </cfRule>
  </conditionalFormatting>
  <conditionalFormatting sqref="P377">
    <cfRule type="expression" priority="923">
      <formula>(P377="")</formula>
    </cfRule>
  </conditionalFormatting>
  <conditionalFormatting sqref="P378">
    <cfRule type="expression" priority="922">
      <formula>(P378="")</formula>
    </cfRule>
  </conditionalFormatting>
  <conditionalFormatting sqref="P379">
    <cfRule type="expression" priority="921">
      <formula>(P379="")</formula>
    </cfRule>
  </conditionalFormatting>
  <conditionalFormatting sqref="P380">
    <cfRule type="expression" priority="920">
      <formula>(P380="")</formula>
    </cfRule>
  </conditionalFormatting>
  <conditionalFormatting sqref="P375">
    <cfRule type="expression" dxfId="297" priority="916">
      <formula>IF(M375="NO BET", TRUE, FALSE)</formula>
    </cfRule>
    <cfRule type="expression" priority="918">
      <formula>(P375="")</formula>
    </cfRule>
  </conditionalFormatting>
  <conditionalFormatting sqref="P375">
    <cfRule type="expression" priority="917">
      <formula>(P375="")</formula>
    </cfRule>
  </conditionalFormatting>
  <conditionalFormatting sqref="P377">
    <cfRule type="expression" priority="915">
      <formula>(P377="")</formula>
    </cfRule>
  </conditionalFormatting>
  <conditionalFormatting sqref="P378">
    <cfRule type="expression" dxfId="296" priority="912">
      <formula>IF(M378="NO BET", TRUE, FALSE)</formula>
    </cfRule>
    <cfRule type="expression" priority="914">
      <formula>(P378="")</formula>
    </cfRule>
  </conditionalFormatting>
  <conditionalFormatting sqref="P378">
    <cfRule type="expression" priority="913">
      <formula>(P378="")</formula>
    </cfRule>
  </conditionalFormatting>
  <conditionalFormatting sqref="P377">
    <cfRule type="expression" dxfId="295" priority="909">
      <formula>IF(M377="NO BET", TRUE, FALSE)</formula>
    </cfRule>
    <cfRule type="expression" priority="911">
      <formula>(P377="")</formula>
    </cfRule>
  </conditionalFormatting>
  <conditionalFormatting sqref="P377">
    <cfRule type="expression" priority="910">
      <formula>(P377="")</formula>
    </cfRule>
  </conditionalFormatting>
  <conditionalFormatting sqref="P379">
    <cfRule type="expression" priority="908">
      <formula>(P379="")</formula>
    </cfRule>
  </conditionalFormatting>
  <conditionalFormatting sqref="P380">
    <cfRule type="expression" dxfId="294" priority="905">
      <formula>IF(M380="NO BET", TRUE, FALSE)</formula>
    </cfRule>
    <cfRule type="expression" priority="907">
      <formula>(P380="")</formula>
    </cfRule>
  </conditionalFormatting>
  <conditionalFormatting sqref="P380">
    <cfRule type="expression" priority="906">
      <formula>(P380="")</formula>
    </cfRule>
  </conditionalFormatting>
  <conditionalFormatting sqref="P379">
    <cfRule type="expression" dxfId="293" priority="902">
      <formula>IF(M379="NO BET", TRUE, FALSE)</formula>
    </cfRule>
    <cfRule type="expression" priority="904">
      <formula>(P379="")</formula>
    </cfRule>
  </conditionalFormatting>
  <conditionalFormatting sqref="P379">
    <cfRule type="expression" priority="903">
      <formula>(P379="")</formula>
    </cfRule>
  </conditionalFormatting>
  <conditionalFormatting sqref="P381:P384">
    <cfRule type="expression" dxfId="292" priority="900">
      <formula>AND(NOT(L381=P381),NOT(P381=""))</formula>
    </cfRule>
    <cfRule type="expression" dxfId="291" priority="901">
      <formula>AND((L381=P381),NOT(P381=""))</formula>
    </cfRule>
  </conditionalFormatting>
  <conditionalFormatting sqref="P381">
    <cfRule type="expression" priority="899">
      <formula>(P381="")</formula>
    </cfRule>
  </conditionalFormatting>
  <conditionalFormatting sqref="P382">
    <cfRule type="expression" dxfId="290" priority="892">
      <formula>IF(M382="NO BET", TRUE, FALSE)</formula>
    </cfRule>
    <cfRule type="expression" priority="898">
      <formula>(P382="")</formula>
    </cfRule>
  </conditionalFormatting>
  <conditionalFormatting sqref="P383">
    <cfRule type="expression" priority="897">
      <formula>(P383="")</formula>
    </cfRule>
  </conditionalFormatting>
  <conditionalFormatting sqref="P384">
    <cfRule type="expression" priority="896">
      <formula>(P384="")</formula>
    </cfRule>
  </conditionalFormatting>
  <conditionalFormatting sqref="P382">
    <cfRule type="expression" priority="895">
      <formula>(P382="")</formula>
    </cfRule>
  </conditionalFormatting>
  <conditionalFormatting sqref="P383">
    <cfRule type="expression" priority="894">
      <formula>(P383="")</formula>
    </cfRule>
  </conditionalFormatting>
  <conditionalFormatting sqref="P384">
    <cfRule type="expression" priority="893">
      <formula>(P384="")</formula>
    </cfRule>
  </conditionalFormatting>
  <conditionalFormatting sqref="P381">
    <cfRule type="expression" dxfId="289" priority="889">
      <formula>IF(M381="NO BET", TRUE, FALSE)</formula>
    </cfRule>
    <cfRule type="expression" priority="891">
      <formula>(P381="")</formula>
    </cfRule>
  </conditionalFormatting>
  <conditionalFormatting sqref="P381">
    <cfRule type="expression" priority="890">
      <formula>(P381="")</formula>
    </cfRule>
  </conditionalFormatting>
  <conditionalFormatting sqref="P383">
    <cfRule type="expression" priority="888">
      <formula>(P383="")</formula>
    </cfRule>
  </conditionalFormatting>
  <conditionalFormatting sqref="P384">
    <cfRule type="expression" dxfId="288" priority="885">
      <formula>IF(M384="NO BET", TRUE, FALSE)</formula>
    </cfRule>
    <cfRule type="expression" priority="887">
      <formula>(P384="")</formula>
    </cfRule>
  </conditionalFormatting>
  <conditionalFormatting sqref="P384">
    <cfRule type="expression" priority="886">
      <formula>(P384="")</formula>
    </cfRule>
  </conditionalFormatting>
  <conditionalFormatting sqref="P383">
    <cfRule type="expression" dxfId="287" priority="882">
      <formula>IF(M383="NO BET", TRUE, FALSE)</formula>
    </cfRule>
    <cfRule type="expression" priority="884">
      <formula>(P383="")</formula>
    </cfRule>
  </conditionalFormatting>
  <conditionalFormatting sqref="P383">
    <cfRule type="expression" priority="883">
      <formula>(P383="")</formula>
    </cfRule>
  </conditionalFormatting>
  <conditionalFormatting sqref="P361:P366">
    <cfRule type="expression" dxfId="286" priority="880">
      <formula>AND(NOT(L361=P361),NOT(P361=""))</formula>
    </cfRule>
    <cfRule type="expression" dxfId="285" priority="881">
      <formula>AND((L361=P361),NOT(P361=""))</formula>
    </cfRule>
  </conditionalFormatting>
  <conditionalFormatting sqref="P361">
    <cfRule type="expression" priority="879">
      <formula>(P361="")</formula>
    </cfRule>
  </conditionalFormatting>
  <conditionalFormatting sqref="P362">
    <cfRule type="expression" dxfId="284" priority="868">
      <formula>IF(M362="NO BET", TRUE, FALSE)</formula>
    </cfRule>
    <cfRule type="expression" priority="878">
      <formula>(P362="")</formula>
    </cfRule>
  </conditionalFormatting>
  <conditionalFormatting sqref="P363">
    <cfRule type="expression" priority="877">
      <formula>(P363="")</formula>
    </cfRule>
  </conditionalFormatting>
  <conditionalFormatting sqref="P364">
    <cfRule type="expression" priority="876">
      <formula>(P364="")</formula>
    </cfRule>
  </conditionalFormatting>
  <conditionalFormatting sqref="P365">
    <cfRule type="expression" priority="875">
      <formula>(P365="")</formula>
    </cfRule>
  </conditionalFormatting>
  <conditionalFormatting sqref="P366">
    <cfRule type="expression" priority="874">
      <formula>(P366="")</formula>
    </cfRule>
  </conditionalFormatting>
  <conditionalFormatting sqref="P362">
    <cfRule type="expression" priority="873">
      <formula>(P362="")</formula>
    </cfRule>
  </conditionalFormatting>
  <conditionalFormatting sqref="P363">
    <cfRule type="expression" priority="872">
      <formula>(P363="")</formula>
    </cfRule>
  </conditionalFormatting>
  <conditionalFormatting sqref="P364">
    <cfRule type="expression" priority="871">
      <formula>(P364="")</formula>
    </cfRule>
  </conditionalFormatting>
  <conditionalFormatting sqref="P365">
    <cfRule type="expression" priority="870">
      <formula>(P365="")</formula>
    </cfRule>
  </conditionalFormatting>
  <conditionalFormatting sqref="P366">
    <cfRule type="expression" priority="869">
      <formula>(P366="")</formula>
    </cfRule>
  </conditionalFormatting>
  <conditionalFormatting sqref="P361">
    <cfRule type="expression" dxfId="283" priority="865">
      <formula>IF(M361="NO BET", TRUE, FALSE)</formula>
    </cfRule>
    <cfRule type="expression" priority="867">
      <formula>(P361="")</formula>
    </cfRule>
  </conditionalFormatting>
  <conditionalFormatting sqref="P361">
    <cfRule type="expression" priority="866">
      <formula>(P361="")</formula>
    </cfRule>
  </conditionalFormatting>
  <conditionalFormatting sqref="P363">
    <cfRule type="expression" priority="864">
      <formula>(P363="")</formula>
    </cfRule>
  </conditionalFormatting>
  <conditionalFormatting sqref="P364">
    <cfRule type="expression" dxfId="282" priority="861">
      <formula>IF(M364="NO BET", TRUE, FALSE)</formula>
    </cfRule>
    <cfRule type="expression" priority="863">
      <formula>(P364="")</formula>
    </cfRule>
  </conditionalFormatting>
  <conditionalFormatting sqref="P364">
    <cfRule type="expression" priority="862">
      <formula>(P364="")</formula>
    </cfRule>
  </conditionalFormatting>
  <conditionalFormatting sqref="P363">
    <cfRule type="expression" dxfId="281" priority="858">
      <formula>IF(M363="NO BET", TRUE, FALSE)</formula>
    </cfRule>
    <cfRule type="expression" priority="860">
      <formula>(P363="")</formula>
    </cfRule>
  </conditionalFormatting>
  <conditionalFormatting sqref="P363">
    <cfRule type="expression" priority="859">
      <formula>(P363="")</formula>
    </cfRule>
  </conditionalFormatting>
  <conditionalFormatting sqref="P365">
    <cfRule type="expression" priority="857">
      <formula>(P365="")</formula>
    </cfRule>
  </conditionalFormatting>
  <conditionalFormatting sqref="P366">
    <cfRule type="expression" dxfId="280" priority="854">
      <formula>IF(M366="NO BET", TRUE, FALSE)</formula>
    </cfRule>
    <cfRule type="expression" priority="856">
      <formula>(P366="")</formula>
    </cfRule>
  </conditionalFormatting>
  <conditionalFormatting sqref="P366">
    <cfRule type="expression" priority="855">
      <formula>(P366="")</formula>
    </cfRule>
  </conditionalFormatting>
  <conditionalFormatting sqref="P365">
    <cfRule type="expression" dxfId="279" priority="851">
      <formula>IF(M365="NO BET", TRUE, FALSE)</formula>
    </cfRule>
    <cfRule type="expression" priority="853">
      <formula>(P365="")</formula>
    </cfRule>
  </conditionalFormatting>
  <conditionalFormatting sqref="P365">
    <cfRule type="expression" priority="852">
      <formula>(P365="")</formula>
    </cfRule>
  </conditionalFormatting>
  <conditionalFormatting sqref="P367:P370">
    <cfRule type="expression" dxfId="278" priority="849">
      <formula>AND(NOT(L367=P367),NOT(P367=""))</formula>
    </cfRule>
    <cfRule type="expression" dxfId="277" priority="850">
      <formula>AND((L367=P367),NOT(P367=""))</formula>
    </cfRule>
  </conditionalFormatting>
  <conditionalFormatting sqref="P367">
    <cfRule type="expression" priority="848">
      <formula>(P367="")</formula>
    </cfRule>
  </conditionalFormatting>
  <conditionalFormatting sqref="P368">
    <cfRule type="expression" dxfId="276" priority="841">
      <formula>IF(M368="NO BET", TRUE, FALSE)</formula>
    </cfRule>
    <cfRule type="expression" priority="847">
      <formula>(P368="")</formula>
    </cfRule>
  </conditionalFormatting>
  <conditionalFormatting sqref="P369">
    <cfRule type="expression" priority="846">
      <formula>(P369="")</formula>
    </cfRule>
  </conditionalFormatting>
  <conditionalFormatting sqref="P370">
    <cfRule type="expression" priority="845">
      <formula>(P370="")</formula>
    </cfRule>
  </conditionalFormatting>
  <conditionalFormatting sqref="P368">
    <cfRule type="expression" priority="844">
      <formula>(P368="")</formula>
    </cfRule>
  </conditionalFormatting>
  <conditionalFormatting sqref="P369">
    <cfRule type="expression" priority="843">
      <formula>(P369="")</formula>
    </cfRule>
  </conditionalFormatting>
  <conditionalFormatting sqref="P370">
    <cfRule type="expression" priority="842">
      <formula>(P370="")</formula>
    </cfRule>
  </conditionalFormatting>
  <conditionalFormatting sqref="P367">
    <cfRule type="expression" dxfId="275" priority="838">
      <formula>IF(M367="NO BET", TRUE, FALSE)</formula>
    </cfRule>
    <cfRule type="expression" priority="840">
      <formula>(P367="")</formula>
    </cfRule>
  </conditionalFormatting>
  <conditionalFormatting sqref="P367">
    <cfRule type="expression" priority="839">
      <formula>(P367="")</formula>
    </cfRule>
  </conditionalFormatting>
  <conditionalFormatting sqref="P369">
    <cfRule type="expression" priority="837">
      <formula>(P369="")</formula>
    </cfRule>
  </conditionalFormatting>
  <conditionalFormatting sqref="P370">
    <cfRule type="expression" dxfId="274" priority="834">
      <formula>IF(M370="NO BET", TRUE, FALSE)</formula>
    </cfRule>
    <cfRule type="expression" priority="836">
      <formula>(P370="")</formula>
    </cfRule>
  </conditionalFormatting>
  <conditionalFormatting sqref="P370">
    <cfRule type="expression" priority="835">
      <formula>(P370="")</formula>
    </cfRule>
  </conditionalFormatting>
  <conditionalFormatting sqref="P369">
    <cfRule type="expression" dxfId="273" priority="831">
      <formula>IF(M369="NO BET", TRUE, FALSE)</formula>
    </cfRule>
    <cfRule type="expression" priority="833">
      <formula>(P369="")</formula>
    </cfRule>
  </conditionalFormatting>
  <conditionalFormatting sqref="P369">
    <cfRule type="expression" priority="832">
      <formula>(P369="")</formula>
    </cfRule>
  </conditionalFormatting>
  <conditionalFormatting sqref="P347:P352">
    <cfRule type="expression" dxfId="272" priority="829">
      <formula>AND(NOT(L347=P347),NOT(P347=""))</formula>
    </cfRule>
    <cfRule type="expression" dxfId="271" priority="830">
      <formula>AND((L347=P347),NOT(P347=""))</formula>
    </cfRule>
  </conditionalFormatting>
  <conditionalFormatting sqref="P347">
    <cfRule type="expression" priority="828">
      <formula>(P347="")</formula>
    </cfRule>
  </conditionalFormatting>
  <conditionalFormatting sqref="P348">
    <cfRule type="expression" dxfId="270" priority="817">
      <formula>IF(M348="NO BET", TRUE, FALSE)</formula>
    </cfRule>
    <cfRule type="expression" priority="827">
      <formula>(P348="")</formula>
    </cfRule>
  </conditionalFormatting>
  <conditionalFormatting sqref="P349">
    <cfRule type="expression" priority="826">
      <formula>(P349="")</formula>
    </cfRule>
  </conditionalFormatting>
  <conditionalFormatting sqref="P350">
    <cfRule type="expression" priority="825">
      <formula>(P350="")</formula>
    </cfRule>
  </conditionalFormatting>
  <conditionalFormatting sqref="P351">
    <cfRule type="expression" priority="824">
      <formula>(P351="")</formula>
    </cfRule>
  </conditionalFormatting>
  <conditionalFormatting sqref="P352">
    <cfRule type="expression" priority="823">
      <formula>(P352="")</formula>
    </cfRule>
  </conditionalFormatting>
  <conditionalFormatting sqref="P348">
    <cfRule type="expression" priority="822">
      <formula>(P348="")</formula>
    </cfRule>
  </conditionalFormatting>
  <conditionalFormatting sqref="P349">
    <cfRule type="expression" priority="821">
      <formula>(P349="")</formula>
    </cfRule>
  </conditionalFormatting>
  <conditionalFormatting sqref="P350">
    <cfRule type="expression" priority="820">
      <formula>(P350="")</formula>
    </cfRule>
  </conditionalFormatting>
  <conditionalFormatting sqref="P351">
    <cfRule type="expression" priority="819">
      <formula>(P351="")</formula>
    </cfRule>
  </conditionalFormatting>
  <conditionalFormatting sqref="P352">
    <cfRule type="expression" priority="818">
      <formula>(P352="")</formula>
    </cfRule>
  </conditionalFormatting>
  <conditionalFormatting sqref="P347">
    <cfRule type="expression" dxfId="269" priority="814">
      <formula>IF(M347="NO BET", TRUE, FALSE)</formula>
    </cfRule>
    <cfRule type="expression" priority="816">
      <formula>(P347="")</formula>
    </cfRule>
  </conditionalFormatting>
  <conditionalFormatting sqref="P347">
    <cfRule type="expression" priority="815">
      <formula>(P347="")</formula>
    </cfRule>
  </conditionalFormatting>
  <conditionalFormatting sqref="P349">
    <cfRule type="expression" priority="813">
      <formula>(P349="")</formula>
    </cfRule>
  </conditionalFormatting>
  <conditionalFormatting sqref="P350">
    <cfRule type="expression" dxfId="268" priority="810">
      <formula>IF(M350="NO BET", TRUE, FALSE)</formula>
    </cfRule>
    <cfRule type="expression" priority="812">
      <formula>(P350="")</formula>
    </cfRule>
  </conditionalFormatting>
  <conditionalFormatting sqref="P350">
    <cfRule type="expression" priority="811">
      <formula>(P350="")</formula>
    </cfRule>
  </conditionalFormatting>
  <conditionalFormatting sqref="P349">
    <cfRule type="expression" dxfId="267" priority="807">
      <formula>IF(M349="NO BET", TRUE, FALSE)</formula>
    </cfRule>
    <cfRule type="expression" priority="809">
      <formula>(P349="")</formula>
    </cfRule>
  </conditionalFormatting>
  <conditionalFormatting sqref="P349">
    <cfRule type="expression" priority="808">
      <formula>(P349="")</formula>
    </cfRule>
  </conditionalFormatting>
  <conditionalFormatting sqref="P351">
    <cfRule type="expression" priority="806">
      <formula>(P351="")</formula>
    </cfRule>
  </conditionalFormatting>
  <conditionalFormatting sqref="P352">
    <cfRule type="expression" dxfId="266" priority="803">
      <formula>IF(M352="NO BET", TRUE, FALSE)</formula>
    </cfRule>
    <cfRule type="expression" priority="805">
      <formula>(P352="")</formula>
    </cfRule>
  </conditionalFormatting>
  <conditionalFormatting sqref="P352">
    <cfRule type="expression" priority="804">
      <formula>(P352="")</formula>
    </cfRule>
  </conditionalFormatting>
  <conditionalFormatting sqref="P351">
    <cfRule type="expression" dxfId="265" priority="800">
      <formula>IF(M351="NO BET", TRUE, FALSE)</formula>
    </cfRule>
    <cfRule type="expression" priority="802">
      <formula>(P351="")</formula>
    </cfRule>
  </conditionalFormatting>
  <conditionalFormatting sqref="P351">
    <cfRule type="expression" priority="801">
      <formula>(P351="")</formula>
    </cfRule>
  </conditionalFormatting>
  <conditionalFormatting sqref="P353:P356">
    <cfRule type="expression" dxfId="264" priority="798">
      <formula>AND(NOT(L353=P353),NOT(P353=""))</formula>
    </cfRule>
    <cfRule type="expression" dxfId="263" priority="799">
      <formula>AND((L353=P353),NOT(P353=""))</formula>
    </cfRule>
  </conditionalFormatting>
  <conditionalFormatting sqref="P353">
    <cfRule type="expression" priority="797">
      <formula>(P353="")</formula>
    </cfRule>
  </conditionalFormatting>
  <conditionalFormatting sqref="P354">
    <cfRule type="expression" dxfId="262" priority="790">
      <formula>IF(M354="NO BET", TRUE, FALSE)</formula>
    </cfRule>
    <cfRule type="expression" priority="796">
      <formula>(P354="")</formula>
    </cfRule>
  </conditionalFormatting>
  <conditionalFormatting sqref="P355">
    <cfRule type="expression" priority="795">
      <formula>(P355="")</formula>
    </cfRule>
  </conditionalFormatting>
  <conditionalFormatting sqref="P356">
    <cfRule type="expression" priority="794">
      <formula>(P356="")</formula>
    </cfRule>
  </conditionalFormatting>
  <conditionalFormatting sqref="P354">
    <cfRule type="expression" priority="793">
      <formula>(P354="")</formula>
    </cfRule>
  </conditionalFormatting>
  <conditionalFormatting sqref="P355">
    <cfRule type="expression" priority="792">
      <formula>(P355="")</formula>
    </cfRule>
  </conditionalFormatting>
  <conditionalFormatting sqref="P356">
    <cfRule type="expression" priority="791">
      <formula>(P356="")</formula>
    </cfRule>
  </conditionalFormatting>
  <conditionalFormatting sqref="P353">
    <cfRule type="expression" dxfId="261" priority="787">
      <formula>IF(M353="NO BET", TRUE, FALSE)</formula>
    </cfRule>
    <cfRule type="expression" priority="789">
      <formula>(P353="")</formula>
    </cfRule>
  </conditionalFormatting>
  <conditionalFormatting sqref="P353">
    <cfRule type="expression" priority="788">
      <formula>(P353="")</formula>
    </cfRule>
  </conditionalFormatting>
  <conditionalFormatting sqref="P355">
    <cfRule type="expression" priority="786">
      <formula>(P355="")</formula>
    </cfRule>
  </conditionalFormatting>
  <conditionalFormatting sqref="P356">
    <cfRule type="expression" dxfId="260" priority="783">
      <formula>IF(M356="NO BET", TRUE, FALSE)</formula>
    </cfRule>
    <cfRule type="expression" priority="785">
      <formula>(P356="")</formula>
    </cfRule>
  </conditionalFormatting>
  <conditionalFormatting sqref="P356">
    <cfRule type="expression" priority="784">
      <formula>(P356="")</formula>
    </cfRule>
  </conditionalFormatting>
  <conditionalFormatting sqref="P355">
    <cfRule type="expression" dxfId="259" priority="780">
      <formula>IF(M355="NO BET", TRUE, FALSE)</formula>
    </cfRule>
    <cfRule type="expression" priority="782">
      <formula>(P355="")</formula>
    </cfRule>
  </conditionalFormatting>
  <conditionalFormatting sqref="P355">
    <cfRule type="expression" priority="781">
      <formula>(P355="")</formula>
    </cfRule>
  </conditionalFormatting>
  <conditionalFormatting sqref="P333:P338">
    <cfRule type="expression" dxfId="258" priority="778">
      <formula>AND(NOT(L333=P333),NOT(P333=""))</formula>
    </cfRule>
    <cfRule type="expression" dxfId="257" priority="779">
      <formula>AND((L333=P333),NOT(P333=""))</formula>
    </cfRule>
  </conditionalFormatting>
  <conditionalFormatting sqref="P333">
    <cfRule type="expression" priority="777">
      <formula>(P333="")</formula>
    </cfRule>
  </conditionalFormatting>
  <conditionalFormatting sqref="P334">
    <cfRule type="expression" dxfId="256" priority="766">
      <formula>IF(M334="NO BET", TRUE, FALSE)</formula>
    </cfRule>
    <cfRule type="expression" priority="776">
      <formula>(P334="")</formula>
    </cfRule>
  </conditionalFormatting>
  <conditionalFormatting sqref="P335">
    <cfRule type="expression" priority="775">
      <formula>(P335="")</formula>
    </cfRule>
  </conditionalFormatting>
  <conditionalFormatting sqref="P336">
    <cfRule type="expression" priority="774">
      <formula>(P336="")</formula>
    </cfRule>
  </conditionalFormatting>
  <conditionalFormatting sqref="P337">
    <cfRule type="expression" priority="773">
      <formula>(P337="")</formula>
    </cfRule>
  </conditionalFormatting>
  <conditionalFormatting sqref="P338">
    <cfRule type="expression" priority="772">
      <formula>(P338="")</formula>
    </cfRule>
  </conditionalFormatting>
  <conditionalFormatting sqref="P334">
    <cfRule type="expression" priority="771">
      <formula>(P334="")</formula>
    </cfRule>
  </conditionalFormatting>
  <conditionalFormatting sqref="P335">
    <cfRule type="expression" priority="770">
      <formula>(P335="")</formula>
    </cfRule>
  </conditionalFormatting>
  <conditionalFormatting sqref="P336">
    <cfRule type="expression" priority="769">
      <formula>(P336="")</formula>
    </cfRule>
  </conditionalFormatting>
  <conditionalFormatting sqref="P337">
    <cfRule type="expression" priority="768">
      <formula>(P337="")</formula>
    </cfRule>
  </conditionalFormatting>
  <conditionalFormatting sqref="P338">
    <cfRule type="expression" priority="767">
      <formula>(P338="")</formula>
    </cfRule>
  </conditionalFormatting>
  <conditionalFormatting sqref="P333">
    <cfRule type="expression" dxfId="255" priority="763">
      <formula>IF(M333="NO BET", TRUE, FALSE)</formula>
    </cfRule>
    <cfRule type="expression" priority="765">
      <formula>(P333="")</formula>
    </cfRule>
  </conditionalFormatting>
  <conditionalFormatting sqref="P333">
    <cfRule type="expression" priority="764">
      <formula>(P333="")</formula>
    </cfRule>
  </conditionalFormatting>
  <conditionalFormatting sqref="P335">
    <cfRule type="expression" priority="762">
      <formula>(P335="")</formula>
    </cfRule>
  </conditionalFormatting>
  <conditionalFormatting sqref="P336">
    <cfRule type="expression" dxfId="254" priority="759">
      <formula>IF(M336="NO BET", TRUE, FALSE)</formula>
    </cfRule>
    <cfRule type="expression" priority="761">
      <formula>(P336="")</formula>
    </cfRule>
  </conditionalFormatting>
  <conditionalFormatting sqref="P336">
    <cfRule type="expression" priority="760">
      <formula>(P336="")</formula>
    </cfRule>
  </conditionalFormatting>
  <conditionalFormatting sqref="P335">
    <cfRule type="expression" dxfId="253" priority="756">
      <formula>IF(M335="NO BET", TRUE, FALSE)</formula>
    </cfRule>
    <cfRule type="expression" priority="758">
      <formula>(P335="")</formula>
    </cfRule>
  </conditionalFormatting>
  <conditionalFormatting sqref="P335">
    <cfRule type="expression" priority="757">
      <formula>(P335="")</formula>
    </cfRule>
  </conditionalFormatting>
  <conditionalFormatting sqref="P337">
    <cfRule type="expression" priority="755">
      <formula>(P337="")</formula>
    </cfRule>
  </conditionalFormatting>
  <conditionalFormatting sqref="P338">
    <cfRule type="expression" dxfId="252" priority="752">
      <formula>IF(M338="NO BET", TRUE, FALSE)</formula>
    </cfRule>
    <cfRule type="expression" priority="754">
      <formula>(P338="")</formula>
    </cfRule>
  </conditionalFormatting>
  <conditionalFormatting sqref="P338">
    <cfRule type="expression" priority="753">
      <formula>(P338="")</formula>
    </cfRule>
  </conditionalFormatting>
  <conditionalFormatting sqref="P337">
    <cfRule type="expression" dxfId="251" priority="749">
      <formula>IF(M337="NO BET", TRUE, FALSE)</formula>
    </cfRule>
    <cfRule type="expression" priority="751">
      <formula>(P337="")</formula>
    </cfRule>
  </conditionalFormatting>
  <conditionalFormatting sqref="P337">
    <cfRule type="expression" priority="750">
      <formula>(P337="")</formula>
    </cfRule>
  </conditionalFormatting>
  <conditionalFormatting sqref="P339:P342">
    <cfRule type="expression" dxfId="250" priority="747">
      <formula>AND(NOT(L339=P339),NOT(P339=""))</formula>
    </cfRule>
    <cfRule type="expression" dxfId="249" priority="748">
      <formula>AND((L339=P339),NOT(P339=""))</formula>
    </cfRule>
  </conditionalFormatting>
  <conditionalFormatting sqref="P339">
    <cfRule type="expression" priority="746">
      <formula>(P339="")</formula>
    </cfRule>
  </conditionalFormatting>
  <conditionalFormatting sqref="P340">
    <cfRule type="expression" dxfId="248" priority="739">
      <formula>IF(M340="NO BET", TRUE, FALSE)</formula>
    </cfRule>
    <cfRule type="expression" priority="745">
      <formula>(P340="")</formula>
    </cfRule>
  </conditionalFormatting>
  <conditionalFormatting sqref="P341">
    <cfRule type="expression" priority="744">
      <formula>(P341="")</formula>
    </cfRule>
  </conditionalFormatting>
  <conditionalFormatting sqref="P342">
    <cfRule type="expression" priority="743">
      <formula>(P342="")</formula>
    </cfRule>
  </conditionalFormatting>
  <conditionalFormatting sqref="P340">
    <cfRule type="expression" priority="742">
      <formula>(P340="")</formula>
    </cfRule>
  </conditionalFormatting>
  <conditionalFormatting sqref="P341">
    <cfRule type="expression" priority="741">
      <formula>(P341="")</formula>
    </cfRule>
  </conditionalFormatting>
  <conditionalFormatting sqref="P342">
    <cfRule type="expression" priority="740">
      <formula>(P342="")</formula>
    </cfRule>
  </conditionalFormatting>
  <conditionalFormatting sqref="P339">
    <cfRule type="expression" dxfId="247" priority="736">
      <formula>IF(M339="NO BET", TRUE, FALSE)</formula>
    </cfRule>
    <cfRule type="expression" priority="738">
      <formula>(P339="")</formula>
    </cfRule>
  </conditionalFormatting>
  <conditionalFormatting sqref="P339">
    <cfRule type="expression" priority="737">
      <formula>(P339="")</formula>
    </cfRule>
  </conditionalFormatting>
  <conditionalFormatting sqref="P341">
    <cfRule type="expression" priority="735">
      <formula>(P341="")</formula>
    </cfRule>
  </conditionalFormatting>
  <conditionalFormatting sqref="P342">
    <cfRule type="expression" dxfId="246" priority="732">
      <formula>IF(M342="NO BET", TRUE, FALSE)</formula>
    </cfRule>
    <cfRule type="expression" priority="734">
      <formula>(P342="")</formula>
    </cfRule>
  </conditionalFormatting>
  <conditionalFormatting sqref="P342">
    <cfRule type="expression" priority="733">
      <formula>(P342="")</formula>
    </cfRule>
  </conditionalFormatting>
  <conditionalFormatting sqref="P341">
    <cfRule type="expression" dxfId="245" priority="729">
      <formula>IF(M341="NO BET", TRUE, FALSE)</formula>
    </cfRule>
    <cfRule type="expression" priority="731">
      <formula>(P341="")</formula>
    </cfRule>
  </conditionalFormatting>
  <conditionalFormatting sqref="P341">
    <cfRule type="expression" priority="730">
      <formula>(P341="")</formula>
    </cfRule>
  </conditionalFormatting>
  <conditionalFormatting sqref="P319:P324">
    <cfRule type="expression" dxfId="244" priority="727">
      <formula>AND(NOT(L319=P319),NOT(P319=""))</formula>
    </cfRule>
    <cfRule type="expression" dxfId="243" priority="728">
      <formula>AND((L319=P319),NOT(P319=""))</formula>
    </cfRule>
  </conditionalFormatting>
  <conditionalFormatting sqref="P319">
    <cfRule type="expression" priority="726">
      <formula>(P319="")</formula>
    </cfRule>
  </conditionalFormatting>
  <conditionalFormatting sqref="P320">
    <cfRule type="expression" dxfId="242" priority="715">
      <formula>IF(M320="NO BET", TRUE, FALSE)</formula>
    </cfRule>
    <cfRule type="expression" priority="725">
      <formula>(P320="")</formula>
    </cfRule>
  </conditionalFormatting>
  <conditionalFormatting sqref="P321">
    <cfRule type="expression" priority="724">
      <formula>(P321="")</formula>
    </cfRule>
  </conditionalFormatting>
  <conditionalFormatting sqref="P322">
    <cfRule type="expression" priority="723">
      <formula>(P322="")</formula>
    </cfRule>
  </conditionalFormatting>
  <conditionalFormatting sqref="P323">
    <cfRule type="expression" priority="722">
      <formula>(P323="")</formula>
    </cfRule>
  </conditionalFormatting>
  <conditionalFormatting sqref="P324">
    <cfRule type="expression" priority="721">
      <formula>(P324="")</formula>
    </cfRule>
  </conditionalFormatting>
  <conditionalFormatting sqref="P320">
    <cfRule type="expression" priority="720">
      <formula>(P320="")</formula>
    </cfRule>
  </conditionalFormatting>
  <conditionalFormatting sqref="P321">
    <cfRule type="expression" priority="719">
      <formula>(P321="")</formula>
    </cfRule>
  </conditionalFormatting>
  <conditionalFormatting sqref="P322">
    <cfRule type="expression" priority="718">
      <formula>(P322="")</formula>
    </cfRule>
  </conditionalFormatting>
  <conditionalFormatting sqref="P323">
    <cfRule type="expression" priority="717">
      <formula>(P323="")</formula>
    </cfRule>
  </conditionalFormatting>
  <conditionalFormatting sqref="P324">
    <cfRule type="expression" priority="716">
      <formula>(P324="")</formula>
    </cfRule>
  </conditionalFormatting>
  <conditionalFormatting sqref="P319">
    <cfRule type="expression" dxfId="241" priority="712">
      <formula>IF(M319="NO BET", TRUE, FALSE)</formula>
    </cfRule>
    <cfRule type="expression" priority="714">
      <formula>(P319="")</formula>
    </cfRule>
  </conditionalFormatting>
  <conditionalFormatting sqref="P319">
    <cfRule type="expression" priority="713">
      <formula>(P319="")</formula>
    </cfRule>
  </conditionalFormatting>
  <conditionalFormatting sqref="P321">
    <cfRule type="expression" priority="711">
      <formula>(P321="")</formula>
    </cfRule>
  </conditionalFormatting>
  <conditionalFormatting sqref="P322">
    <cfRule type="expression" dxfId="240" priority="708">
      <formula>IF(M322="NO BET", TRUE, FALSE)</formula>
    </cfRule>
    <cfRule type="expression" priority="710">
      <formula>(P322="")</formula>
    </cfRule>
  </conditionalFormatting>
  <conditionalFormatting sqref="P322">
    <cfRule type="expression" priority="709">
      <formula>(P322="")</formula>
    </cfRule>
  </conditionalFormatting>
  <conditionalFormatting sqref="P321">
    <cfRule type="expression" dxfId="239" priority="705">
      <formula>IF(M321="NO BET", TRUE, FALSE)</formula>
    </cfRule>
    <cfRule type="expression" priority="707">
      <formula>(P321="")</formula>
    </cfRule>
  </conditionalFormatting>
  <conditionalFormatting sqref="P321">
    <cfRule type="expression" priority="706">
      <formula>(P321="")</formula>
    </cfRule>
  </conditionalFormatting>
  <conditionalFormatting sqref="P323">
    <cfRule type="expression" priority="704">
      <formula>(P323="")</formula>
    </cfRule>
  </conditionalFormatting>
  <conditionalFormatting sqref="P324">
    <cfRule type="expression" dxfId="238" priority="701">
      <formula>IF(M324="NO BET", TRUE, FALSE)</formula>
    </cfRule>
    <cfRule type="expression" priority="703">
      <formula>(P324="")</formula>
    </cfRule>
  </conditionalFormatting>
  <conditionalFormatting sqref="P324">
    <cfRule type="expression" priority="702">
      <formula>(P324="")</formula>
    </cfRule>
  </conditionalFormatting>
  <conditionalFormatting sqref="P323">
    <cfRule type="expression" dxfId="237" priority="698">
      <formula>IF(M323="NO BET", TRUE, FALSE)</formula>
    </cfRule>
    <cfRule type="expression" priority="700">
      <formula>(P323="")</formula>
    </cfRule>
  </conditionalFormatting>
  <conditionalFormatting sqref="P323">
    <cfRule type="expression" priority="699">
      <formula>(P323="")</formula>
    </cfRule>
  </conditionalFormatting>
  <conditionalFormatting sqref="P325:P328">
    <cfRule type="expression" dxfId="236" priority="696">
      <formula>AND(NOT(L325=P325),NOT(P325=""))</formula>
    </cfRule>
    <cfRule type="expression" dxfId="235" priority="697">
      <formula>AND((L325=P325),NOT(P325=""))</formula>
    </cfRule>
  </conditionalFormatting>
  <conditionalFormatting sqref="P325">
    <cfRule type="expression" priority="695">
      <formula>(P325="")</formula>
    </cfRule>
  </conditionalFormatting>
  <conditionalFormatting sqref="P326">
    <cfRule type="expression" dxfId="234" priority="688">
      <formula>IF(M326="NO BET", TRUE, FALSE)</formula>
    </cfRule>
    <cfRule type="expression" priority="694">
      <formula>(P326="")</formula>
    </cfRule>
  </conditionalFormatting>
  <conditionalFormatting sqref="P327">
    <cfRule type="expression" priority="693">
      <formula>(P327="")</formula>
    </cfRule>
  </conditionalFormatting>
  <conditionalFormatting sqref="P328">
    <cfRule type="expression" priority="692">
      <formula>(P328="")</formula>
    </cfRule>
  </conditionalFormatting>
  <conditionalFormatting sqref="P326">
    <cfRule type="expression" priority="691">
      <formula>(P326="")</formula>
    </cfRule>
  </conditionalFormatting>
  <conditionalFormatting sqref="P327">
    <cfRule type="expression" priority="690">
      <formula>(P327="")</formula>
    </cfRule>
  </conditionalFormatting>
  <conditionalFormatting sqref="P328">
    <cfRule type="expression" priority="689">
      <formula>(P328="")</formula>
    </cfRule>
  </conditionalFormatting>
  <conditionalFormatting sqref="P325">
    <cfRule type="expression" dxfId="233" priority="685">
      <formula>IF(M325="NO BET", TRUE, FALSE)</formula>
    </cfRule>
    <cfRule type="expression" priority="687">
      <formula>(P325="")</formula>
    </cfRule>
  </conditionalFormatting>
  <conditionalFormatting sqref="P325">
    <cfRule type="expression" priority="686">
      <formula>(P325="")</formula>
    </cfRule>
  </conditionalFormatting>
  <conditionalFormatting sqref="P327">
    <cfRule type="expression" priority="684">
      <formula>(P327="")</formula>
    </cfRule>
  </conditionalFormatting>
  <conditionalFormatting sqref="P328">
    <cfRule type="expression" dxfId="232" priority="681">
      <formula>IF(M328="NO BET", TRUE, FALSE)</formula>
    </cfRule>
    <cfRule type="expression" priority="683">
      <formula>(P328="")</formula>
    </cfRule>
  </conditionalFormatting>
  <conditionalFormatting sqref="P328">
    <cfRule type="expression" priority="682">
      <formula>(P328="")</formula>
    </cfRule>
  </conditionalFormatting>
  <conditionalFormatting sqref="P327">
    <cfRule type="expression" dxfId="231" priority="678">
      <formula>IF(M327="NO BET", TRUE, FALSE)</formula>
    </cfRule>
    <cfRule type="expression" priority="680">
      <formula>(P327="")</formula>
    </cfRule>
  </conditionalFormatting>
  <conditionalFormatting sqref="P327">
    <cfRule type="expression" priority="679">
      <formula>(P327="")</formula>
    </cfRule>
  </conditionalFormatting>
  <conditionalFormatting sqref="P275:P280">
    <cfRule type="expression" dxfId="230" priority="676">
      <formula>AND(NOT(L275=P275),NOT(P275=""))</formula>
    </cfRule>
    <cfRule type="expression" dxfId="229" priority="677">
      <formula>AND((L275=P275),NOT(P275=""))</formula>
    </cfRule>
  </conditionalFormatting>
  <conditionalFormatting sqref="P275">
    <cfRule type="expression" priority="675">
      <formula>(P275="")</formula>
    </cfRule>
  </conditionalFormatting>
  <conditionalFormatting sqref="P276">
    <cfRule type="expression" dxfId="228" priority="664">
      <formula>IF(M276="NO BET", TRUE, FALSE)</formula>
    </cfRule>
    <cfRule type="expression" priority="674">
      <formula>(P276="")</formula>
    </cfRule>
  </conditionalFormatting>
  <conditionalFormatting sqref="P277">
    <cfRule type="expression" priority="673">
      <formula>(P277="")</formula>
    </cfRule>
  </conditionalFormatting>
  <conditionalFormatting sqref="P278">
    <cfRule type="expression" priority="672">
      <formula>(P278="")</formula>
    </cfRule>
  </conditionalFormatting>
  <conditionalFormatting sqref="P279">
    <cfRule type="expression" priority="671">
      <formula>(P279="")</formula>
    </cfRule>
  </conditionalFormatting>
  <conditionalFormatting sqref="P280">
    <cfRule type="expression" priority="670">
      <formula>(P280="")</formula>
    </cfRule>
  </conditionalFormatting>
  <conditionalFormatting sqref="P276">
    <cfRule type="expression" priority="669">
      <formula>(P276="")</formula>
    </cfRule>
  </conditionalFormatting>
  <conditionalFormatting sqref="P277">
    <cfRule type="expression" priority="668">
      <formula>(P277="")</formula>
    </cfRule>
  </conditionalFormatting>
  <conditionalFormatting sqref="P278">
    <cfRule type="expression" priority="667">
      <formula>(P278="")</formula>
    </cfRule>
  </conditionalFormatting>
  <conditionalFormatting sqref="P279">
    <cfRule type="expression" priority="666">
      <formula>(P279="")</formula>
    </cfRule>
  </conditionalFormatting>
  <conditionalFormatting sqref="P280">
    <cfRule type="expression" priority="665">
      <formula>(P280="")</formula>
    </cfRule>
  </conditionalFormatting>
  <conditionalFormatting sqref="P275">
    <cfRule type="expression" dxfId="227" priority="661">
      <formula>IF(M275="NO BET", TRUE, FALSE)</formula>
    </cfRule>
    <cfRule type="expression" priority="663">
      <formula>(P275="")</formula>
    </cfRule>
  </conditionalFormatting>
  <conditionalFormatting sqref="P275">
    <cfRule type="expression" priority="662">
      <formula>(P275="")</formula>
    </cfRule>
  </conditionalFormatting>
  <conditionalFormatting sqref="P277">
    <cfRule type="expression" priority="660">
      <formula>(P277="")</formula>
    </cfRule>
  </conditionalFormatting>
  <conditionalFormatting sqref="P278">
    <cfRule type="expression" dxfId="226" priority="657">
      <formula>IF(M278="NO BET", TRUE, FALSE)</formula>
    </cfRule>
    <cfRule type="expression" priority="659">
      <formula>(P278="")</formula>
    </cfRule>
  </conditionalFormatting>
  <conditionalFormatting sqref="P278">
    <cfRule type="expression" priority="658">
      <formula>(P278="")</formula>
    </cfRule>
  </conditionalFormatting>
  <conditionalFormatting sqref="P277">
    <cfRule type="expression" dxfId="225" priority="654">
      <formula>IF(M277="NO BET", TRUE, FALSE)</formula>
    </cfRule>
    <cfRule type="expression" priority="656">
      <formula>(P277="")</formula>
    </cfRule>
  </conditionalFormatting>
  <conditionalFormatting sqref="P277">
    <cfRule type="expression" priority="655">
      <formula>(P277="")</formula>
    </cfRule>
  </conditionalFormatting>
  <conditionalFormatting sqref="P279">
    <cfRule type="expression" priority="653">
      <formula>(P279="")</formula>
    </cfRule>
  </conditionalFormatting>
  <conditionalFormatting sqref="P280">
    <cfRule type="expression" dxfId="224" priority="650">
      <formula>IF(M280="NO BET", TRUE, FALSE)</formula>
    </cfRule>
    <cfRule type="expression" priority="652">
      <formula>(P280="")</formula>
    </cfRule>
  </conditionalFormatting>
  <conditionalFormatting sqref="P280">
    <cfRule type="expression" priority="651">
      <formula>(P280="")</formula>
    </cfRule>
  </conditionalFormatting>
  <conditionalFormatting sqref="P279">
    <cfRule type="expression" dxfId="223" priority="647">
      <formula>IF(M279="NO BET", TRUE, FALSE)</formula>
    </cfRule>
    <cfRule type="expression" priority="649">
      <formula>(P279="")</formula>
    </cfRule>
  </conditionalFormatting>
  <conditionalFormatting sqref="P279">
    <cfRule type="expression" priority="648">
      <formula>(P279="")</formula>
    </cfRule>
  </conditionalFormatting>
  <conditionalFormatting sqref="P281:P284">
    <cfRule type="expression" dxfId="222" priority="645">
      <formula>AND(NOT(L281=P281),NOT(P281=""))</formula>
    </cfRule>
    <cfRule type="expression" dxfId="221" priority="646">
      <formula>AND((L281=P281),NOT(P281=""))</formula>
    </cfRule>
  </conditionalFormatting>
  <conditionalFormatting sqref="P281">
    <cfRule type="expression" priority="644">
      <formula>(P281="")</formula>
    </cfRule>
  </conditionalFormatting>
  <conditionalFormatting sqref="P282">
    <cfRule type="expression" dxfId="220" priority="637">
      <formula>IF(M282="NO BET", TRUE, FALSE)</formula>
    </cfRule>
    <cfRule type="expression" priority="643">
      <formula>(P282="")</formula>
    </cfRule>
  </conditionalFormatting>
  <conditionalFormatting sqref="P283">
    <cfRule type="expression" priority="642">
      <formula>(P283="")</formula>
    </cfRule>
  </conditionalFormatting>
  <conditionalFormatting sqref="P284">
    <cfRule type="expression" priority="641">
      <formula>(P284="")</formula>
    </cfRule>
  </conditionalFormatting>
  <conditionalFormatting sqref="P282">
    <cfRule type="expression" priority="640">
      <formula>(P282="")</formula>
    </cfRule>
  </conditionalFormatting>
  <conditionalFormatting sqref="P283">
    <cfRule type="expression" priority="639">
      <formula>(P283="")</formula>
    </cfRule>
  </conditionalFormatting>
  <conditionalFormatting sqref="P284">
    <cfRule type="expression" priority="638">
      <formula>(P284="")</formula>
    </cfRule>
  </conditionalFormatting>
  <conditionalFormatting sqref="P281">
    <cfRule type="expression" dxfId="219" priority="634">
      <formula>IF(M281="NO BET", TRUE, FALSE)</formula>
    </cfRule>
    <cfRule type="expression" priority="636">
      <formula>(P281="")</formula>
    </cfRule>
  </conditionalFormatting>
  <conditionalFormatting sqref="P281">
    <cfRule type="expression" priority="635">
      <formula>(P281="")</formula>
    </cfRule>
  </conditionalFormatting>
  <conditionalFormatting sqref="P283">
    <cfRule type="expression" priority="633">
      <formula>(P283="")</formula>
    </cfRule>
  </conditionalFormatting>
  <conditionalFormatting sqref="P284">
    <cfRule type="expression" dxfId="218" priority="630">
      <formula>IF(M284="NO BET", TRUE, FALSE)</formula>
    </cfRule>
    <cfRule type="expression" priority="632">
      <formula>(P284="")</formula>
    </cfRule>
  </conditionalFormatting>
  <conditionalFormatting sqref="P284">
    <cfRule type="expression" priority="631">
      <formula>(P284="")</formula>
    </cfRule>
  </conditionalFormatting>
  <conditionalFormatting sqref="P283">
    <cfRule type="expression" dxfId="217" priority="627">
      <formula>IF(M283="NO BET", TRUE, FALSE)</formula>
    </cfRule>
    <cfRule type="expression" priority="629">
      <formula>(P283="")</formula>
    </cfRule>
  </conditionalFormatting>
  <conditionalFormatting sqref="P283">
    <cfRule type="expression" priority="628">
      <formula>(P283="")</formula>
    </cfRule>
  </conditionalFormatting>
  <conditionalFormatting sqref="P261:P266">
    <cfRule type="expression" dxfId="216" priority="625">
      <formula>AND(NOT(L261=P261),NOT(P261=""))</formula>
    </cfRule>
    <cfRule type="expression" dxfId="215" priority="626">
      <formula>AND((L261=P261),NOT(P261=""))</formula>
    </cfRule>
  </conditionalFormatting>
  <conditionalFormatting sqref="P261">
    <cfRule type="expression" priority="624">
      <formula>(P261="")</formula>
    </cfRule>
  </conditionalFormatting>
  <conditionalFormatting sqref="P262">
    <cfRule type="expression" dxfId="214" priority="613">
      <formula>IF(M262="NO BET", TRUE, FALSE)</formula>
    </cfRule>
    <cfRule type="expression" priority="623">
      <formula>(P262="")</formula>
    </cfRule>
  </conditionalFormatting>
  <conditionalFormatting sqref="P263">
    <cfRule type="expression" priority="622">
      <formula>(P263="")</formula>
    </cfRule>
  </conditionalFormatting>
  <conditionalFormatting sqref="P264">
    <cfRule type="expression" priority="621">
      <formula>(P264="")</formula>
    </cfRule>
  </conditionalFormatting>
  <conditionalFormatting sqref="P265">
    <cfRule type="expression" priority="620">
      <formula>(P265="")</formula>
    </cfRule>
  </conditionalFormatting>
  <conditionalFormatting sqref="P266">
    <cfRule type="expression" priority="619">
      <formula>(P266="")</formula>
    </cfRule>
  </conditionalFormatting>
  <conditionalFormatting sqref="P262">
    <cfRule type="expression" priority="618">
      <formula>(P262="")</formula>
    </cfRule>
  </conditionalFormatting>
  <conditionalFormatting sqref="P263">
    <cfRule type="expression" priority="617">
      <formula>(P263="")</formula>
    </cfRule>
  </conditionalFormatting>
  <conditionalFormatting sqref="P264">
    <cfRule type="expression" priority="616">
      <formula>(P264="")</formula>
    </cfRule>
  </conditionalFormatting>
  <conditionalFormatting sqref="P265">
    <cfRule type="expression" priority="615">
      <formula>(P265="")</formula>
    </cfRule>
  </conditionalFormatting>
  <conditionalFormatting sqref="P266">
    <cfRule type="expression" priority="614">
      <formula>(P266="")</formula>
    </cfRule>
  </conditionalFormatting>
  <conditionalFormatting sqref="P261">
    <cfRule type="expression" dxfId="213" priority="610">
      <formula>IF(M261="NO BET", TRUE, FALSE)</formula>
    </cfRule>
    <cfRule type="expression" priority="612">
      <formula>(P261="")</formula>
    </cfRule>
  </conditionalFormatting>
  <conditionalFormatting sqref="P261">
    <cfRule type="expression" priority="611">
      <formula>(P261="")</formula>
    </cfRule>
  </conditionalFormatting>
  <conditionalFormatting sqref="P263">
    <cfRule type="expression" priority="609">
      <formula>(P263="")</formula>
    </cfRule>
  </conditionalFormatting>
  <conditionalFormatting sqref="P264">
    <cfRule type="expression" dxfId="212" priority="606">
      <formula>IF(M264="NO BET", TRUE, FALSE)</formula>
    </cfRule>
    <cfRule type="expression" priority="608">
      <formula>(P264="")</formula>
    </cfRule>
  </conditionalFormatting>
  <conditionalFormatting sqref="P264">
    <cfRule type="expression" priority="607">
      <formula>(P264="")</formula>
    </cfRule>
  </conditionalFormatting>
  <conditionalFormatting sqref="P263">
    <cfRule type="expression" dxfId="211" priority="603">
      <formula>IF(M263="NO BET", TRUE, FALSE)</formula>
    </cfRule>
    <cfRule type="expression" priority="605">
      <formula>(P263="")</formula>
    </cfRule>
  </conditionalFormatting>
  <conditionalFormatting sqref="P263">
    <cfRule type="expression" priority="604">
      <formula>(P263="")</formula>
    </cfRule>
  </conditionalFormatting>
  <conditionalFormatting sqref="P265">
    <cfRule type="expression" priority="602">
      <formula>(P265="")</formula>
    </cfRule>
  </conditionalFormatting>
  <conditionalFormatting sqref="P266">
    <cfRule type="expression" dxfId="210" priority="599">
      <formula>IF(M266="NO BET", TRUE, FALSE)</formula>
    </cfRule>
    <cfRule type="expression" priority="601">
      <formula>(P266="")</formula>
    </cfRule>
  </conditionalFormatting>
  <conditionalFormatting sqref="P266">
    <cfRule type="expression" priority="600">
      <formula>(P266="")</formula>
    </cfRule>
  </conditionalFormatting>
  <conditionalFormatting sqref="P265">
    <cfRule type="expression" dxfId="209" priority="596">
      <formula>IF(M265="NO BET", TRUE, FALSE)</formula>
    </cfRule>
    <cfRule type="expression" priority="598">
      <formula>(P265="")</formula>
    </cfRule>
  </conditionalFormatting>
  <conditionalFormatting sqref="P265">
    <cfRule type="expression" priority="597">
      <formula>(P265="")</formula>
    </cfRule>
  </conditionalFormatting>
  <conditionalFormatting sqref="P267:P270">
    <cfRule type="expression" dxfId="208" priority="594">
      <formula>AND(NOT(L267=P267),NOT(P267=""))</formula>
    </cfRule>
    <cfRule type="expression" dxfId="207" priority="595">
      <formula>AND((L267=P267),NOT(P267=""))</formula>
    </cfRule>
  </conditionalFormatting>
  <conditionalFormatting sqref="P267">
    <cfRule type="expression" priority="593">
      <formula>(P267="")</formula>
    </cfRule>
  </conditionalFormatting>
  <conditionalFormatting sqref="P268">
    <cfRule type="expression" dxfId="206" priority="586">
      <formula>IF(M268="NO BET", TRUE, FALSE)</formula>
    </cfRule>
    <cfRule type="expression" priority="592">
      <formula>(P268="")</formula>
    </cfRule>
  </conditionalFormatting>
  <conditionalFormatting sqref="P269">
    <cfRule type="expression" priority="591">
      <formula>(P269="")</formula>
    </cfRule>
  </conditionalFormatting>
  <conditionalFormatting sqref="P270">
    <cfRule type="expression" priority="590">
      <formula>(P270="")</formula>
    </cfRule>
  </conditionalFormatting>
  <conditionalFormatting sqref="P268">
    <cfRule type="expression" priority="589">
      <formula>(P268="")</formula>
    </cfRule>
  </conditionalFormatting>
  <conditionalFormatting sqref="P269">
    <cfRule type="expression" priority="588">
      <formula>(P269="")</formula>
    </cfRule>
  </conditionalFormatting>
  <conditionalFormatting sqref="P270">
    <cfRule type="expression" priority="587">
      <formula>(P270="")</formula>
    </cfRule>
  </conditionalFormatting>
  <conditionalFormatting sqref="P267">
    <cfRule type="expression" dxfId="205" priority="583">
      <formula>IF(M267="NO BET", TRUE, FALSE)</formula>
    </cfRule>
    <cfRule type="expression" priority="585">
      <formula>(P267="")</formula>
    </cfRule>
  </conditionalFormatting>
  <conditionalFormatting sqref="P267">
    <cfRule type="expression" priority="584">
      <formula>(P267="")</formula>
    </cfRule>
  </conditionalFormatting>
  <conditionalFormatting sqref="P269">
    <cfRule type="expression" priority="582">
      <formula>(P269="")</formula>
    </cfRule>
  </conditionalFormatting>
  <conditionalFormatting sqref="P270">
    <cfRule type="expression" dxfId="204" priority="579">
      <formula>IF(M270="NO BET", TRUE, FALSE)</formula>
    </cfRule>
    <cfRule type="expression" priority="581">
      <formula>(P270="")</formula>
    </cfRule>
  </conditionalFormatting>
  <conditionalFormatting sqref="P270">
    <cfRule type="expression" priority="580">
      <formula>(P270="")</formula>
    </cfRule>
  </conditionalFormatting>
  <conditionalFormatting sqref="P269">
    <cfRule type="expression" dxfId="203" priority="576">
      <formula>IF(M269="NO BET", TRUE, FALSE)</formula>
    </cfRule>
    <cfRule type="expression" priority="578">
      <formula>(P269="")</formula>
    </cfRule>
  </conditionalFormatting>
  <conditionalFormatting sqref="P269">
    <cfRule type="expression" priority="577">
      <formula>(P269="")</formula>
    </cfRule>
  </conditionalFormatting>
  <conditionalFormatting sqref="P247:P252">
    <cfRule type="expression" dxfId="202" priority="574">
      <formula>AND(NOT(L247=P247),NOT(P247=""))</formula>
    </cfRule>
    <cfRule type="expression" dxfId="201" priority="575">
      <formula>AND((L247=P247),NOT(P247=""))</formula>
    </cfRule>
  </conditionalFormatting>
  <conditionalFormatting sqref="P247">
    <cfRule type="expression" priority="573">
      <formula>(P247="")</formula>
    </cfRule>
  </conditionalFormatting>
  <conditionalFormatting sqref="P248">
    <cfRule type="expression" dxfId="200" priority="562">
      <formula>IF(M248="NO BET", TRUE, FALSE)</formula>
    </cfRule>
    <cfRule type="expression" priority="572">
      <formula>(P248="")</formula>
    </cfRule>
  </conditionalFormatting>
  <conditionalFormatting sqref="P249">
    <cfRule type="expression" priority="571">
      <formula>(P249="")</formula>
    </cfRule>
  </conditionalFormatting>
  <conditionalFormatting sqref="P250">
    <cfRule type="expression" priority="570">
      <formula>(P250="")</formula>
    </cfRule>
  </conditionalFormatting>
  <conditionalFormatting sqref="P251">
    <cfRule type="expression" priority="569">
      <formula>(P251="")</formula>
    </cfRule>
  </conditionalFormatting>
  <conditionalFormatting sqref="P252">
    <cfRule type="expression" priority="568">
      <formula>(P252="")</formula>
    </cfRule>
  </conditionalFormatting>
  <conditionalFormatting sqref="P248">
    <cfRule type="expression" priority="567">
      <formula>(P248="")</formula>
    </cfRule>
  </conditionalFormatting>
  <conditionalFormatting sqref="P249">
    <cfRule type="expression" priority="566">
      <formula>(P249="")</formula>
    </cfRule>
  </conditionalFormatting>
  <conditionalFormatting sqref="P250">
    <cfRule type="expression" priority="565">
      <formula>(P250="")</formula>
    </cfRule>
  </conditionalFormatting>
  <conditionalFormatting sqref="P251">
    <cfRule type="expression" priority="564">
      <formula>(P251="")</formula>
    </cfRule>
  </conditionalFormatting>
  <conditionalFormatting sqref="P252">
    <cfRule type="expression" priority="563">
      <formula>(P252="")</formula>
    </cfRule>
  </conditionalFormatting>
  <conditionalFormatting sqref="P247">
    <cfRule type="expression" dxfId="199" priority="559">
      <formula>IF(M247="NO BET", TRUE, FALSE)</formula>
    </cfRule>
    <cfRule type="expression" priority="561">
      <formula>(P247="")</formula>
    </cfRule>
  </conditionalFormatting>
  <conditionalFormatting sqref="P247">
    <cfRule type="expression" priority="560">
      <formula>(P247="")</formula>
    </cfRule>
  </conditionalFormatting>
  <conditionalFormatting sqref="P249">
    <cfRule type="expression" priority="558">
      <formula>(P249="")</formula>
    </cfRule>
  </conditionalFormatting>
  <conditionalFormatting sqref="P250">
    <cfRule type="expression" dxfId="198" priority="555">
      <formula>IF(M250="NO BET", TRUE, FALSE)</formula>
    </cfRule>
    <cfRule type="expression" priority="557">
      <formula>(P250="")</formula>
    </cfRule>
  </conditionalFormatting>
  <conditionalFormatting sqref="P250">
    <cfRule type="expression" priority="556">
      <formula>(P250="")</formula>
    </cfRule>
  </conditionalFormatting>
  <conditionalFormatting sqref="P249">
    <cfRule type="expression" dxfId="197" priority="552">
      <formula>IF(M249="NO BET", TRUE, FALSE)</formula>
    </cfRule>
    <cfRule type="expression" priority="554">
      <formula>(P249="")</formula>
    </cfRule>
  </conditionalFormatting>
  <conditionalFormatting sqref="P249">
    <cfRule type="expression" priority="553">
      <formula>(P249="")</formula>
    </cfRule>
  </conditionalFormatting>
  <conditionalFormatting sqref="P251">
    <cfRule type="expression" priority="551">
      <formula>(P251="")</formula>
    </cfRule>
  </conditionalFormatting>
  <conditionalFormatting sqref="P252">
    <cfRule type="expression" dxfId="196" priority="548">
      <formula>IF(M252="NO BET", TRUE, FALSE)</formula>
    </cfRule>
    <cfRule type="expression" priority="550">
      <formula>(P252="")</formula>
    </cfRule>
  </conditionalFormatting>
  <conditionalFormatting sqref="P252">
    <cfRule type="expression" priority="549">
      <formula>(P252="")</formula>
    </cfRule>
  </conditionalFormatting>
  <conditionalFormatting sqref="P251">
    <cfRule type="expression" dxfId="195" priority="545">
      <formula>IF(M251="NO BET", TRUE, FALSE)</formula>
    </cfRule>
    <cfRule type="expression" priority="547">
      <formula>(P251="")</formula>
    </cfRule>
  </conditionalFormatting>
  <conditionalFormatting sqref="P251">
    <cfRule type="expression" priority="546">
      <formula>(P251="")</formula>
    </cfRule>
  </conditionalFormatting>
  <conditionalFormatting sqref="P253:P256">
    <cfRule type="expression" dxfId="194" priority="543">
      <formula>AND(NOT(L253=P253),NOT(P253=""))</formula>
    </cfRule>
    <cfRule type="expression" dxfId="193" priority="544">
      <formula>AND((L253=P253),NOT(P253=""))</formula>
    </cfRule>
  </conditionalFormatting>
  <conditionalFormatting sqref="P253">
    <cfRule type="expression" priority="542">
      <formula>(P253="")</formula>
    </cfRule>
  </conditionalFormatting>
  <conditionalFormatting sqref="P254">
    <cfRule type="expression" dxfId="192" priority="535">
      <formula>IF(M254="NO BET", TRUE, FALSE)</formula>
    </cfRule>
    <cfRule type="expression" priority="541">
      <formula>(P254="")</formula>
    </cfRule>
  </conditionalFormatting>
  <conditionalFormatting sqref="P255">
    <cfRule type="expression" priority="540">
      <formula>(P255="")</formula>
    </cfRule>
  </conditionalFormatting>
  <conditionalFormatting sqref="P256">
    <cfRule type="expression" priority="539">
      <formula>(P256="")</formula>
    </cfRule>
  </conditionalFormatting>
  <conditionalFormatting sqref="P254">
    <cfRule type="expression" priority="538">
      <formula>(P254="")</formula>
    </cfRule>
  </conditionalFormatting>
  <conditionalFormatting sqref="P255">
    <cfRule type="expression" priority="537">
      <formula>(P255="")</formula>
    </cfRule>
  </conditionalFormatting>
  <conditionalFormatting sqref="P256">
    <cfRule type="expression" priority="536">
      <formula>(P256="")</formula>
    </cfRule>
  </conditionalFormatting>
  <conditionalFormatting sqref="P253">
    <cfRule type="expression" dxfId="191" priority="532">
      <formula>IF(M253="NO BET", TRUE, FALSE)</formula>
    </cfRule>
    <cfRule type="expression" priority="534">
      <formula>(P253="")</formula>
    </cfRule>
  </conditionalFormatting>
  <conditionalFormatting sqref="P253">
    <cfRule type="expression" priority="533">
      <formula>(P253="")</formula>
    </cfRule>
  </conditionalFormatting>
  <conditionalFormatting sqref="P255">
    <cfRule type="expression" priority="531">
      <formula>(P255="")</formula>
    </cfRule>
  </conditionalFormatting>
  <conditionalFormatting sqref="P256">
    <cfRule type="expression" dxfId="190" priority="528">
      <formula>IF(M256="NO BET", TRUE, FALSE)</formula>
    </cfRule>
    <cfRule type="expression" priority="530">
      <formula>(P256="")</formula>
    </cfRule>
  </conditionalFormatting>
  <conditionalFormatting sqref="P256">
    <cfRule type="expression" priority="529">
      <formula>(P256="")</formula>
    </cfRule>
  </conditionalFormatting>
  <conditionalFormatting sqref="P255">
    <cfRule type="expression" dxfId="189" priority="525">
      <formula>IF(M255="NO BET", TRUE, FALSE)</formula>
    </cfRule>
    <cfRule type="expression" priority="527">
      <formula>(P255="")</formula>
    </cfRule>
  </conditionalFormatting>
  <conditionalFormatting sqref="P255">
    <cfRule type="expression" priority="526">
      <formula>(P255="")</formula>
    </cfRule>
  </conditionalFormatting>
  <conditionalFormatting sqref="P233:P238">
    <cfRule type="expression" dxfId="188" priority="523">
      <formula>AND(NOT(L233=P233),NOT(P233=""))</formula>
    </cfRule>
    <cfRule type="expression" dxfId="187" priority="524">
      <formula>AND((L233=P233),NOT(P233=""))</formula>
    </cfRule>
  </conditionalFormatting>
  <conditionalFormatting sqref="P233">
    <cfRule type="expression" priority="522">
      <formula>(P233="")</formula>
    </cfRule>
  </conditionalFormatting>
  <conditionalFormatting sqref="P234">
    <cfRule type="expression" dxfId="186" priority="511">
      <formula>IF(M234="NO BET", TRUE, FALSE)</formula>
    </cfRule>
    <cfRule type="expression" priority="521">
      <formula>(P234="")</formula>
    </cfRule>
  </conditionalFormatting>
  <conditionalFormatting sqref="P235">
    <cfRule type="expression" priority="520">
      <formula>(P235="")</formula>
    </cfRule>
  </conditionalFormatting>
  <conditionalFormatting sqref="P236">
    <cfRule type="expression" priority="519">
      <formula>(P236="")</formula>
    </cfRule>
  </conditionalFormatting>
  <conditionalFormatting sqref="P237">
    <cfRule type="expression" priority="518">
      <formula>(P237="")</formula>
    </cfRule>
  </conditionalFormatting>
  <conditionalFormatting sqref="P238">
    <cfRule type="expression" priority="517">
      <formula>(P238="")</formula>
    </cfRule>
  </conditionalFormatting>
  <conditionalFormatting sqref="P234">
    <cfRule type="expression" priority="516">
      <formula>(P234="")</formula>
    </cfRule>
  </conditionalFormatting>
  <conditionalFormatting sqref="P235">
    <cfRule type="expression" priority="515">
      <formula>(P235="")</formula>
    </cfRule>
  </conditionalFormatting>
  <conditionalFormatting sqref="P236">
    <cfRule type="expression" priority="514">
      <formula>(P236="")</formula>
    </cfRule>
  </conditionalFormatting>
  <conditionalFormatting sqref="P237">
    <cfRule type="expression" priority="513">
      <formula>(P237="")</formula>
    </cfRule>
  </conditionalFormatting>
  <conditionalFormatting sqref="P238">
    <cfRule type="expression" priority="512">
      <formula>(P238="")</formula>
    </cfRule>
  </conditionalFormatting>
  <conditionalFormatting sqref="P233">
    <cfRule type="expression" dxfId="185" priority="508">
      <formula>IF(M233="NO BET", TRUE, FALSE)</formula>
    </cfRule>
    <cfRule type="expression" priority="510">
      <formula>(P233="")</formula>
    </cfRule>
  </conditionalFormatting>
  <conditionalFormatting sqref="P233">
    <cfRule type="expression" priority="509">
      <formula>(P233="")</formula>
    </cfRule>
  </conditionalFormatting>
  <conditionalFormatting sqref="P235">
    <cfRule type="expression" priority="507">
      <formula>(P235="")</formula>
    </cfRule>
  </conditionalFormatting>
  <conditionalFormatting sqref="P236">
    <cfRule type="expression" dxfId="184" priority="504">
      <formula>IF(M236="NO BET", TRUE, FALSE)</formula>
    </cfRule>
    <cfRule type="expression" priority="506">
      <formula>(P236="")</formula>
    </cfRule>
  </conditionalFormatting>
  <conditionalFormatting sqref="P236">
    <cfRule type="expression" priority="505">
      <formula>(P236="")</formula>
    </cfRule>
  </conditionalFormatting>
  <conditionalFormatting sqref="P235">
    <cfRule type="expression" dxfId="183" priority="501">
      <formula>IF(M235="NO BET", TRUE, FALSE)</formula>
    </cfRule>
    <cfRule type="expression" priority="503">
      <formula>(P235="")</formula>
    </cfRule>
  </conditionalFormatting>
  <conditionalFormatting sqref="P235">
    <cfRule type="expression" priority="502">
      <formula>(P235="")</formula>
    </cfRule>
  </conditionalFormatting>
  <conditionalFormatting sqref="P237">
    <cfRule type="expression" priority="500">
      <formula>(P237="")</formula>
    </cfRule>
  </conditionalFormatting>
  <conditionalFormatting sqref="P238">
    <cfRule type="expression" dxfId="182" priority="497">
      <formula>IF(M238="NO BET", TRUE, FALSE)</formula>
    </cfRule>
    <cfRule type="expression" priority="499">
      <formula>(P238="")</formula>
    </cfRule>
  </conditionalFormatting>
  <conditionalFormatting sqref="P238">
    <cfRule type="expression" priority="498">
      <formula>(P238="")</formula>
    </cfRule>
  </conditionalFormatting>
  <conditionalFormatting sqref="P237">
    <cfRule type="expression" dxfId="181" priority="494">
      <formula>IF(M237="NO BET", TRUE, FALSE)</formula>
    </cfRule>
    <cfRule type="expression" priority="496">
      <formula>(P237="")</formula>
    </cfRule>
  </conditionalFormatting>
  <conditionalFormatting sqref="P237">
    <cfRule type="expression" priority="495">
      <formula>(P237="")</formula>
    </cfRule>
  </conditionalFormatting>
  <conditionalFormatting sqref="P239:P242">
    <cfRule type="expression" dxfId="180" priority="492">
      <formula>AND(NOT(L239=P239),NOT(P239=""))</formula>
    </cfRule>
    <cfRule type="expression" dxfId="179" priority="493">
      <formula>AND((L239=P239),NOT(P239=""))</formula>
    </cfRule>
  </conditionalFormatting>
  <conditionalFormatting sqref="P239">
    <cfRule type="expression" priority="491">
      <formula>(P239="")</formula>
    </cfRule>
  </conditionalFormatting>
  <conditionalFormatting sqref="P240">
    <cfRule type="expression" dxfId="178" priority="484">
      <formula>IF(M240="NO BET", TRUE, FALSE)</formula>
    </cfRule>
    <cfRule type="expression" priority="490">
      <formula>(P240="")</formula>
    </cfRule>
  </conditionalFormatting>
  <conditionalFormatting sqref="P241">
    <cfRule type="expression" priority="489">
      <formula>(P241="")</formula>
    </cfRule>
  </conditionalFormatting>
  <conditionalFormatting sqref="P242">
    <cfRule type="expression" priority="488">
      <formula>(P242="")</formula>
    </cfRule>
  </conditionalFormatting>
  <conditionalFormatting sqref="P240">
    <cfRule type="expression" priority="487">
      <formula>(P240="")</formula>
    </cfRule>
  </conditionalFormatting>
  <conditionalFormatting sqref="P241">
    <cfRule type="expression" priority="486">
      <formula>(P241="")</formula>
    </cfRule>
  </conditionalFormatting>
  <conditionalFormatting sqref="P242">
    <cfRule type="expression" priority="485">
      <formula>(P242="")</formula>
    </cfRule>
  </conditionalFormatting>
  <conditionalFormatting sqref="P239">
    <cfRule type="expression" dxfId="177" priority="481">
      <formula>IF(M239="NO BET", TRUE, FALSE)</formula>
    </cfRule>
    <cfRule type="expression" priority="483">
      <formula>(P239="")</formula>
    </cfRule>
  </conditionalFormatting>
  <conditionalFormatting sqref="P239">
    <cfRule type="expression" priority="482">
      <formula>(P239="")</formula>
    </cfRule>
  </conditionalFormatting>
  <conditionalFormatting sqref="P241">
    <cfRule type="expression" priority="480">
      <formula>(P241="")</formula>
    </cfRule>
  </conditionalFormatting>
  <conditionalFormatting sqref="P242">
    <cfRule type="expression" dxfId="176" priority="477">
      <formula>IF(M242="NO BET", TRUE, FALSE)</formula>
    </cfRule>
    <cfRule type="expression" priority="479">
      <formula>(P242="")</formula>
    </cfRule>
  </conditionalFormatting>
  <conditionalFormatting sqref="P242">
    <cfRule type="expression" priority="478">
      <formula>(P242="")</formula>
    </cfRule>
  </conditionalFormatting>
  <conditionalFormatting sqref="P241">
    <cfRule type="expression" dxfId="175" priority="474">
      <formula>IF(M241="NO BET", TRUE, FALSE)</formula>
    </cfRule>
    <cfRule type="expression" priority="476">
      <formula>(P241="")</formula>
    </cfRule>
  </conditionalFormatting>
  <conditionalFormatting sqref="P241">
    <cfRule type="expression" priority="475">
      <formula>(P241="")</formula>
    </cfRule>
  </conditionalFormatting>
  <conditionalFormatting sqref="P219:P224">
    <cfRule type="expression" dxfId="174" priority="472">
      <formula>AND(NOT(L219=P219),NOT(P219=""))</formula>
    </cfRule>
    <cfRule type="expression" dxfId="173" priority="473">
      <formula>AND((L219=P219),NOT(P219=""))</formula>
    </cfRule>
  </conditionalFormatting>
  <conditionalFormatting sqref="P219">
    <cfRule type="expression" priority="471">
      <formula>(P219="")</formula>
    </cfRule>
  </conditionalFormatting>
  <conditionalFormatting sqref="P220">
    <cfRule type="expression" dxfId="172" priority="460">
      <formula>IF(M220="NO BET", TRUE, FALSE)</formula>
    </cfRule>
    <cfRule type="expression" priority="470">
      <formula>(P220="")</formula>
    </cfRule>
  </conditionalFormatting>
  <conditionalFormatting sqref="P221">
    <cfRule type="expression" priority="469">
      <formula>(P221="")</formula>
    </cfRule>
  </conditionalFormatting>
  <conditionalFormatting sqref="P222">
    <cfRule type="expression" priority="468">
      <formula>(P222="")</formula>
    </cfRule>
  </conditionalFormatting>
  <conditionalFormatting sqref="P223">
    <cfRule type="expression" priority="467">
      <formula>(P223="")</formula>
    </cfRule>
  </conditionalFormatting>
  <conditionalFormatting sqref="P224">
    <cfRule type="expression" priority="466">
      <formula>(P224="")</formula>
    </cfRule>
  </conditionalFormatting>
  <conditionalFormatting sqref="P220">
    <cfRule type="expression" priority="465">
      <formula>(P220="")</formula>
    </cfRule>
  </conditionalFormatting>
  <conditionalFormatting sqref="P221">
    <cfRule type="expression" priority="464">
      <formula>(P221="")</formula>
    </cfRule>
  </conditionalFormatting>
  <conditionalFormatting sqref="P222">
    <cfRule type="expression" priority="463">
      <formula>(P222="")</formula>
    </cfRule>
  </conditionalFormatting>
  <conditionalFormatting sqref="P223">
    <cfRule type="expression" priority="462">
      <formula>(P223="")</formula>
    </cfRule>
  </conditionalFormatting>
  <conditionalFormatting sqref="P224">
    <cfRule type="expression" priority="461">
      <formula>(P224="")</formula>
    </cfRule>
  </conditionalFormatting>
  <conditionalFormatting sqref="P219">
    <cfRule type="expression" dxfId="171" priority="457">
      <formula>IF(M219="NO BET", TRUE, FALSE)</formula>
    </cfRule>
    <cfRule type="expression" priority="459">
      <formula>(P219="")</formula>
    </cfRule>
  </conditionalFormatting>
  <conditionalFormatting sqref="P219">
    <cfRule type="expression" priority="458">
      <formula>(P219="")</formula>
    </cfRule>
  </conditionalFormatting>
  <conditionalFormatting sqref="P221">
    <cfRule type="expression" priority="456">
      <formula>(P221="")</formula>
    </cfRule>
  </conditionalFormatting>
  <conditionalFormatting sqref="P222">
    <cfRule type="expression" dxfId="170" priority="453">
      <formula>IF(M222="NO BET", TRUE, FALSE)</formula>
    </cfRule>
    <cfRule type="expression" priority="455">
      <formula>(P222="")</formula>
    </cfRule>
  </conditionalFormatting>
  <conditionalFormatting sqref="P222">
    <cfRule type="expression" priority="454">
      <formula>(P222="")</formula>
    </cfRule>
  </conditionalFormatting>
  <conditionalFormatting sqref="P221">
    <cfRule type="expression" dxfId="169" priority="450">
      <formula>IF(M221="NO BET", TRUE, FALSE)</formula>
    </cfRule>
    <cfRule type="expression" priority="452">
      <formula>(P221="")</formula>
    </cfRule>
  </conditionalFormatting>
  <conditionalFormatting sqref="P221">
    <cfRule type="expression" priority="451">
      <formula>(P221="")</formula>
    </cfRule>
  </conditionalFormatting>
  <conditionalFormatting sqref="P223">
    <cfRule type="expression" priority="449">
      <formula>(P223="")</formula>
    </cfRule>
  </conditionalFormatting>
  <conditionalFormatting sqref="P224">
    <cfRule type="expression" dxfId="168" priority="446">
      <formula>IF(M224="NO BET", TRUE, FALSE)</formula>
    </cfRule>
    <cfRule type="expression" priority="448">
      <formula>(P224="")</formula>
    </cfRule>
  </conditionalFormatting>
  <conditionalFormatting sqref="P224">
    <cfRule type="expression" priority="447">
      <formula>(P224="")</formula>
    </cfRule>
  </conditionalFormatting>
  <conditionalFormatting sqref="P223">
    <cfRule type="expression" dxfId="167" priority="443">
      <formula>IF(M223="NO BET", TRUE, FALSE)</formula>
    </cfRule>
    <cfRule type="expression" priority="445">
      <formula>(P223="")</formula>
    </cfRule>
  </conditionalFormatting>
  <conditionalFormatting sqref="P223">
    <cfRule type="expression" priority="444">
      <formula>(P223="")</formula>
    </cfRule>
  </conditionalFormatting>
  <conditionalFormatting sqref="P225:P228">
    <cfRule type="expression" dxfId="166" priority="441">
      <formula>AND(NOT(L225=P225),NOT(P225=""))</formula>
    </cfRule>
    <cfRule type="expression" dxfId="165" priority="442">
      <formula>AND((L225=P225),NOT(P225=""))</formula>
    </cfRule>
  </conditionalFormatting>
  <conditionalFormatting sqref="P225">
    <cfRule type="expression" priority="440">
      <formula>(P225="")</formula>
    </cfRule>
  </conditionalFormatting>
  <conditionalFormatting sqref="P226">
    <cfRule type="expression" dxfId="164" priority="433">
      <formula>IF(M226="NO BET", TRUE, FALSE)</formula>
    </cfRule>
    <cfRule type="expression" priority="439">
      <formula>(P226="")</formula>
    </cfRule>
  </conditionalFormatting>
  <conditionalFormatting sqref="P227">
    <cfRule type="expression" priority="438">
      <formula>(P227="")</formula>
    </cfRule>
  </conditionalFormatting>
  <conditionalFormatting sqref="P228">
    <cfRule type="expression" priority="437">
      <formula>(P228="")</formula>
    </cfRule>
  </conditionalFormatting>
  <conditionalFormatting sqref="P226">
    <cfRule type="expression" priority="436">
      <formula>(P226="")</formula>
    </cfRule>
  </conditionalFormatting>
  <conditionalFormatting sqref="P227">
    <cfRule type="expression" priority="435">
      <formula>(P227="")</formula>
    </cfRule>
  </conditionalFormatting>
  <conditionalFormatting sqref="P228">
    <cfRule type="expression" priority="434">
      <formula>(P228="")</formula>
    </cfRule>
  </conditionalFormatting>
  <conditionalFormatting sqref="P225">
    <cfRule type="expression" dxfId="163" priority="430">
      <formula>IF(M225="NO BET", TRUE, FALSE)</formula>
    </cfRule>
    <cfRule type="expression" priority="432">
      <formula>(P225="")</formula>
    </cfRule>
  </conditionalFormatting>
  <conditionalFormatting sqref="P225">
    <cfRule type="expression" priority="431">
      <formula>(P225="")</formula>
    </cfRule>
  </conditionalFormatting>
  <conditionalFormatting sqref="P227">
    <cfRule type="expression" priority="429">
      <formula>(P227="")</formula>
    </cfRule>
  </conditionalFormatting>
  <conditionalFormatting sqref="P228">
    <cfRule type="expression" dxfId="162" priority="426">
      <formula>IF(M228="NO BET", TRUE, FALSE)</formula>
    </cfRule>
    <cfRule type="expression" priority="428">
      <formula>(P228="")</formula>
    </cfRule>
  </conditionalFormatting>
  <conditionalFormatting sqref="P228">
    <cfRule type="expression" priority="427">
      <formula>(P228="")</formula>
    </cfRule>
  </conditionalFormatting>
  <conditionalFormatting sqref="P227">
    <cfRule type="expression" dxfId="161" priority="423">
      <formula>IF(M227="NO BET", TRUE, FALSE)</formula>
    </cfRule>
    <cfRule type="expression" priority="425">
      <formula>(P227="")</formula>
    </cfRule>
  </conditionalFormatting>
  <conditionalFormatting sqref="P227">
    <cfRule type="expression" priority="424">
      <formula>(P227="")</formula>
    </cfRule>
  </conditionalFormatting>
  <conditionalFormatting sqref="P205:P210">
    <cfRule type="expression" dxfId="160" priority="421">
      <formula>AND(NOT(L205=P205),NOT(P205=""))</formula>
    </cfRule>
    <cfRule type="expression" dxfId="159" priority="422">
      <formula>AND((L205=P205),NOT(P205=""))</formula>
    </cfRule>
  </conditionalFormatting>
  <conditionalFormatting sqref="P205">
    <cfRule type="expression" priority="420">
      <formula>(P205="")</formula>
    </cfRule>
  </conditionalFormatting>
  <conditionalFormatting sqref="P206">
    <cfRule type="expression" dxfId="158" priority="409">
      <formula>IF(M206="NO BET", TRUE, FALSE)</formula>
    </cfRule>
    <cfRule type="expression" priority="419">
      <formula>(P206="")</formula>
    </cfRule>
  </conditionalFormatting>
  <conditionalFormatting sqref="P207">
    <cfRule type="expression" priority="418">
      <formula>(P207="")</formula>
    </cfRule>
  </conditionalFormatting>
  <conditionalFormatting sqref="P208">
    <cfRule type="expression" priority="417">
      <formula>(P208="")</formula>
    </cfRule>
  </conditionalFormatting>
  <conditionalFormatting sqref="P209">
    <cfRule type="expression" priority="416">
      <formula>(P209="")</formula>
    </cfRule>
  </conditionalFormatting>
  <conditionalFormatting sqref="P210">
    <cfRule type="expression" priority="415">
      <formula>(P210="")</formula>
    </cfRule>
  </conditionalFormatting>
  <conditionalFormatting sqref="P206">
    <cfRule type="expression" priority="414">
      <formula>(P206="")</formula>
    </cfRule>
  </conditionalFormatting>
  <conditionalFormatting sqref="P207">
    <cfRule type="expression" priority="413">
      <formula>(P207="")</formula>
    </cfRule>
  </conditionalFormatting>
  <conditionalFormatting sqref="P208">
    <cfRule type="expression" priority="412">
      <formula>(P208="")</formula>
    </cfRule>
  </conditionalFormatting>
  <conditionalFormatting sqref="P209">
    <cfRule type="expression" priority="411">
      <formula>(P209="")</formula>
    </cfRule>
  </conditionalFormatting>
  <conditionalFormatting sqref="P210">
    <cfRule type="expression" priority="410">
      <formula>(P210="")</formula>
    </cfRule>
  </conditionalFormatting>
  <conditionalFormatting sqref="P205">
    <cfRule type="expression" dxfId="157" priority="406">
      <formula>IF(M205="NO BET", TRUE, FALSE)</formula>
    </cfRule>
    <cfRule type="expression" priority="408">
      <formula>(P205="")</formula>
    </cfRule>
  </conditionalFormatting>
  <conditionalFormatting sqref="P205">
    <cfRule type="expression" priority="407">
      <formula>(P205="")</formula>
    </cfRule>
  </conditionalFormatting>
  <conditionalFormatting sqref="P207">
    <cfRule type="expression" priority="405">
      <formula>(P207="")</formula>
    </cfRule>
  </conditionalFormatting>
  <conditionalFormatting sqref="P208">
    <cfRule type="expression" dxfId="156" priority="402">
      <formula>IF(M208="NO BET", TRUE, FALSE)</formula>
    </cfRule>
    <cfRule type="expression" priority="404">
      <formula>(P208="")</formula>
    </cfRule>
  </conditionalFormatting>
  <conditionalFormatting sqref="P208">
    <cfRule type="expression" priority="403">
      <formula>(P208="")</formula>
    </cfRule>
  </conditionalFormatting>
  <conditionalFormatting sqref="P207">
    <cfRule type="expression" dxfId="155" priority="399">
      <formula>IF(M207="NO BET", TRUE, FALSE)</formula>
    </cfRule>
    <cfRule type="expression" priority="401">
      <formula>(P207="")</formula>
    </cfRule>
  </conditionalFormatting>
  <conditionalFormatting sqref="P207">
    <cfRule type="expression" priority="400">
      <formula>(P207="")</formula>
    </cfRule>
  </conditionalFormatting>
  <conditionalFormatting sqref="P209">
    <cfRule type="expression" priority="398">
      <formula>(P209="")</formula>
    </cfRule>
  </conditionalFormatting>
  <conditionalFormatting sqref="P210">
    <cfRule type="expression" dxfId="154" priority="395">
      <formula>IF(M210="NO BET", TRUE, FALSE)</formula>
    </cfRule>
    <cfRule type="expression" priority="397">
      <formula>(P210="")</formula>
    </cfRule>
  </conditionalFormatting>
  <conditionalFormatting sqref="P210">
    <cfRule type="expression" priority="396">
      <formula>(P210="")</formula>
    </cfRule>
  </conditionalFormatting>
  <conditionalFormatting sqref="P209">
    <cfRule type="expression" dxfId="153" priority="392">
      <formula>IF(M209="NO BET", TRUE, FALSE)</formula>
    </cfRule>
    <cfRule type="expression" priority="394">
      <formula>(P209="")</formula>
    </cfRule>
  </conditionalFormatting>
  <conditionalFormatting sqref="P209">
    <cfRule type="expression" priority="393">
      <formula>(P209="")</formula>
    </cfRule>
  </conditionalFormatting>
  <conditionalFormatting sqref="P211:P214">
    <cfRule type="expression" dxfId="152" priority="390">
      <formula>AND(NOT(L211=P211),NOT(P211=""))</formula>
    </cfRule>
    <cfRule type="expression" dxfId="151" priority="391">
      <formula>AND((L211=P211),NOT(P211=""))</formula>
    </cfRule>
  </conditionalFormatting>
  <conditionalFormatting sqref="P211">
    <cfRule type="expression" priority="389">
      <formula>(P211="")</formula>
    </cfRule>
  </conditionalFormatting>
  <conditionalFormatting sqref="P212">
    <cfRule type="expression" dxfId="150" priority="382">
      <formula>IF(M212="NO BET", TRUE, FALSE)</formula>
    </cfRule>
    <cfRule type="expression" priority="388">
      <formula>(P212="")</formula>
    </cfRule>
  </conditionalFormatting>
  <conditionalFormatting sqref="P213">
    <cfRule type="expression" priority="387">
      <formula>(P213="")</formula>
    </cfRule>
  </conditionalFormatting>
  <conditionalFormatting sqref="P214">
    <cfRule type="expression" priority="386">
      <formula>(P214="")</formula>
    </cfRule>
  </conditionalFormatting>
  <conditionalFormatting sqref="P212">
    <cfRule type="expression" priority="385">
      <formula>(P212="")</formula>
    </cfRule>
  </conditionalFormatting>
  <conditionalFormatting sqref="P213">
    <cfRule type="expression" priority="384">
      <formula>(P213="")</formula>
    </cfRule>
  </conditionalFormatting>
  <conditionalFormatting sqref="P214">
    <cfRule type="expression" priority="383">
      <formula>(P214="")</formula>
    </cfRule>
  </conditionalFormatting>
  <conditionalFormatting sqref="P211">
    <cfRule type="expression" dxfId="149" priority="379">
      <formula>IF(M211="NO BET", TRUE, FALSE)</formula>
    </cfRule>
    <cfRule type="expression" priority="381">
      <formula>(P211="")</formula>
    </cfRule>
  </conditionalFormatting>
  <conditionalFormatting sqref="P211">
    <cfRule type="expression" priority="380">
      <formula>(P211="")</formula>
    </cfRule>
  </conditionalFormatting>
  <conditionalFormatting sqref="P213">
    <cfRule type="expression" priority="378">
      <formula>(P213="")</formula>
    </cfRule>
  </conditionalFormatting>
  <conditionalFormatting sqref="P214">
    <cfRule type="expression" dxfId="148" priority="375">
      <formula>IF(M214="NO BET", TRUE, FALSE)</formula>
    </cfRule>
    <cfRule type="expression" priority="377">
      <formula>(P214="")</formula>
    </cfRule>
  </conditionalFormatting>
  <conditionalFormatting sqref="P214">
    <cfRule type="expression" priority="376">
      <formula>(P214="")</formula>
    </cfRule>
  </conditionalFormatting>
  <conditionalFormatting sqref="P213">
    <cfRule type="expression" dxfId="147" priority="372">
      <formula>IF(M213="NO BET", TRUE, FALSE)</formula>
    </cfRule>
    <cfRule type="expression" priority="374">
      <formula>(P213="")</formula>
    </cfRule>
  </conditionalFormatting>
  <conditionalFormatting sqref="P213">
    <cfRule type="expression" priority="373">
      <formula>(P213="")</formula>
    </cfRule>
  </conditionalFormatting>
  <conditionalFormatting sqref="P191:P196">
    <cfRule type="expression" dxfId="146" priority="370">
      <formula>AND(NOT(L191=P191),NOT(P191=""))</formula>
    </cfRule>
    <cfRule type="expression" dxfId="145" priority="371">
      <formula>AND((L191=P191),NOT(P191=""))</formula>
    </cfRule>
  </conditionalFormatting>
  <conditionalFormatting sqref="P191">
    <cfRule type="expression" priority="369">
      <formula>(P191="")</formula>
    </cfRule>
  </conditionalFormatting>
  <conditionalFormatting sqref="P192">
    <cfRule type="expression" dxfId="144" priority="358">
      <formula>IF(M192="NO BET", TRUE, FALSE)</formula>
    </cfRule>
    <cfRule type="expression" priority="368">
      <formula>(P192="")</formula>
    </cfRule>
  </conditionalFormatting>
  <conditionalFormatting sqref="P193">
    <cfRule type="expression" priority="367">
      <formula>(P193="")</formula>
    </cfRule>
  </conditionalFormatting>
  <conditionalFormatting sqref="P194">
    <cfRule type="expression" priority="366">
      <formula>(P194="")</formula>
    </cfRule>
  </conditionalFormatting>
  <conditionalFormatting sqref="P195">
    <cfRule type="expression" priority="365">
      <formula>(P195="")</formula>
    </cfRule>
  </conditionalFormatting>
  <conditionalFormatting sqref="P196">
    <cfRule type="expression" priority="364">
      <formula>(P196="")</formula>
    </cfRule>
  </conditionalFormatting>
  <conditionalFormatting sqref="P192">
    <cfRule type="expression" priority="363">
      <formula>(P192="")</formula>
    </cfRule>
  </conditionalFormatting>
  <conditionalFormatting sqref="P193">
    <cfRule type="expression" priority="362">
      <formula>(P193="")</formula>
    </cfRule>
  </conditionalFormatting>
  <conditionalFormatting sqref="P194">
    <cfRule type="expression" priority="361">
      <formula>(P194="")</formula>
    </cfRule>
  </conditionalFormatting>
  <conditionalFormatting sqref="P195">
    <cfRule type="expression" priority="360">
      <formula>(P195="")</formula>
    </cfRule>
  </conditionalFormatting>
  <conditionalFormatting sqref="P196">
    <cfRule type="expression" priority="359">
      <formula>(P196="")</formula>
    </cfRule>
  </conditionalFormatting>
  <conditionalFormatting sqref="P191">
    <cfRule type="expression" dxfId="143" priority="355">
      <formula>IF(M191="NO BET", TRUE, FALSE)</formula>
    </cfRule>
    <cfRule type="expression" priority="357">
      <formula>(P191="")</formula>
    </cfRule>
  </conditionalFormatting>
  <conditionalFormatting sqref="P191">
    <cfRule type="expression" priority="356">
      <formula>(P191="")</formula>
    </cfRule>
  </conditionalFormatting>
  <conditionalFormatting sqref="P193">
    <cfRule type="expression" priority="354">
      <formula>(P193="")</formula>
    </cfRule>
  </conditionalFormatting>
  <conditionalFormatting sqref="P194">
    <cfRule type="expression" dxfId="142" priority="351">
      <formula>IF(M194="NO BET", TRUE, FALSE)</formula>
    </cfRule>
    <cfRule type="expression" priority="353">
      <formula>(P194="")</formula>
    </cfRule>
  </conditionalFormatting>
  <conditionalFormatting sqref="P194">
    <cfRule type="expression" priority="352">
      <formula>(P194="")</formula>
    </cfRule>
  </conditionalFormatting>
  <conditionalFormatting sqref="P193">
    <cfRule type="expression" dxfId="141" priority="348">
      <formula>IF(M193="NO BET", TRUE, FALSE)</formula>
    </cfRule>
    <cfRule type="expression" priority="350">
      <formula>(P193="")</formula>
    </cfRule>
  </conditionalFormatting>
  <conditionalFormatting sqref="P193">
    <cfRule type="expression" priority="349">
      <formula>(P193="")</formula>
    </cfRule>
  </conditionalFormatting>
  <conditionalFormatting sqref="P195">
    <cfRule type="expression" priority="347">
      <formula>(P195="")</formula>
    </cfRule>
  </conditionalFormatting>
  <conditionalFormatting sqref="P196">
    <cfRule type="expression" dxfId="140" priority="344">
      <formula>IF(M196="NO BET", TRUE, FALSE)</formula>
    </cfRule>
    <cfRule type="expression" priority="346">
      <formula>(P196="")</formula>
    </cfRule>
  </conditionalFormatting>
  <conditionalFormatting sqref="P196">
    <cfRule type="expression" priority="345">
      <formula>(P196="")</formula>
    </cfRule>
  </conditionalFormatting>
  <conditionalFormatting sqref="P195">
    <cfRule type="expression" dxfId="139" priority="341">
      <formula>IF(M195="NO BET", TRUE, FALSE)</formula>
    </cfRule>
    <cfRule type="expression" priority="343">
      <formula>(P195="")</formula>
    </cfRule>
  </conditionalFormatting>
  <conditionalFormatting sqref="P195">
    <cfRule type="expression" priority="342">
      <formula>(P195="")</formula>
    </cfRule>
  </conditionalFormatting>
  <conditionalFormatting sqref="P197:P200">
    <cfRule type="expression" dxfId="138" priority="339">
      <formula>AND(NOT(L197=P197),NOT(P197=""))</formula>
    </cfRule>
    <cfRule type="expression" dxfId="137" priority="340">
      <formula>AND((L197=P197),NOT(P197=""))</formula>
    </cfRule>
  </conditionalFormatting>
  <conditionalFormatting sqref="P197">
    <cfRule type="expression" priority="338">
      <formula>(P197="")</formula>
    </cfRule>
  </conditionalFormatting>
  <conditionalFormatting sqref="P198">
    <cfRule type="expression" dxfId="136" priority="331">
      <formula>IF(M198="NO BET", TRUE, FALSE)</formula>
    </cfRule>
    <cfRule type="expression" priority="337">
      <formula>(P198="")</formula>
    </cfRule>
  </conditionalFormatting>
  <conditionalFormatting sqref="P199">
    <cfRule type="expression" priority="336">
      <formula>(P199="")</formula>
    </cfRule>
  </conditionalFormatting>
  <conditionalFormatting sqref="P200">
    <cfRule type="expression" priority="335">
      <formula>(P200="")</formula>
    </cfRule>
  </conditionalFormatting>
  <conditionalFormatting sqref="P198">
    <cfRule type="expression" priority="334">
      <formula>(P198="")</formula>
    </cfRule>
  </conditionalFormatting>
  <conditionalFormatting sqref="P199">
    <cfRule type="expression" priority="333">
      <formula>(P199="")</formula>
    </cfRule>
  </conditionalFormatting>
  <conditionalFormatting sqref="P200">
    <cfRule type="expression" priority="332">
      <formula>(P200="")</formula>
    </cfRule>
  </conditionalFormatting>
  <conditionalFormatting sqref="P197">
    <cfRule type="expression" dxfId="135" priority="328">
      <formula>IF(M197="NO BET", TRUE, FALSE)</formula>
    </cfRule>
    <cfRule type="expression" priority="330">
      <formula>(P197="")</formula>
    </cfRule>
  </conditionalFormatting>
  <conditionalFormatting sqref="P197">
    <cfRule type="expression" priority="329">
      <formula>(P197="")</formula>
    </cfRule>
  </conditionalFormatting>
  <conditionalFormatting sqref="P199">
    <cfRule type="expression" priority="327">
      <formula>(P199="")</formula>
    </cfRule>
  </conditionalFormatting>
  <conditionalFormatting sqref="P200">
    <cfRule type="expression" dxfId="134" priority="324">
      <formula>IF(M200="NO BET", TRUE, FALSE)</formula>
    </cfRule>
    <cfRule type="expression" priority="326">
      <formula>(P200="")</formula>
    </cfRule>
  </conditionalFormatting>
  <conditionalFormatting sqref="P200">
    <cfRule type="expression" priority="325">
      <formula>(P200="")</formula>
    </cfRule>
  </conditionalFormatting>
  <conditionalFormatting sqref="P199">
    <cfRule type="expression" dxfId="133" priority="321">
      <formula>IF(M199="NO BET", TRUE, FALSE)</formula>
    </cfRule>
    <cfRule type="expression" priority="323">
      <formula>(P199="")</formula>
    </cfRule>
  </conditionalFormatting>
  <conditionalFormatting sqref="P199">
    <cfRule type="expression" priority="322">
      <formula>(P199="")</formula>
    </cfRule>
  </conditionalFormatting>
  <conditionalFormatting sqref="P177:P182">
    <cfRule type="expression" dxfId="132" priority="319">
      <formula>AND(NOT(L177=P177),NOT(P177=""))</formula>
    </cfRule>
    <cfRule type="expression" dxfId="131" priority="320">
      <formula>AND((L177=P177),NOT(P177=""))</formula>
    </cfRule>
  </conditionalFormatting>
  <conditionalFormatting sqref="P177">
    <cfRule type="expression" priority="318">
      <formula>(P177="")</formula>
    </cfRule>
  </conditionalFormatting>
  <conditionalFormatting sqref="P178">
    <cfRule type="expression" dxfId="130" priority="307">
      <formula>IF(M178="NO BET", TRUE, FALSE)</formula>
    </cfRule>
    <cfRule type="expression" priority="317">
      <formula>(P178="")</formula>
    </cfRule>
  </conditionalFormatting>
  <conditionalFormatting sqref="P179">
    <cfRule type="expression" priority="316">
      <formula>(P179="")</formula>
    </cfRule>
  </conditionalFormatting>
  <conditionalFormatting sqref="P180">
    <cfRule type="expression" priority="315">
      <formula>(P180="")</formula>
    </cfRule>
  </conditionalFormatting>
  <conditionalFormatting sqref="P181">
    <cfRule type="expression" priority="314">
      <formula>(P181="")</formula>
    </cfRule>
  </conditionalFormatting>
  <conditionalFormatting sqref="P182">
    <cfRule type="expression" priority="313">
      <formula>(P182="")</formula>
    </cfRule>
  </conditionalFormatting>
  <conditionalFormatting sqref="P178">
    <cfRule type="expression" priority="312">
      <formula>(P178="")</formula>
    </cfRule>
  </conditionalFormatting>
  <conditionalFormatting sqref="P179">
    <cfRule type="expression" priority="311">
      <formula>(P179="")</formula>
    </cfRule>
  </conditionalFormatting>
  <conditionalFormatting sqref="P180">
    <cfRule type="expression" priority="310">
      <formula>(P180="")</formula>
    </cfRule>
  </conditionalFormatting>
  <conditionalFormatting sqref="P181">
    <cfRule type="expression" priority="309">
      <formula>(P181="")</formula>
    </cfRule>
  </conditionalFormatting>
  <conditionalFormatting sqref="P182">
    <cfRule type="expression" priority="308">
      <formula>(P182="")</formula>
    </cfRule>
  </conditionalFormatting>
  <conditionalFormatting sqref="P177">
    <cfRule type="expression" dxfId="129" priority="304">
      <formula>IF(M177="NO BET", TRUE, FALSE)</formula>
    </cfRule>
    <cfRule type="expression" priority="306">
      <formula>(P177="")</formula>
    </cfRule>
  </conditionalFormatting>
  <conditionalFormatting sqref="P177">
    <cfRule type="expression" priority="305">
      <formula>(P177="")</formula>
    </cfRule>
  </conditionalFormatting>
  <conditionalFormatting sqref="P179">
    <cfRule type="expression" priority="303">
      <formula>(P179="")</formula>
    </cfRule>
  </conditionalFormatting>
  <conditionalFormatting sqref="P180">
    <cfRule type="expression" dxfId="128" priority="300">
      <formula>IF(M180="NO BET", TRUE, FALSE)</formula>
    </cfRule>
    <cfRule type="expression" priority="302">
      <formula>(P180="")</formula>
    </cfRule>
  </conditionalFormatting>
  <conditionalFormatting sqref="P180">
    <cfRule type="expression" priority="301">
      <formula>(P180="")</formula>
    </cfRule>
  </conditionalFormatting>
  <conditionalFormatting sqref="P179">
    <cfRule type="expression" dxfId="127" priority="297">
      <formula>IF(M179="NO BET", TRUE, FALSE)</formula>
    </cfRule>
    <cfRule type="expression" priority="299">
      <formula>(P179="")</formula>
    </cfRule>
  </conditionalFormatting>
  <conditionalFormatting sqref="P179">
    <cfRule type="expression" priority="298">
      <formula>(P179="")</formula>
    </cfRule>
  </conditionalFormatting>
  <conditionalFormatting sqref="P181">
    <cfRule type="expression" priority="296">
      <formula>(P181="")</formula>
    </cfRule>
  </conditionalFormatting>
  <conditionalFormatting sqref="P182">
    <cfRule type="expression" dxfId="126" priority="293">
      <formula>IF(M182="NO BET", TRUE, FALSE)</formula>
    </cfRule>
    <cfRule type="expression" priority="295">
      <formula>(P182="")</formula>
    </cfRule>
  </conditionalFormatting>
  <conditionalFormatting sqref="P182">
    <cfRule type="expression" priority="294">
      <formula>(P182="")</formula>
    </cfRule>
  </conditionalFormatting>
  <conditionalFormatting sqref="P181">
    <cfRule type="expression" dxfId="125" priority="290">
      <formula>IF(M181="NO BET", TRUE, FALSE)</formula>
    </cfRule>
    <cfRule type="expression" priority="292">
      <formula>(P181="")</formula>
    </cfRule>
  </conditionalFormatting>
  <conditionalFormatting sqref="P181">
    <cfRule type="expression" priority="291">
      <formula>(P181="")</formula>
    </cfRule>
  </conditionalFormatting>
  <conditionalFormatting sqref="P183:P186">
    <cfRule type="expression" dxfId="124" priority="288">
      <formula>AND(NOT(L183=P183),NOT(P183=""))</formula>
    </cfRule>
    <cfRule type="expression" dxfId="123" priority="289">
      <formula>AND((L183=P183),NOT(P183=""))</formula>
    </cfRule>
  </conditionalFormatting>
  <conditionalFormatting sqref="P183">
    <cfRule type="expression" priority="287">
      <formula>(P183="")</formula>
    </cfRule>
  </conditionalFormatting>
  <conditionalFormatting sqref="P184">
    <cfRule type="expression" dxfId="122" priority="280">
      <formula>IF(M184="NO BET", TRUE, FALSE)</formula>
    </cfRule>
    <cfRule type="expression" priority="286">
      <formula>(P184="")</formula>
    </cfRule>
  </conditionalFormatting>
  <conditionalFormatting sqref="P185">
    <cfRule type="expression" priority="285">
      <formula>(P185="")</formula>
    </cfRule>
  </conditionalFormatting>
  <conditionalFormatting sqref="P186">
    <cfRule type="expression" priority="284">
      <formula>(P186="")</formula>
    </cfRule>
  </conditionalFormatting>
  <conditionalFormatting sqref="P184">
    <cfRule type="expression" priority="283">
      <formula>(P184="")</formula>
    </cfRule>
  </conditionalFormatting>
  <conditionalFormatting sqref="P185">
    <cfRule type="expression" priority="282">
      <formula>(P185="")</formula>
    </cfRule>
  </conditionalFormatting>
  <conditionalFormatting sqref="P186">
    <cfRule type="expression" priority="281">
      <formula>(P186="")</formula>
    </cfRule>
  </conditionalFormatting>
  <conditionalFormatting sqref="P183">
    <cfRule type="expression" dxfId="121" priority="277">
      <formula>IF(M183="NO BET", TRUE, FALSE)</formula>
    </cfRule>
    <cfRule type="expression" priority="279">
      <formula>(P183="")</formula>
    </cfRule>
  </conditionalFormatting>
  <conditionalFormatting sqref="P183">
    <cfRule type="expression" priority="278">
      <formula>(P183="")</formula>
    </cfRule>
  </conditionalFormatting>
  <conditionalFormatting sqref="P185">
    <cfRule type="expression" priority="276">
      <formula>(P185="")</formula>
    </cfRule>
  </conditionalFormatting>
  <conditionalFormatting sqref="P186">
    <cfRule type="expression" dxfId="120" priority="273">
      <formula>IF(M186="NO BET", TRUE, FALSE)</formula>
    </cfRule>
    <cfRule type="expression" priority="275">
      <formula>(P186="")</formula>
    </cfRule>
  </conditionalFormatting>
  <conditionalFormatting sqref="P186">
    <cfRule type="expression" priority="274">
      <formula>(P186="")</formula>
    </cfRule>
  </conditionalFormatting>
  <conditionalFormatting sqref="P185">
    <cfRule type="expression" dxfId="119" priority="270">
      <formula>IF(M185="NO BET", TRUE, FALSE)</formula>
    </cfRule>
    <cfRule type="expression" priority="272">
      <formula>(P185="")</formula>
    </cfRule>
  </conditionalFormatting>
  <conditionalFormatting sqref="P185">
    <cfRule type="expression" priority="271">
      <formula>(P185="")</formula>
    </cfRule>
  </conditionalFormatting>
  <conditionalFormatting sqref="P163:P168">
    <cfRule type="expression" dxfId="118" priority="268">
      <formula>AND(NOT(L163=P163),NOT(P163=""))</formula>
    </cfRule>
    <cfRule type="expression" dxfId="117" priority="269">
      <formula>AND((L163=P163),NOT(P163=""))</formula>
    </cfRule>
  </conditionalFormatting>
  <conditionalFormatting sqref="P163">
    <cfRule type="expression" priority="267">
      <formula>(P163="")</formula>
    </cfRule>
  </conditionalFormatting>
  <conditionalFormatting sqref="P164">
    <cfRule type="expression" dxfId="116" priority="256">
      <formula>IF(M164="NO BET", TRUE, FALSE)</formula>
    </cfRule>
    <cfRule type="expression" priority="266">
      <formula>(P164="")</formula>
    </cfRule>
  </conditionalFormatting>
  <conditionalFormatting sqref="P165">
    <cfRule type="expression" priority="265">
      <formula>(P165="")</formula>
    </cfRule>
  </conditionalFormatting>
  <conditionalFormatting sqref="P166">
    <cfRule type="expression" priority="264">
      <formula>(P166="")</formula>
    </cfRule>
  </conditionalFormatting>
  <conditionalFormatting sqref="P167">
    <cfRule type="expression" priority="263">
      <formula>(P167="")</formula>
    </cfRule>
  </conditionalFormatting>
  <conditionalFormatting sqref="P168">
    <cfRule type="expression" priority="262">
      <formula>(P168="")</formula>
    </cfRule>
  </conditionalFormatting>
  <conditionalFormatting sqref="P164">
    <cfRule type="expression" priority="261">
      <formula>(P164="")</formula>
    </cfRule>
  </conditionalFormatting>
  <conditionalFormatting sqref="P165">
    <cfRule type="expression" priority="260">
      <formula>(P165="")</formula>
    </cfRule>
  </conditionalFormatting>
  <conditionalFormatting sqref="P166">
    <cfRule type="expression" priority="259">
      <formula>(P166="")</formula>
    </cfRule>
  </conditionalFormatting>
  <conditionalFormatting sqref="P167">
    <cfRule type="expression" priority="258">
      <formula>(P167="")</formula>
    </cfRule>
  </conditionalFormatting>
  <conditionalFormatting sqref="P168">
    <cfRule type="expression" priority="257">
      <formula>(P168="")</formula>
    </cfRule>
  </conditionalFormatting>
  <conditionalFormatting sqref="P163">
    <cfRule type="expression" dxfId="115" priority="253">
      <formula>IF(M163="NO BET", TRUE, FALSE)</formula>
    </cfRule>
    <cfRule type="expression" priority="255">
      <formula>(P163="")</formula>
    </cfRule>
  </conditionalFormatting>
  <conditionalFormatting sqref="P163">
    <cfRule type="expression" priority="254">
      <formula>(P163="")</formula>
    </cfRule>
  </conditionalFormatting>
  <conditionalFormatting sqref="P165">
    <cfRule type="expression" priority="252">
      <formula>(P165="")</formula>
    </cfRule>
  </conditionalFormatting>
  <conditionalFormatting sqref="P166">
    <cfRule type="expression" dxfId="114" priority="249">
      <formula>IF(M166="NO BET", TRUE, FALSE)</formula>
    </cfRule>
    <cfRule type="expression" priority="251">
      <formula>(P166="")</formula>
    </cfRule>
  </conditionalFormatting>
  <conditionalFormatting sqref="P166">
    <cfRule type="expression" priority="250">
      <formula>(P166="")</formula>
    </cfRule>
  </conditionalFormatting>
  <conditionalFormatting sqref="P165">
    <cfRule type="expression" dxfId="113" priority="246">
      <formula>IF(M165="NO BET", TRUE, FALSE)</formula>
    </cfRule>
    <cfRule type="expression" priority="248">
      <formula>(P165="")</formula>
    </cfRule>
  </conditionalFormatting>
  <conditionalFormatting sqref="P165">
    <cfRule type="expression" priority="247">
      <formula>(P165="")</formula>
    </cfRule>
  </conditionalFormatting>
  <conditionalFormatting sqref="P167">
    <cfRule type="expression" priority="245">
      <formula>(P167="")</formula>
    </cfRule>
  </conditionalFormatting>
  <conditionalFormatting sqref="P168">
    <cfRule type="expression" dxfId="112" priority="242">
      <formula>IF(M168="NO BET", TRUE, FALSE)</formula>
    </cfRule>
    <cfRule type="expression" priority="244">
      <formula>(P168="")</formula>
    </cfRule>
  </conditionalFormatting>
  <conditionalFormatting sqref="P168">
    <cfRule type="expression" priority="243">
      <formula>(P168="")</formula>
    </cfRule>
  </conditionalFormatting>
  <conditionalFormatting sqref="P167">
    <cfRule type="expression" dxfId="111" priority="239">
      <formula>IF(M167="NO BET", TRUE, FALSE)</formula>
    </cfRule>
    <cfRule type="expression" priority="241">
      <formula>(P167="")</formula>
    </cfRule>
  </conditionalFormatting>
  <conditionalFormatting sqref="P167">
    <cfRule type="expression" priority="240">
      <formula>(P167="")</formula>
    </cfRule>
  </conditionalFormatting>
  <conditionalFormatting sqref="P169:P172">
    <cfRule type="expression" dxfId="110" priority="237">
      <formula>AND(NOT(L169=P169),NOT(P169=""))</formula>
    </cfRule>
    <cfRule type="expression" dxfId="109" priority="238">
      <formula>AND((L169=P169),NOT(P169=""))</formula>
    </cfRule>
  </conditionalFormatting>
  <conditionalFormatting sqref="P169">
    <cfRule type="expression" priority="236">
      <formula>(P169="")</formula>
    </cfRule>
  </conditionalFormatting>
  <conditionalFormatting sqref="P170">
    <cfRule type="expression" dxfId="108" priority="229">
      <formula>IF(M170="NO BET", TRUE, FALSE)</formula>
    </cfRule>
    <cfRule type="expression" priority="235">
      <formula>(P170="")</formula>
    </cfRule>
  </conditionalFormatting>
  <conditionalFormatting sqref="P171">
    <cfRule type="expression" priority="234">
      <formula>(P171="")</formula>
    </cfRule>
  </conditionalFormatting>
  <conditionalFormatting sqref="P172">
    <cfRule type="expression" priority="233">
      <formula>(P172="")</formula>
    </cfRule>
  </conditionalFormatting>
  <conditionalFormatting sqref="P170">
    <cfRule type="expression" priority="232">
      <formula>(P170="")</formula>
    </cfRule>
  </conditionalFormatting>
  <conditionalFormatting sqref="P171">
    <cfRule type="expression" priority="231">
      <formula>(P171="")</formula>
    </cfRule>
  </conditionalFormatting>
  <conditionalFormatting sqref="P172">
    <cfRule type="expression" priority="230">
      <formula>(P172="")</formula>
    </cfRule>
  </conditionalFormatting>
  <conditionalFormatting sqref="P169">
    <cfRule type="expression" dxfId="107" priority="226">
      <formula>IF(M169="NO BET", TRUE, FALSE)</formula>
    </cfRule>
    <cfRule type="expression" priority="228">
      <formula>(P169="")</formula>
    </cfRule>
  </conditionalFormatting>
  <conditionalFormatting sqref="P169">
    <cfRule type="expression" priority="227">
      <formula>(P169="")</formula>
    </cfRule>
  </conditionalFormatting>
  <conditionalFormatting sqref="P171">
    <cfRule type="expression" priority="225">
      <formula>(P171="")</formula>
    </cfRule>
  </conditionalFormatting>
  <conditionalFormatting sqref="P172">
    <cfRule type="expression" dxfId="106" priority="222">
      <formula>IF(M172="NO BET", TRUE, FALSE)</formula>
    </cfRule>
    <cfRule type="expression" priority="224">
      <formula>(P172="")</formula>
    </cfRule>
  </conditionalFormatting>
  <conditionalFormatting sqref="P172">
    <cfRule type="expression" priority="223">
      <formula>(P172="")</formula>
    </cfRule>
  </conditionalFormatting>
  <conditionalFormatting sqref="P171">
    <cfRule type="expression" dxfId="105" priority="219">
      <formula>IF(M171="NO BET", TRUE, FALSE)</formula>
    </cfRule>
    <cfRule type="expression" priority="221">
      <formula>(P171="")</formula>
    </cfRule>
  </conditionalFormatting>
  <conditionalFormatting sqref="P171">
    <cfRule type="expression" priority="220">
      <formula>(P171="")</formula>
    </cfRule>
  </conditionalFormatting>
  <conditionalFormatting sqref="P389:P394">
    <cfRule type="expression" dxfId="104" priority="217">
      <formula>AND(NOT(L389=P389),NOT(P389=""))</formula>
    </cfRule>
    <cfRule type="expression" dxfId="103" priority="218">
      <formula>AND((L389=P389),NOT(P389=""))</formula>
    </cfRule>
  </conditionalFormatting>
  <conditionalFormatting sqref="P389">
    <cfRule type="expression" priority="216">
      <formula>(P389="")</formula>
    </cfRule>
  </conditionalFormatting>
  <conditionalFormatting sqref="P390">
    <cfRule type="expression" dxfId="102" priority="205">
      <formula>IF(M390="NO BET", TRUE, FALSE)</formula>
    </cfRule>
    <cfRule type="expression" priority="215">
      <formula>(P390="")</formula>
    </cfRule>
  </conditionalFormatting>
  <conditionalFormatting sqref="P391">
    <cfRule type="expression" priority="214">
      <formula>(P391="")</formula>
    </cfRule>
  </conditionalFormatting>
  <conditionalFormatting sqref="P392">
    <cfRule type="expression" priority="213">
      <formula>(P392="")</formula>
    </cfRule>
  </conditionalFormatting>
  <conditionalFormatting sqref="P393">
    <cfRule type="expression" priority="212">
      <formula>(P393="")</formula>
    </cfRule>
  </conditionalFormatting>
  <conditionalFormatting sqref="P394">
    <cfRule type="expression" priority="211">
      <formula>(P394="")</formula>
    </cfRule>
  </conditionalFormatting>
  <conditionalFormatting sqref="P390">
    <cfRule type="expression" priority="210">
      <formula>(P390="")</formula>
    </cfRule>
  </conditionalFormatting>
  <conditionalFormatting sqref="P391">
    <cfRule type="expression" priority="209">
      <formula>(P391="")</formula>
    </cfRule>
  </conditionalFormatting>
  <conditionalFormatting sqref="P392">
    <cfRule type="expression" priority="208">
      <formula>(P392="")</formula>
    </cfRule>
  </conditionalFormatting>
  <conditionalFormatting sqref="P393">
    <cfRule type="expression" priority="207">
      <formula>(P393="")</formula>
    </cfRule>
  </conditionalFormatting>
  <conditionalFormatting sqref="P394">
    <cfRule type="expression" priority="206">
      <formula>(P394="")</formula>
    </cfRule>
  </conditionalFormatting>
  <conditionalFormatting sqref="P389">
    <cfRule type="expression" dxfId="101" priority="202">
      <formula>IF(M389="NO BET", TRUE, FALSE)</formula>
    </cfRule>
    <cfRule type="expression" priority="204">
      <formula>(P389="")</formula>
    </cfRule>
  </conditionalFormatting>
  <conditionalFormatting sqref="P389">
    <cfRule type="expression" priority="203">
      <formula>(P389="")</formula>
    </cfRule>
  </conditionalFormatting>
  <conditionalFormatting sqref="P391">
    <cfRule type="expression" priority="201">
      <formula>(P391="")</formula>
    </cfRule>
  </conditionalFormatting>
  <conditionalFormatting sqref="P392">
    <cfRule type="expression" dxfId="100" priority="198">
      <formula>IF(M392="NO BET", TRUE, FALSE)</formula>
    </cfRule>
    <cfRule type="expression" priority="200">
      <formula>(P392="")</formula>
    </cfRule>
  </conditionalFormatting>
  <conditionalFormatting sqref="P392">
    <cfRule type="expression" priority="199">
      <formula>(P392="")</formula>
    </cfRule>
  </conditionalFormatting>
  <conditionalFormatting sqref="P391">
    <cfRule type="expression" dxfId="99" priority="195">
      <formula>IF(M391="NO BET", TRUE, FALSE)</formula>
    </cfRule>
    <cfRule type="expression" priority="197">
      <formula>(P391="")</formula>
    </cfRule>
  </conditionalFormatting>
  <conditionalFormatting sqref="P391">
    <cfRule type="expression" priority="196">
      <formula>(P391="")</formula>
    </cfRule>
  </conditionalFormatting>
  <conditionalFormatting sqref="P393">
    <cfRule type="expression" priority="194">
      <formula>(P393="")</formula>
    </cfRule>
  </conditionalFormatting>
  <conditionalFormatting sqref="P394">
    <cfRule type="expression" dxfId="98" priority="191">
      <formula>IF(M394="NO BET", TRUE, FALSE)</formula>
    </cfRule>
    <cfRule type="expression" priority="193">
      <formula>(P394="")</formula>
    </cfRule>
  </conditionalFormatting>
  <conditionalFormatting sqref="P394">
    <cfRule type="expression" priority="192">
      <formula>(P394="")</formula>
    </cfRule>
  </conditionalFormatting>
  <conditionalFormatting sqref="P393">
    <cfRule type="expression" dxfId="97" priority="188">
      <formula>IF(M393="NO BET", TRUE, FALSE)</formula>
    </cfRule>
    <cfRule type="expression" priority="190">
      <formula>(P393="")</formula>
    </cfRule>
  </conditionalFormatting>
  <conditionalFormatting sqref="P393">
    <cfRule type="expression" priority="189">
      <formula>(P393="")</formula>
    </cfRule>
  </conditionalFormatting>
  <conditionalFormatting sqref="P395:P398">
    <cfRule type="expression" dxfId="96" priority="186">
      <formula>AND(NOT(L395=P395),NOT(P395=""))</formula>
    </cfRule>
    <cfRule type="expression" dxfId="95" priority="187">
      <formula>AND((L395=P395),NOT(P395=""))</formula>
    </cfRule>
  </conditionalFormatting>
  <conditionalFormatting sqref="P395">
    <cfRule type="expression" priority="185">
      <formula>(P395="")</formula>
    </cfRule>
  </conditionalFormatting>
  <conditionalFormatting sqref="P396">
    <cfRule type="expression" dxfId="94" priority="178">
      <formula>IF(M396="NO BET", TRUE, FALSE)</formula>
    </cfRule>
    <cfRule type="expression" priority="184">
      <formula>(P396="")</formula>
    </cfRule>
  </conditionalFormatting>
  <conditionalFormatting sqref="P397">
    <cfRule type="expression" priority="183">
      <formula>(P397="")</formula>
    </cfRule>
  </conditionalFormatting>
  <conditionalFormatting sqref="P398">
    <cfRule type="expression" priority="182">
      <formula>(P398="")</formula>
    </cfRule>
  </conditionalFormatting>
  <conditionalFormatting sqref="P396">
    <cfRule type="expression" priority="181">
      <formula>(P396="")</formula>
    </cfRule>
  </conditionalFormatting>
  <conditionalFormatting sqref="P397">
    <cfRule type="expression" priority="180">
      <formula>(P397="")</formula>
    </cfRule>
  </conditionalFormatting>
  <conditionalFormatting sqref="P398">
    <cfRule type="expression" priority="179">
      <formula>(P398="")</formula>
    </cfRule>
  </conditionalFormatting>
  <conditionalFormatting sqref="P395">
    <cfRule type="expression" dxfId="93" priority="175">
      <formula>IF(M395="NO BET", TRUE, FALSE)</formula>
    </cfRule>
    <cfRule type="expression" priority="177">
      <formula>(P395="")</formula>
    </cfRule>
  </conditionalFormatting>
  <conditionalFormatting sqref="P395">
    <cfRule type="expression" priority="176">
      <formula>(P395="")</formula>
    </cfRule>
  </conditionalFormatting>
  <conditionalFormatting sqref="P397">
    <cfRule type="expression" priority="174">
      <formula>(P397="")</formula>
    </cfRule>
  </conditionalFormatting>
  <conditionalFormatting sqref="P398">
    <cfRule type="expression" dxfId="92" priority="171">
      <formula>IF(M398="NO BET", TRUE, FALSE)</formula>
    </cfRule>
    <cfRule type="expression" priority="173">
      <formula>(P398="")</formula>
    </cfRule>
  </conditionalFormatting>
  <conditionalFormatting sqref="P398">
    <cfRule type="expression" priority="172">
      <formula>(P398="")</formula>
    </cfRule>
  </conditionalFormatting>
  <conditionalFormatting sqref="P397">
    <cfRule type="expression" dxfId="91" priority="168">
      <formula>IF(M397="NO BET", TRUE, FALSE)</formula>
    </cfRule>
    <cfRule type="expression" priority="170">
      <formula>(P397="")</formula>
    </cfRule>
  </conditionalFormatting>
  <conditionalFormatting sqref="P397">
    <cfRule type="expression" priority="169">
      <formula>(P397="")</formula>
    </cfRule>
  </conditionalFormatting>
  <conditionalFormatting sqref="P149:P154">
    <cfRule type="expression" dxfId="90" priority="166">
      <formula>AND(NOT(L149=P149),NOT(P149=""))</formula>
    </cfRule>
    <cfRule type="expression" dxfId="89" priority="167">
      <formula>AND((L149=P149),NOT(P149=""))</formula>
    </cfRule>
  </conditionalFormatting>
  <conditionalFormatting sqref="P149">
    <cfRule type="expression" priority="165">
      <formula>(P149="")</formula>
    </cfRule>
  </conditionalFormatting>
  <conditionalFormatting sqref="P150">
    <cfRule type="expression" dxfId="88" priority="154">
      <formula>IF(M150="NO BET", TRUE, FALSE)</formula>
    </cfRule>
    <cfRule type="expression" priority="164">
      <formula>(P150="")</formula>
    </cfRule>
  </conditionalFormatting>
  <conditionalFormatting sqref="P151">
    <cfRule type="expression" priority="163">
      <formula>(P151="")</formula>
    </cfRule>
  </conditionalFormatting>
  <conditionalFormatting sqref="P152">
    <cfRule type="expression" priority="162">
      <formula>(P152="")</formula>
    </cfRule>
  </conditionalFormatting>
  <conditionalFormatting sqref="P153">
    <cfRule type="expression" priority="161">
      <formula>(P153="")</formula>
    </cfRule>
  </conditionalFormatting>
  <conditionalFormatting sqref="P154">
    <cfRule type="expression" priority="160">
      <formula>(P154="")</formula>
    </cfRule>
  </conditionalFormatting>
  <conditionalFormatting sqref="P150">
    <cfRule type="expression" priority="159">
      <formula>(P150="")</formula>
    </cfRule>
  </conditionalFormatting>
  <conditionalFormatting sqref="P151">
    <cfRule type="expression" priority="158">
      <formula>(P151="")</formula>
    </cfRule>
  </conditionalFormatting>
  <conditionalFormatting sqref="P152">
    <cfRule type="expression" priority="157">
      <formula>(P152="")</formula>
    </cfRule>
  </conditionalFormatting>
  <conditionalFormatting sqref="P153">
    <cfRule type="expression" priority="156">
      <formula>(P153="")</formula>
    </cfRule>
  </conditionalFormatting>
  <conditionalFormatting sqref="P154">
    <cfRule type="expression" priority="155">
      <formula>(P154="")</formula>
    </cfRule>
  </conditionalFormatting>
  <conditionalFormatting sqref="P149">
    <cfRule type="expression" dxfId="87" priority="151">
      <formula>IF(M149="NO BET", TRUE, FALSE)</formula>
    </cfRule>
    <cfRule type="expression" priority="153">
      <formula>(P149="")</formula>
    </cfRule>
  </conditionalFormatting>
  <conditionalFormatting sqref="P149">
    <cfRule type="expression" priority="152">
      <formula>(P149="")</formula>
    </cfRule>
  </conditionalFormatting>
  <conditionalFormatting sqref="P151">
    <cfRule type="expression" priority="150">
      <formula>(P151="")</formula>
    </cfRule>
  </conditionalFormatting>
  <conditionalFormatting sqref="P152">
    <cfRule type="expression" dxfId="86" priority="147">
      <formula>IF(M152="NO BET", TRUE, FALSE)</formula>
    </cfRule>
    <cfRule type="expression" priority="149">
      <formula>(P152="")</formula>
    </cfRule>
  </conditionalFormatting>
  <conditionalFormatting sqref="P152">
    <cfRule type="expression" priority="148">
      <formula>(P152="")</formula>
    </cfRule>
  </conditionalFormatting>
  <conditionalFormatting sqref="P151">
    <cfRule type="expression" dxfId="85" priority="144">
      <formula>IF(M151="NO BET", TRUE, FALSE)</formula>
    </cfRule>
    <cfRule type="expression" priority="146">
      <formula>(P151="")</formula>
    </cfRule>
  </conditionalFormatting>
  <conditionalFormatting sqref="P151">
    <cfRule type="expression" priority="145">
      <formula>(P151="")</formula>
    </cfRule>
  </conditionalFormatting>
  <conditionalFormatting sqref="P153">
    <cfRule type="expression" priority="143">
      <formula>(P153="")</formula>
    </cfRule>
  </conditionalFormatting>
  <conditionalFormatting sqref="P154">
    <cfRule type="expression" dxfId="84" priority="140">
      <formula>IF(M154="NO BET", TRUE, FALSE)</formula>
    </cfRule>
    <cfRule type="expression" priority="142">
      <formula>(P154="")</formula>
    </cfRule>
  </conditionalFormatting>
  <conditionalFormatting sqref="P154">
    <cfRule type="expression" priority="141">
      <formula>(P154="")</formula>
    </cfRule>
  </conditionalFormatting>
  <conditionalFormatting sqref="P153">
    <cfRule type="expression" dxfId="83" priority="137">
      <formula>IF(M153="NO BET", TRUE, FALSE)</formula>
    </cfRule>
    <cfRule type="expression" priority="139">
      <formula>(P153="")</formula>
    </cfRule>
  </conditionalFormatting>
  <conditionalFormatting sqref="P153">
    <cfRule type="expression" priority="138">
      <formula>(P153="")</formula>
    </cfRule>
  </conditionalFormatting>
  <conditionalFormatting sqref="P155:P158">
    <cfRule type="expression" dxfId="82" priority="135">
      <formula>AND(NOT(L155=P155),NOT(P155=""))</formula>
    </cfRule>
    <cfRule type="expression" dxfId="81" priority="136">
      <formula>AND((L155=P155),NOT(P155=""))</formula>
    </cfRule>
  </conditionalFormatting>
  <conditionalFormatting sqref="P155">
    <cfRule type="expression" priority="134">
      <formula>(P155="")</formula>
    </cfRule>
  </conditionalFormatting>
  <conditionalFormatting sqref="P156">
    <cfRule type="expression" dxfId="80" priority="127">
      <formula>IF(M156="NO BET", TRUE, FALSE)</formula>
    </cfRule>
    <cfRule type="expression" priority="133">
      <formula>(P156="")</formula>
    </cfRule>
  </conditionalFormatting>
  <conditionalFormatting sqref="P157">
    <cfRule type="expression" priority="132">
      <formula>(P157="")</formula>
    </cfRule>
  </conditionalFormatting>
  <conditionalFormatting sqref="P158">
    <cfRule type="expression" priority="131">
      <formula>(P158="")</formula>
    </cfRule>
  </conditionalFormatting>
  <conditionalFormatting sqref="P156">
    <cfRule type="expression" priority="130">
      <formula>(P156="")</formula>
    </cfRule>
  </conditionalFormatting>
  <conditionalFormatting sqref="P157">
    <cfRule type="expression" priority="129">
      <formula>(P157="")</formula>
    </cfRule>
  </conditionalFormatting>
  <conditionalFormatting sqref="P158">
    <cfRule type="expression" priority="128">
      <formula>(P158="")</formula>
    </cfRule>
  </conditionalFormatting>
  <conditionalFormatting sqref="P155">
    <cfRule type="expression" dxfId="79" priority="124">
      <formula>IF(M155="NO BET", TRUE, FALSE)</formula>
    </cfRule>
    <cfRule type="expression" priority="126">
      <formula>(P155="")</formula>
    </cfRule>
  </conditionalFormatting>
  <conditionalFormatting sqref="P155">
    <cfRule type="expression" priority="125">
      <formula>(P155="")</formula>
    </cfRule>
  </conditionalFormatting>
  <conditionalFormatting sqref="P157">
    <cfRule type="expression" priority="123">
      <formula>(P157="")</formula>
    </cfRule>
  </conditionalFormatting>
  <conditionalFormatting sqref="P158">
    <cfRule type="expression" dxfId="78" priority="120">
      <formula>IF(M158="NO BET", TRUE, FALSE)</formula>
    </cfRule>
    <cfRule type="expression" priority="122">
      <formula>(P158="")</formula>
    </cfRule>
  </conditionalFormatting>
  <conditionalFormatting sqref="P158">
    <cfRule type="expression" priority="121">
      <formula>(P158="")</formula>
    </cfRule>
  </conditionalFormatting>
  <conditionalFormatting sqref="P157">
    <cfRule type="expression" dxfId="77" priority="117">
      <formula>IF(M157="NO BET", TRUE, FALSE)</formula>
    </cfRule>
    <cfRule type="expression" priority="119">
      <formula>(P157="")</formula>
    </cfRule>
  </conditionalFormatting>
  <conditionalFormatting sqref="P157">
    <cfRule type="expression" priority="118">
      <formula>(P157="")</formula>
    </cfRule>
  </conditionalFormatting>
  <conditionalFormatting sqref="P305:P310">
    <cfRule type="expression" dxfId="76" priority="115">
      <formula>AND(NOT(L305=P305),NOT(P305=""))</formula>
    </cfRule>
    <cfRule type="expression" dxfId="75" priority="116">
      <formula>AND((L305=P305),NOT(P305=""))</formula>
    </cfRule>
  </conditionalFormatting>
  <conditionalFormatting sqref="P305">
    <cfRule type="expression" priority="114">
      <formula>(P305="")</formula>
    </cfRule>
  </conditionalFormatting>
  <conditionalFormatting sqref="P306">
    <cfRule type="expression" dxfId="74" priority="103">
      <formula>IF(M306="NO BET", TRUE, FALSE)</formula>
    </cfRule>
    <cfRule type="expression" priority="113">
      <formula>(P306="")</formula>
    </cfRule>
  </conditionalFormatting>
  <conditionalFormatting sqref="P307">
    <cfRule type="expression" priority="112">
      <formula>(P307="")</formula>
    </cfRule>
  </conditionalFormatting>
  <conditionalFormatting sqref="P308">
    <cfRule type="expression" priority="111">
      <formula>(P308="")</formula>
    </cfRule>
  </conditionalFormatting>
  <conditionalFormatting sqref="P309">
    <cfRule type="expression" priority="110">
      <formula>(P309="")</formula>
    </cfRule>
  </conditionalFormatting>
  <conditionalFormatting sqref="P310">
    <cfRule type="expression" priority="109">
      <formula>(P310="")</formula>
    </cfRule>
  </conditionalFormatting>
  <conditionalFormatting sqref="P306">
    <cfRule type="expression" priority="108">
      <formula>(P306="")</formula>
    </cfRule>
  </conditionalFormatting>
  <conditionalFormatting sqref="P307">
    <cfRule type="expression" priority="107">
      <formula>(P307="")</formula>
    </cfRule>
  </conditionalFormatting>
  <conditionalFormatting sqref="P308">
    <cfRule type="expression" priority="106">
      <formula>(P308="")</formula>
    </cfRule>
  </conditionalFormatting>
  <conditionalFormatting sqref="P309">
    <cfRule type="expression" priority="105">
      <formula>(P309="")</formula>
    </cfRule>
  </conditionalFormatting>
  <conditionalFormatting sqref="P310">
    <cfRule type="expression" priority="104">
      <formula>(P310="")</formula>
    </cfRule>
  </conditionalFormatting>
  <conditionalFormatting sqref="P305">
    <cfRule type="expression" dxfId="73" priority="100">
      <formula>IF(M305="NO BET", TRUE, FALSE)</formula>
    </cfRule>
    <cfRule type="expression" priority="102">
      <formula>(P305="")</formula>
    </cfRule>
  </conditionalFormatting>
  <conditionalFormatting sqref="P305">
    <cfRule type="expression" priority="101">
      <formula>(P305="")</formula>
    </cfRule>
  </conditionalFormatting>
  <conditionalFormatting sqref="P307">
    <cfRule type="expression" priority="99">
      <formula>(P307="")</formula>
    </cfRule>
  </conditionalFormatting>
  <conditionalFormatting sqref="P308">
    <cfRule type="expression" dxfId="72" priority="96">
      <formula>IF(M308="NO BET", TRUE, FALSE)</formula>
    </cfRule>
    <cfRule type="expression" priority="98">
      <formula>(P308="")</formula>
    </cfRule>
  </conditionalFormatting>
  <conditionalFormatting sqref="P308">
    <cfRule type="expression" priority="97">
      <formula>(P308="")</formula>
    </cfRule>
  </conditionalFormatting>
  <conditionalFormatting sqref="P307">
    <cfRule type="expression" dxfId="71" priority="93">
      <formula>IF(M307="NO BET", TRUE, FALSE)</formula>
    </cfRule>
    <cfRule type="expression" priority="95">
      <formula>(P307="")</formula>
    </cfRule>
  </conditionalFormatting>
  <conditionalFormatting sqref="P307">
    <cfRule type="expression" priority="94">
      <formula>(P307="")</formula>
    </cfRule>
  </conditionalFormatting>
  <conditionalFormatting sqref="P309">
    <cfRule type="expression" priority="92">
      <formula>(P309="")</formula>
    </cfRule>
  </conditionalFormatting>
  <conditionalFormatting sqref="P310">
    <cfRule type="expression" dxfId="70" priority="89">
      <formula>IF(M310="NO BET", TRUE, FALSE)</formula>
    </cfRule>
    <cfRule type="expression" priority="91">
      <formula>(P310="")</formula>
    </cfRule>
  </conditionalFormatting>
  <conditionalFormatting sqref="P310">
    <cfRule type="expression" priority="90">
      <formula>(P310="")</formula>
    </cfRule>
  </conditionalFormatting>
  <conditionalFormatting sqref="P309">
    <cfRule type="expression" dxfId="69" priority="86">
      <formula>IF(M309="NO BET", TRUE, FALSE)</formula>
    </cfRule>
    <cfRule type="expression" priority="88">
      <formula>(P309="")</formula>
    </cfRule>
  </conditionalFormatting>
  <conditionalFormatting sqref="P309">
    <cfRule type="expression" priority="87">
      <formula>(P309="")</formula>
    </cfRule>
  </conditionalFormatting>
  <conditionalFormatting sqref="P311:P314">
    <cfRule type="expression" dxfId="68" priority="84">
      <formula>AND(NOT(L311=P311),NOT(P311=""))</formula>
    </cfRule>
    <cfRule type="expression" dxfId="67" priority="85">
      <formula>AND((L311=P311),NOT(P311=""))</formula>
    </cfRule>
  </conditionalFormatting>
  <conditionalFormatting sqref="P311">
    <cfRule type="expression" priority="83">
      <formula>(P311="")</formula>
    </cfRule>
  </conditionalFormatting>
  <conditionalFormatting sqref="P312">
    <cfRule type="expression" dxfId="66" priority="76">
      <formula>IF(M312="NO BET", TRUE, FALSE)</formula>
    </cfRule>
    <cfRule type="expression" priority="82">
      <formula>(P312="")</formula>
    </cfRule>
  </conditionalFormatting>
  <conditionalFormatting sqref="P313">
    <cfRule type="expression" priority="81">
      <formula>(P313="")</formula>
    </cfRule>
  </conditionalFormatting>
  <conditionalFormatting sqref="P314">
    <cfRule type="expression" priority="80">
      <formula>(P314="")</formula>
    </cfRule>
  </conditionalFormatting>
  <conditionalFormatting sqref="P312">
    <cfRule type="expression" priority="79">
      <formula>(P312="")</formula>
    </cfRule>
  </conditionalFormatting>
  <conditionalFormatting sqref="P313">
    <cfRule type="expression" priority="78">
      <formula>(P313="")</formula>
    </cfRule>
  </conditionalFormatting>
  <conditionalFormatting sqref="P314">
    <cfRule type="expression" priority="77">
      <formula>(P314="")</formula>
    </cfRule>
  </conditionalFormatting>
  <conditionalFormatting sqref="P311">
    <cfRule type="expression" dxfId="65" priority="73">
      <formula>IF(M311="NO BET", TRUE, FALSE)</formula>
    </cfRule>
    <cfRule type="expression" priority="75">
      <formula>(P311="")</formula>
    </cfRule>
  </conditionalFormatting>
  <conditionalFormatting sqref="P311">
    <cfRule type="expression" priority="74">
      <formula>(P311="")</formula>
    </cfRule>
  </conditionalFormatting>
  <conditionalFormatting sqref="P313">
    <cfRule type="expression" priority="72">
      <formula>(P313="")</formula>
    </cfRule>
  </conditionalFormatting>
  <conditionalFormatting sqref="P314">
    <cfRule type="expression" dxfId="64" priority="69">
      <formula>IF(M314="NO BET", TRUE, FALSE)</formula>
    </cfRule>
    <cfRule type="expression" priority="71">
      <formula>(P314="")</formula>
    </cfRule>
  </conditionalFormatting>
  <conditionalFormatting sqref="P314">
    <cfRule type="expression" priority="70">
      <formula>(P314="")</formula>
    </cfRule>
  </conditionalFormatting>
  <conditionalFormatting sqref="P313">
    <cfRule type="expression" dxfId="63" priority="66">
      <formula>IF(M313="NO BET", TRUE, FALSE)</formula>
    </cfRule>
    <cfRule type="expression" priority="68">
      <formula>(P313="")</formula>
    </cfRule>
  </conditionalFormatting>
  <conditionalFormatting sqref="P313">
    <cfRule type="expression" priority="67">
      <formula>(P313="")</formula>
    </cfRule>
  </conditionalFormatting>
  <conditionalFormatting sqref="R164:R172">
    <cfRule type="expression" dxfId="62" priority="65">
      <formula>R164=0</formula>
    </cfRule>
  </conditionalFormatting>
  <conditionalFormatting sqref="R149:R158">
    <cfRule type="expression" dxfId="61" priority="64">
      <formula>R149=0</formula>
    </cfRule>
  </conditionalFormatting>
  <conditionalFormatting sqref="R163">
    <cfRule type="expression" dxfId="60" priority="63">
      <formula>R163=0</formula>
    </cfRule>
  </conditionalFormatting>
  <conditionalFormatting sqref="R178:R186">
    <cfRule type="expression" dxfId="59" priority="62">
      <formula>R178=0</formula>
    </cfRule>
  </conditionalFormatting>
  <conditionalFormatting sqref="R177">
    <cfRule type="expression" dxfId="58" priority="61">
      <formula>R177=0</formula>
    </cfRule>
  </conditionalFormatting>
  <conditionalFormatting sqref="R192:R200">
    <cfRule type="expression" dxfId="57" priority="60">
      <formula>R192=0</formula>
    </cfRule>
  </conditionalFormatting>
  <conditionalFormatting sqref="R191">
    <cfRule type="expression" dxfId="56" priority="59">
      <formula>R191=0</formula>
    </cfRule>
  </conditionalFormatting>
  <conditionalFormatting sqref="R206:R214">
    <cfRule type="expression" dxfId="55" priority="58">
      <formula>R206=0</formula>
    </cfRule>
  </conditionalFormatting>
  <conditionalFormatting sqref="R205">
    <cfRule type="expression" dxfId="54" priority="57">
      <formula>R205=0</formula>
    </cfRule>
  </conditionalFormatting>
  <conditionalFormatting sqref="R220:R228">
    <cfRule type="expression" dxfId="53" priority="56">
      <formula>R220=0</formula>
    </cfRule>
  </conditionalFormatting>
  <conditionalFormatting sqref="R219">
    <cfRule type="expression" dxfId="52" priority="55">
      <formula>R219=0</formula>
    </cfRule>
  </conditionalFormatting>
  <conditionalFormatting sqref="R234:R242">
    <cfRule type="expression" dxfId="51" priority="54">
      <formula>R234=0</formula>
    </cfRule>
  </conditionalFormatting>
  <conditionalFormatting sqref="R233">
    <cfRule type="expression" dxfId="50" priority="53">
      <formula>R233=0</formula>
    </cfRule>
  </conditionalFormatting>
  <conditionalFormatting sqref="R248:R256">
    <cfRule type="expression" dxfId="49" priority="52">
      <formula>R248=0</formula>
    </cfRule>
  </conditionalFormatting>
  <conditionalFormatting sqref="R247">
    <cfRule type="expression" dxfId="48" priority="51">
      <formula>R247=0</formula>
    </cfRule>
  </conditionalFormatting>
  <conditionalFormatting sqref="R262:R270">
    <cfRule type="expression" dxfId="47" priority="50">
      <formula>R262=0</formula>
    </cfRule>
  </conditionalFormatting>
  <conditionalFormatting sqref="R261">
    <cfRule type="expression" dxfId="46" priority="49">
      <formula>R261=0</formula>
    </cfRule>
  </conditionalFormatting>
  <conditionalFormatting sqref="R276:R284">
    <cfRule type="expression" dxfId="45" priority="48">
      <formula>R276=0</formula>
    </cfRule>
  </conditionalFormatting>
  <conditionalFormatting sqref="R275">
    <cfRule type="expression" dxfId="44" priority="47">
      <formula>R275=0</formula>
    </cfRule>
  </conditionalFormatting>
  <conditionalFormatting sqref="R306:R314">
    <cfRule type="expression" dxfId="43" priority="46">
      <formula>R306=0</formula>
    </cfRule>
  </conditionalFormatting>
  <conditionalFormatting sqref="R305">
    <cfRule type="expression" dxfId="42" priority="45">
      <formula>R305=0</formula>
    </cfRule>
  </conditionalFormatting>
  <conditionalFormatting sqref="R320:R328">
    <cfRule type="expression" dxfId="41" priority="44">
      <formula>R320=0</formula>
    </cfRule>
  </conditionalFormatting>
  <conditionalFormatting sqref="R319">
    <cfRule type="expression" dxfId="40" priority="43">
      <formula>R319=0</formula>
    </cfRule>
  </conditionalFormatting>
  <conditionalFormatting sqref="R334:R342">
    <cfRule type="expression" dxfId="39" priority="42">
      <formula>R334=0</formula>
    </cfRule>
  </conditionalFormatting>
  <conditionalFormatting sqref="R333">
    <cfRule type="expression" dxfId="38" priority="41">
      <formula>R333=0</formula>
    </cfRule>
  </conditionalFormatting>
  <conditionalFormatting sqref="R348:R356">
    <cfRule type="expression" dxfId="37" priority="40">
      <formula>R348=0</formula>
    </cfRule>
  </conditionalFormatting>
  <conditionalFormatting sqref="R347">
    <cfRule type="expression" dxfId="36" priority="39">
      <formula>R347=0</formula>
    </cfRule>
  </conditionalFormatting>
  <conditionalFormatting sqref="R362:R370">
    <cfRule type="expression" dxfId="35" priority="38">
      <formula>R362=0</formula>
    </cfRule>
  </conditionalFormatting>
  <conditionalFormatting sqref="R361">
    <cfRule type="expression" dxfId="34" priority="37">
      <formula>R361=0</formula>
    </cfRule>
  </conditionalFormatting>
  <conditionalFormatting sqref="R376:R384">
    <cfRule type="expression" dxfId="33" priority="36">
      <formula>R376=0</formula>
    </cfRule>
  </conditionalFormatting>
  <conditionalFormatting sqref="R375">
    <cfRule type="expression" dxfId="32" priority="35">
      <formula>R375=0</formula>
    </cfRule>
  </conditionalFormatting>
  <conditionalFormatting sqref="R390:R398">
    <cfRule type="expression" dxfId="31" priority="34">
      <formula>R390=0</formula>
    </cfRule>
  </conditionalFormatting>
  <conditionalFormatting sqref="R389">
    <cfRule type="expression" dxfId="30" priority="33">
      <formula>R389=0</formula>
    </cfRule>
  </conditionalFormatting>
  <conditionalFormatting sqref="R404:R412">
    <cfRule type="expression" dxfId="29" priority="32">
      <formula>R404=0</formula>
    </cfRule>
  </conditionalFormatting>
  <conditionalFormatting sqref="R403">
    <cfRule type="expression" dxfId="28" priority="31">
      <formula>R403=0</formula>
    </cfRule>
  </conditionalFormatting>
  <conditionalFormatting sqref="R418:R426">
    <cfRule type="expression" dxfId="27" priority="30">
      <formula>R418=0</formula>
    </cfRule>
  </conditionalFormatting>
  <conditionalFormatting sqref="R417">
    <cfRule type="expression" dxfId="26" priority="29">
      <formula>R417=0</formula>
    </cfRule>
  </conditionalFormatting>
  <conditionalFormatting sqref="R432:R440">
    <cfRule type="expression" dxfId="25" priority="28">
      <formula>R432=0</formula>
    </cfRule>
  </conditionalFormatting>
  <conditionalFormatting sqref="R431">
    <cfRule type="expression" dxfId="24" priority="27">
      <formula>R431=0</formula>
    </cfRule>
  </conditionalFormatting>
  <conditionalFormatting sqref="R462:R470">
    <cfRule type="expression" dxfId="23" priority="26">
      <formula>R462=0</formula>
    </cfRule>
  </conditionalFormatting>
  <conditionalFormatting sqref="R461">
    <cfRule type="expression" dxfId="22" priority="25">
      <formula>R461=0</formula>
    </cfRule>
  </conditionalFormatting>
  <conditionalFormatting sqref="R476:R484">
    <cfRule type="expression" dxfId="21" priority="24">
      <formula>R476=0</formula>
    </cfRule>
  </conditionalFormatting>
  <conditionalFormatting sqref="R475">
    <cfRule type="expression" dxfId="20" priority="23">
      <formula>R475=0</formula>
    </cfRule>
  </conditionalFormatting>
  <conditionalFormatting sqref="R490:R498">
    <cfRule type="expression" dxfId="19" priority="22">
      <formula>R490=0</formula>
    </cfRule>
  </conditionalFormatting>
  <conditionalFormatting sqref="R489">
    <cfRule type="expression" dxfId="18" priority="21">
      <formula>R489=0</formula>
    </cfRule>
  </conditionalFormatting>
  <conditionalFormatting sqref="R504:R512">
    <cfRule type="expression" dxfId="17" priority="20">
      <formula>R504=0</formula>
    </cfRule>
  </conditionalFormatting>
  <conditionalFormatting sqref="R503">
    <cfRule type="expression" dxfId="16" priority="19">
      <formula>R503=0</formula>
    </cfRule>
  </conditionalFormatting>
  <conditionalFormatting sqref="R518:R526">
    <cfRule type="expression" dxfId="15" priority="18">
      <formula>R518=0</formula>
    </cfRule>
  </conditionalFormatting>
  <conditionalFormatting sqref="R517">
    <cfRule type="expression" dxfId="14" priority="17">
      <formula>R517=0</formula>
    </cfRule>
  </conditionalFormatting>
  <conditionalFormatting sqref="R532:R540">
    <cfRule type="expression" dxfId="13" priority="16">
      <formula>R532=0</formula>
    </cfRule>
  </conditionalFormatting>
  <conditionalFormatting sqref="R531">
    <cfRule type="expression" dxfId="12" priority="15">
      <formula>R531=0</formula>
    </cfRule>
  </conditionalFormatting>
  <conditionalFormatting sqref="R546:R554">
    <cfRule type="expression" dxfId="11" priority="14">
      <formula>R546=0</formula>
    </cfRule>
  </conditionalFormatting>
  <conditionalFormatting sqref="R545">
    <cfRule type="expression" dxfId="10" priority="13">
      <formula>R545=0</formula>
    </cfRule>
  </conditionalFormatting>
  <conditionalFormatting sqref="R560:R568">
    <cfRule type="expression" dxfId="9" priority="12">
      <formula>R560=0</formula>
    </cfRule>
  </conditionalFormatting>
  <conditionalFormatting sqref="R559">
    <cfRule type="expression" dxfId="8" priority="11">
      <formula>R559=0</formula>
    </cfRule>
  </conditionalFormatting>
  <conditionalFormatting sqref="R574:R582">
    <cfRule type="expression" dxfId="7" priority="10">
      <formula>R574=0</formula>
    </cfRule>
  </conditionalFormatting>
  <conditionalFormatting sqref="R573">
    <cfRule type="expression" dxfId="6" priority="9">
      <formula>R573=0</formula>
    </cfRule>
  </conditionalFormatting>
  <conditionalFormatting sqref="R588:R596">
    <cfRule type="expression" dxfId="5" priority="8">
      <formula>R588=0</formula>
    </cfRule>
  </conditionalFormatting>
  <conditionalFormatting sqref="R587">
    <cfRule type="expression" dxfId="4" priority="7">
      <formula>R587=0</formula>
    </cfRule>
  </conditionalFormatting>
  <conditionalFormatting sqref="R618:R626">
    <cfRule type="expression" dxfId="3" priority="6">
      <formula>R618=0</formula>
    </cfRule>
  </conditionalFormatting>
  <conditionalFormatting sqref="R617">
    <cfRule type="expression" dxfId="2" priority="5">
      <formula>R617=0</formula>
    </cfRule>
  </conditionalFormatting>
  <conditionalFormatting sqref="G389:G395">
    <cfRule type="expression" priority="3">
      <formula>_xlfn.IFS(K389="",TRUE)</formula>
    </cfRule>
    <cfRule type="expression" dxfId="1" priority="4">
      <formula>_xlfn.IFS(K389="T1",TRUE)</formula>
    </cfRule>
  </conditionalFormatting>
  <conditionalFormatting sqref="H389:H395">
    <cfRule type="expression" priority="1">
      <formula>_xlfn.IFS(L389="",TRUE)</formula>
    </cfRule>
    <cfRule type="expression" dxfId="0" priority="2">
      <formula>_xlfn.IFS(K389="T2",TRUE)</formula>
    </cfRule>
  </conditionalFormatting>
  <pageMargins left="0.7" right="0.7" top="0.78740157499999996" bottom="0.78740157499999996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166" r:id="rId4" name="cav">
          <controlPr defaultSize="0" autoLine="0" r:id="rId5">
            <anchor moveWithCells="1">
              <from>
                <xdr:col>13</xdr:col>
                <xdr:colOff>238125</xdr:colOff>
                <xdr:row>0</xdr:row>
                <xdr:rowOff>123825</xdr:rowOff>
              </from>
              <to>
                <xdr:col>17</xdr:col>
                <xdr:colOff>28575</xdr:colOff>
                <xdr:row>2</xdr:row>
                <xdr:rowOff>114300</xdr:rowOff>
              </to>
            </anchor>
          </controlPr>
        </control>
      </mc:Choice>
      <mc:Fallback>
        <control shapeId="1166" r:id="rId4" name="cav"/>
      </mc:Fallback>
    </mc:AlternateContent>
    <mc:AlternateContent xmlns:mc="http://schemas.openxmlformats.org/markup-compatibility/2006">
      <mc:Choice Requires="x14">
        <control shapeId="1025" r:id="rId6" name="Schaltfläche 1">
          <controlPr defaultSize="0" print="0" autoFill="0" autoPict="0" macro="[0]!jumpToLeague_Click" altText="League of Legends">
            <anchor moveWithCells="1" sizeWithCells="1">
              <from>
                <xdr:col>2</xdr:col>
                <xdr:colOff>466725</xdr:colOff>
                <xdr:row>0</xdr:row>
                <xdr:rowOff>161925</xdr:rowOff>
              </from>
              <to>
                <xdr:col>3</xdr:col>
                <xdr:colOff>1323975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jumpToLeague_LCK_Click" altText="League of Legends">
            <anchor moveWithCells="1" sizeWithCells="1">
              <from>
                <xdr:col>1</xdr:col>
                <xdr:colOff>104775</xdr:colOff>
                <xdr:row>49</xdr:row>
                <xdr:rowOff>123825</xdr:rowOff>
              </from>
              <to>
                <xdr:col>2</xdr:col>
                <xdr:colOff>647700</xdr:colOff>
                <xdr:row>51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jumpToLeague_EULCS_Click" altText="League of Legends">
            <anchor moveWithCells="1" sizeWithCells="1">
              <from>
                <xdr:col>1</xdr:col>
                <xdr:colOff>104775</xdr:colOff>
                <xdr:row>51</xdr:row>
                <xdr:rowOff>114300</xdr:rowOff>
              </from>
              <to>
                <xdr:col>2</xdr:col>
                <xdr:colOff>647700</xdr:colOff>
                <xdr:row>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Button 6">
          <controlPr defaultSize="0" print="0" autoFill="0" autoPict="0" macro="[0]!jumpToLeague_NALCS_Click" altText="League of Legends">
            <anchor moveWithCells="1" sizeWithCells="1">
              <from>
                <xdr:col>1</xdr:col>
                <xdr:colOff>104775</xdr:colOff>
                <xdr:row>53</xdr:row>
                <xdr:rowOff>114300</xdr:rowOff>
              </from>
              <to>
                <xdr:col>2</xdr:col>
                <xdr:colOff>647700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Button 7">
          <controlPr defaultSize="0" print="0" autoFill="0" autoPict="0" macro="[0]!jumptToLeague_LCK_Week1_Click" altText="League of Legends">
            <anchor moveWithCells="1" sizeWithCells="1">
              <from>
                <xdr:col>1</xdr:col>
                <xdr:colOff>142875</xdr:colOff>
                <xdr:row>74</xdr:row>
                <xdr:rowOff>104775</xdr:rowOff>
              </from>
              <to>
                <xdr:col>3</xdr:col>
                <xdr:colOff>266700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1" name="Button 8">
          <controlPr defaultSize="0" print="0" autoFill="0" autoPict="0" macro="[0]!jumptToLeague_LCK_Week2_Click" altText="League of Legends">
            <anchor moveWithCells="1" sizeWithCells="1">
              <from>
                <xdr:col>1</xdr:col>
                <xdr:colOff>142875</xdr:colOff>
                <xdr:row>76</xdr:row>
                <xdr:rowOff>104775</xdr:rowOff>
              </from>
              <to>
                <xdr:col>3</xdr:col>
                <xdr:colOff>266700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2" name="Button 9">
          <controlPr defaultSize="0" print="0" autoFill="0" autoPict="0" macro="[0]!jumptToLeague_LCK_Week3_Click" altText="League of Legends">
            <anchor moveWithCells="1" sizeWithCells="1">
              <from>
                <xdr:col>1</xdr:col>
                <xdr:colOff>142875</xdr:colOff>
                <xdr:row>78</xdr:row>
                <xdr:rowOff>104775</xdr:rowOff>
              </from>
              <to>
                <xdr:col>3</xdr:col>
                <xdr:colOff>266700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3" name="Schaltfläche 10">
          <controlPr defaultSize="0" print="0" autoFill="0" autoPict="0" macro="[0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4" name="Schaltfläche 11">
          <controlPr defaultSize="0" print="0" autoFill="0" autoPict="0" macro="[0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5" name="Schaltfläche 12">
          <controlPr defaultSize="0" print="0" autoFill="0" autoPict="0" macro="[0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6" name="Schaltfläche 13">
          <controlPr defaultSize="0" print="0" autoFill="0" autoPict="0" macro="[0]!jumptToLeague_LCK_Week7_Click" altText="League of Legends">
            <anchor moveWithCells="1" sizeWithCells="1">
              <from>
                <xdr:col>5</xdr:col>
                <xdr:colOff>352425</xdr:colOff>
                <xdr:row>74</xdr:row>
                <xdr:rowOff>104775</xdr:rowOff>
              </from>
              <to>
                <xdr:col>8</xdr:col>
                <xdr:colOff>266700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7" name="Schaltfläche 14">
          <controlPr defaultSize="0" print="0" autoFill="0" autoPict="0" macro="[0]!jumptToLeague_LCK_Week8_Click" altText="League of Legends">
            <anchor moveWithCells="1" sizeWithCells="1">
              <from>
                <xdr:col>5</xdr:col>
                <xdr:colOff>352425</xdr:colOff>
                <xdr:row>76</xdr:row>
                <xdr:rowOff>104775</xdr:rowOff>
              </from>
              <to>
                <xdr:col>8</xdr:col>
                <xdr:colOff>266700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8" name="Schaltfläche 15">
          <controlPr defaultSize="0" print="0" autoFill="0" autoPict="0" macro="[0]!jumptToLeague_LCK_Week9_Click" altText="League of Legends">
            <anchor moveWithCells="1" sizeWithCells="1">
              <from>
                <xdr:col>5</xdr:col>
                <xdr:colOff>352425</xdr:colOff>
                <xdr:row>78</xdr:row>
                <xdr:rowOff>104775</xdr:rowOff>
              </from>
              <to>
                <xdr:col>8</xdr:col>
                <xdr:colOff>266700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9" name="Schaltfläche 16">
          <controlPr defaultSize="0" print="0" autoFill="0" autoPict="0" macro="[0]!jumptToLeague_LCK_Week10_Click" altText="League of Legends">
            <anchor moveWithCells="1" sizeWithCells="1">
              <from>
                <xdr:col>8</xdr:col>
                <xdr:colOff>371475</xdr:colOff>
                <xdr:row>74</xdr:row>
                <xdr:rowOff>104775</xdr:rowOff>
              </from>
              <to>
                <xdr:col>10</xdr:col>
                <xdr:colOff>276225</xdr:colOff>
                <xdr:row>76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0" name="Schaltfläche 17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78</xdr:row>
                <xdr:rowOff>104775</xdr:rowOff>
              </from>
              <to>
                <xdr:col>10</xdr:col>
                <xdr:colOff>276225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1" name="Button 18">
          <controlPr defaultSize="0" print="0" autoFill="0" autoPict="0" macro="[0]!jumptToLeague_EULCS_Week1_Click" altText="League of Legends">
            <anchor moveWithCells="1" sizeWithCells="1">
              <from>
                <xdr:col>1</xdr:col>
                <xdr:colOff>142875</xdr:colOff>
                <xdr:row>89</xdr:row>
                <xdr:rowOff>104775</xdr:rowOff>
              </from>
              <to>
                <xdr:col>3</xdr:col>
                <xdr:colOff>266700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2" name="Button 19">
          <controlPr defaultSize="0" print="0" autoFill="0" autoPict="0" macro="[0]!jumptToLeague_EULCS_Week2_Click" altText="League of Legends">
            <anchor moveWithCells="1" sizeWithCells="1">
              <from>
                <xdr:col>1</xdr:col>
                <xdr:colOff>142875</xdr:colOff>
                <xdr:row>91</xdr:row>
                <xdr:rowOff>104775</xdr:rowOff>
              </from>
              <to>
                <xdr:col>3</xdr:col>
                <xdr:colOff>266700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3" name="Button 20">
          <controlPr defaultSize="0" print="0" autoFill="0" autoPict="0" macro="[0]!jumptToLeague_EULCS_Week3_Click" altText="League of Legends">
            <anchor moveWithCells="1" sizeWithCells="1">
              <from>
                <xdr:col>1</xdr:col>
                <xdr:colOff>142875</xdr:colOff>
                <xdr:row>93</xdr:row>
                <xdr:rowOff>104775</xdr:rowOff>
              </from>
              <to>
                <xdr:col>3</xdr:col>
                <xdr:colOff>266700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4" name="Button 21">
          <controlPr defaultSize="0" print="0" autoFill="0" autoPict="0" macro="[0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5" name="Button 22">
          <controlPr defaultSize="0" print="0" autoFill="0" autoPict="0" macro="[0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6" name="Button 23">
          <controlPr defaultSize="0" print="0" autoFill="0" autoPict="0" macro="[0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7" name="Button 24">
          <controlPr defaultSize="0" print="0" autoFill="0" autoPict="0" macro="[0]!jumptToLeague_EULCS_Week7_Click" altText="League of Legends">
            <anchor moveWithCells="1" sizeWithCells="1">
              <from>
                <xdr:col>5</xdr:col>
                <xdr:colOff>352425</xdr:colOff>
                <xdr:row>89</xdr:row>
                <xdr:rowOff>104775</xdr:rowOff>
              </from>
              <to>
                <xdr:col>8</xdr:col>
                <xdr:colOff>266700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8" name="Button 25">
          <controlPr defaultSize="0" print="0" autoFill="0" autoPict="0" macro="[0]!jumptToLeague_EULCS_Week8_Click" altText="League of Legends">
            <anchor moveWithCells="1" sizeWithCells="1">
              <from>
                <xdr:col>5</xdr:col>
                <xdr:colOff>352425</xdr:colOff>
                <xdr:row>91</xdr:row>
                <xdr:rowOff>104775</xdr:rowOff>
              </from>
              <to>
                <xdr:col>8</xdr:col>
                <xdr:colOff>266700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29" name="Button 26">
          <controlPr defaultSize="0" print="0" autoFill="0" autoPict="0" macro="[0]!jumptToLeague_EULCS_Week9_Click" altText="League of Legends">
            <anchor moveWithCells="1" sizeWithCells="1">
              <from>
                <xdr:col>5</xdr:col>
                <xdr:colOff>352425</xdr:colOff>
                <xdr:row>93</xdr:row>
                <xdr:rowOff>104775</xdr:rowOff>
              </from>
              <to>
                <xdr:col>8</xdr:col>
                <xdr:colOff>266700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0" name="Button 27">
          <controlPr defaultSize="0" print="0" autoFill="0" autoPict="0" macro="[0]!jumptToLeague_EULCS_Week10_Click" altText="League of Legends">
            <anchor moveWithCells="1" sizeWithCells="1">
              <from>
                <xdr:col>8</xdr:col>
                <xdr:colOff>371475</xdr:colOff>
                <xdr:row>89</xdr:row>
                <xdr:rowOff>104775</xdr:rowOff>
              </from>
              <to>
                <xdr:col>10</xdr:col>
                <xdr:colOff>276225</xdr:colOff>
                <xdr:row>91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31" name="Button 28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93</xdr:row>
                <xdr:rowOff>104775</xdr:rowOff>
              </from>
              <to>
                <xdr:col>10</xdr:col>
                <xdr:colOff>276225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32" name="Button 29">
          <controlPr defaultSize="0" print="0" autoFill="0" autoPict="0" macro="[0]!jumptToLeague_NALCS_Week1_Click" altText="League of Legends">
            <anchor moveWithCells="1" sizeWithCells="1">
              <from>
                <xdr:col>1</xdr:col>
                <xdr:colOff>142875</xdr:colOff>
                <xdr:row>104</xdr:row>
                <xdr:rowOff>104775</xdr:rowOff>
              </from>
              <to>
                <xdr:col>3</xdr:col>
                <xdr:colOff>266700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33" name="Button 30">
          <controlPr defaultSize="0" print="0" autoFill="0" autoPict="0" macro="[0]!jumptToLeague_NALCS_Week2_Click" altText="League of Legends">
            <anchor moveWithCells="1" sizeWithCells="1">
              <from>
                <xdr:col>1</xdr:col>
                <xdr:colOff>142875</xdr:colOff>
                <xdr:row>106</xdr:row>
                <xdr:rowOff>104775</xdr:rowOff>
              </from>
              <to>
                <xdr:col>3</xdr:col>
                <xdr:colOff>266700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34" name="Button 31">
          <controlPr defaultSize="0" print="0" autoFill="0" autoPict="0" macro="[0]!jumptToLeague_NALCS_Week3_Click" altText="League of Legends">
            <anchor moveWithCells="1" sizeWithCells="1">
              <from>
                <xdr:col>1</xdr:col>
                <xdr:colOff>142875</xdr:colOff>
                <xdr:row>108</xdr:row>
                <xdr:rowOff>104775</xdr:rowOff>
              </from>
              <to>
                <xdr:col>3</xdr:col>
                <xdr:colOff>266700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35" name="Button 32">
          <controlPr defaultSize="0" print="0" autoFill="0" autoPict="0" macro="[0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36" name="Button 33">
          <controlPr defaultSize="0" print="0" autoFill="0" autoPict="0" macro="[0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37" name="Button 34">
          <controlPr defaultSize="0" print="0" autoFill="0" autoPict="0" macro="[0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8" name="Button 35">
          <controlPr defaultSize="0" print="0" autoFill="0" autoPict="0" macro="[0]!jumptToLeague_NALCS_Week7_Click" altText="League of Legends">
            <anchor moveWithCells="1" sizeWithCells="1">
              <from>
                <xdr:col>5</xdr:col>
                <xdr:colOff>352425</xdr:colOff>
                <xdr:row>104</xdr:row>
                <xdr:rowOff>104775</xdr:rowOff>
              </from>
              <to>
                <xdr:col>8</xdr:col>
                <xdr:colOff>266700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9" name="Button 36">
          <controlPr defaultSize="0" print="0" autoFill="0" autoPict="0" macro="[0]!jumptToLeague_NALCS_Week8_Click" altText="League of Legends">
            <anchor moveWithCells="1" sizeWithCells="1">
              <from>
                <xdr:col>5</xdr:col>
                <xdr:colOff>352425</xdr:colOff>
                <xdr:row>106</xdr:row>
                <xdr:rowOff>104775</xdr:rowOff>
              </from>
              <to>
                <xdr:col>8</xdr:col>
                <xdr:colOff>266700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40" name="Button 37">
          <controlPr defaultSize="0" print="0" autoFill="0" autoPict="0" macro="[0]!jumptToLeague_NALCS_Week9_Click" altText="League of Legends">
            <anchor moveWithCells="1" sizeWithCells="1">
              <from>
                <xdr:col>5</xdr:col>
                <xdr:colOff>352425</xdr:colOff>
                <xdr:row>108</xdr:row>
                <xdr:rowOff>104775</xdr:rowOff>
              </from>
              <to>
                <xdr:col>8</xdr:col>
                <xdr:colOff>266700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41" name="Button 38">
          <controlPr defaultSize="0" print="0" autoFill="0" autoPict="0" macro="[0]!jumptToLeague_NALCS_Week10_Click" altText="League of Legends">
            <anchor moveWithCells="1" sizeWithCells="1">
              <from>
                <xdr:col>8</xdr:col>
                <xdr:colOff>371475</xdr:colOff>
                <xdr:row>104</xdr:row>
                <xdr:rowOff>104775</xdr:rowOff>
              </from>
              <to>
                <xdr:col>10</xdr:col>
                <xdr:colOff>276225</xdr:colOff>
                <xdr:row>106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42" name="Button 39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108</xdr:row>
                <xdr:rowOff>104775</xdr:rowOff>
              </from>
              <to>
                <xdr:col>10</xdr:col>
                <xdr:colOff>276225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43" name="Button 5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161</xdr:row>
                <xdr:rowOff>28575</xdr:rowOff>
              </from>
              <to>
                <xdr:col>1</xdr:col>
                <xdr:colOff>733425</xdr:colOff>
                <xdr:row>162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44" name="Button 5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175</xdr:row>
                <xdr:rowOff>28575</xdr:rowOff>
              </from>
              <to>
                <xdr:col>1</xdr:col>
                <xdr:colOff>733425</xdr:colOff>
                <xdr:row>176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45" name="Button 5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189</xdr:row>
                <xdr:rowOff>28575</xdr:rowOff>
              </from>
              <to>
                <xdr:col>1</xdr:col>
                <xdr:colOff>733425</xdr:colOff>
                <xdr:row>190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46" name="Button 5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203</xdr:row>
                <xdr:rowOff>28575</xdr:rowOff>
              </from>
              <to>
                <xdr:col>1</xdr:col>
                <xdr:colOff>733425</xdr:colOff>
                <xdr:row>204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47" name="Button 5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217</xdr:row>
                <xdr:rowOff>28575</xdr:rowOff>
              </from>
              <to>
                <xdr:col>1</xdr:col>
                <xdr:colOff>733425</xdr:colOff>
                <xdr:row>218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48" name="Button 5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231</xdr:row>
                <xdr:rowOff>28575</xdr:rowOff>
              </from>
              <to>
                <xdr:col>1</xdr:col>
                <xdr:colOff>733425</xdr:colOff>
                <xdr:row>232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49" name="Button 58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245</xdr:row>
                <xdr:rowOff>28575</xdr:rowOff>
              </from>
              <to>
                <xdr:col>1</xdr:col>
                <xdr:colOff>733425</xdr:colOff>
                <xdr:row>246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50" name="Button 5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259</xdr:row>
                <xdr:rowOff>28575</xdr:rowOff>
              </from>
              <to>
                <xdr:col>1</xdr:col>
                <xdr:colOff>733425</xdr:colOff>
                <xdr:row>260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51" name="Button 6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273</xdr:row>
                <xdr:rowOff>28575</xdr:rowOff>
              </from>
              <to>
                <xdr:col>1</xdr:col>
                <xdr:colOff>733425</xdr:colOff>
                <xdr:row>274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52" name="Button 6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53" name="Button 6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317</xdr:row>
                <xdr:rowOff>28575</xdr:rowOff>
              </from>
              <to>
                <xdr:col>1</xdr:col>
                <xdr:colOff>733425</xdr:colOff>
                <xdr:row>318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54" name="Button 6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331</xdr:row>
                <xdr:rowOff>28575</xdr:rowOff>
              </from>
              <to>
                <xdr:col>1</xdr:col>
                <xdr:colOff>733425</xdr:colOff>
                <xdr:row>332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55" name="Button 6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345</xdr:row>
                <xdr:rowOff>28575</xdr:rowOff>
              </from>
              <to>
                <xdr:col>1</xdr:col>
                <xdr:colOff>733425</xdr:colOff>
                <xdr:row>346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56" name="Button 6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359</xdr:row>
                <xdr:rowOff>28575</xdr:rowOff>
              </from>
              <to>
                <xdr:col>1</xdr:col>
                <xdr:colOff>733425</xdr:colOff>
                <xdr:row>360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57" name="Button 68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373</xdr:row>
                <xdr:rowOff>28575</xdr:rowOff>
              </from>
              <to>
                <xdr:col>1</xdr:col>
                <xdr:colOff>733425</xdr:colOff>
                <xdr:row>374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58" name="Button 6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387</xdr:row>
                <xdr:rowOff>28575</xdr:rowOff>
              </from>
              <to>
                <xdr:col>1</xdr:col>
                <xdr:colOff>733425</xdr:colOff>
                <xdr:row>388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59" name="Button 7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401</xdr:row>
                <xdr:rowOff>28575</xdr:rowOff>
              </from>
              <to>
                <xdr:col>1</xdr:col>
                <xdr:colOff>733425</xdr:colOff>
                <xdr:row>402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60" name="Button 7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415</xdr:row>
                <xdr:rowOff>28575</xdr:rowOff>
              </from>
              <to>
                <xdr:col>1</xdr:col>
                <xdr:colOff>733425</xdr:colOff>
                <xdr:row>416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61" name="Button 7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429</xdr:row>
                <xdr:rowOff>28575</xdr:rowOff>
              </from>
              <to>
                <xdr:col>1</xdr:col>
                <xdr:colOff>733425</xdr:colOff>
                <xdr:row>430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62" name="Button 7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317</xdr:row>
                <xdr:rowOff>28575</xdr:rowOff>
              </from>
              <to>
                <xdr:col>1</xdr:col>
                <xdr:colOff>733425</xdr:colOff>
                <xdr:row>318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63" name="Button 74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331</xdr:row>
                <xdr:rowOff>28575</xdr:rowOff>
              </from>
              <to>
                <xdr:col>1</xdr:col>
                <xdr:colOff>733425</xdr:colOff>
                <xdr:row>332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64" name="Button 75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345</xdr:row>
                <xdr:rowOff>28575</xdr:rowOff>
              </from>
              <to>
                <xdr:col>1</xdr:col>
                <xdr:colOff>733425</xdr:colOff>
                <xdr:row>346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65" name="Button 76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359</xdr:row>
                <xdr:rowOff>28575</xdr:rowOff>
              </from>
              <to>
                <xdr:col>1</xdr:col>
                <xdr:colOff>733425</xdr:colOff>
                <xdr:row>360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66" name="Button 77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373</xdr:row>
                <xdr:rowOff>28575</xdr:rowOff>
              </from>
              <to>
                <xdr:col>1</xdr:col>
                <xdr:colOff>733425</xdr:colOff>
                <xdr:row>374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67" name="Button 78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387</xdr:row>
                <xdr:rowOff>28575</xdr:rowOff>
              </from>
              <to>
                <xdr:col>1</xdr:col>
                <xdr:colOff>733425</xdr:colOff>
                <xdr:row>388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68" name="Button 79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401</xdr:row>
                <xdr:rowOff>28575</xdr:rowOff>
              </from>
              <to>
                <xdr:col>1</xdr:col>
                <xdr:colOff>733425</xdr:colOff>
                <xdr:row>402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69" name="Button 80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415</xdr:row>
                <xdr:rowOff>28575</xdr:rowOff>
              </from>
              <to>
                <xdr:col>1</xdr:col>
                <xdr:colOff>733425</xdr:colOff>
                <xdr:row>416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0" name="Button 81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429</xdr:row>
                <xdr:rowOff>28575</xdr:rowOff>
              </from>
              <to>
                <xdr:col>1</xdr:col>
                <xdr:colOff>733425</xdr:colOff>
                <xdr:row>430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71" name="Button 8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459</xdr:row>
                <xdr:rowOff>28575</xdr:rowOff>
              </from>
              <to>
                <xdr:col>1</xdr:col>
                <xdr:colOff>733425</xdr:colOff>
                <xdr:row>460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72" name="Button 84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459</xdr:row>
                <xdr:rowOff>28575</xdr:rowOff>
              </from>
              <to>
                <xdr:col>1</xdr:col>
                <xdr:colOff>733425</xdr:colOff>
                <xdr:row>460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73" name="Button 8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473</xdr:row>
                <xdr:rowOff>28575</xdr:rowOff>
              </from>
              <to>
                <xdr:col>1</xdr:col>
                <xdr:colOff>733425</xdr:colOff>
                <xdr:row>474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0" r:id="rId74" name="Button 86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473</xdr:row>
                <xdr:rowOff>28575</xdr:rowOff>
              </from>
              <to>
                <xdr:col>1</xdr:col>
                <xdr:colOff>733425</xdr:colOff>
                <xdr:row>474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1" r:id="rId75" name="Button 8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487</xdr:row>
                <xdr:rowOff>28575</xdr:rowOff>
              </from>
              <to>
                <xdr:col>1</xdr:col>
                <xdr:colOff>733425</xdr:colOff>
                <xdr:row>488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2" r:id="rId76" name="Button 88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487</xdr:row>
                <xdr:rowOff>28575</xdr:rowOff>
              </from>
              <to>
                <xdr:col>1</xdr:col>
                <xdr:colOff>733425</xdr:colOff>
                <xdr:row>488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3" r:id="rId77" name="Button 8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501</xdr:row>
                <xdr:rowOff>28575</xdr:rowOff>
              </from>
              <to>
                <xdr:col>1</xdr:col>
                <xdr:colOff>733425</xdr:colOff>
                <xdr:row>502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4" r:id="rId78" name="Button 90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501</xdr:row>
                <xdr:rowOff>28575</xdr:rowOff>
              </from>
              <to>
                <xdr:col>1</xdr:col>
                <xdr:colOff>733425</xdr:colOff>
                <xdr:row>502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79" name="Button 9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515</xdr:row>
                <xdr:rowOff>28575</xdr:rowOff>
              </from>
              <to>
                <xdr:col>1</xdr:col>
                <xdr:colOff>733425</xdr:colOff>
                <xdr:row>516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6" r:id="rId80" name="Button 92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515</xdr:row>
                <xdr:rowOff>28575</xdr:rowOff>
              </from>
              <to>
                <xdr:col>1</xdr:col>
                <xdr:colOff>733425</xdr:colOff>
                <xdr:row>516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1" name="Button 9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529</xdr:row>
                <xdr:rowOff>28575</xdr:rowOff>
              </from>
              <to>
                <xdr:col>1</xdr:col>
                <xdr:colOff>733425</xdr:colOff>
                <xdr:row>530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8" r:id="rId82" name="Button 94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529</xdr:row>
                <xdr:rowOff>28575</xdr:rowOff>
              </from>
              <to>
                <xdr:col>1</xdr:col>
                <xdr:colOff>733425</xdr:colOff>
                <xdr:row>530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9" r:id="rId83" name="Button 9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543</xdr:row>
                <xdr:rowOff>28575</xdr:rowOff>
              </from>
              <to>
                <xdr:col>1</xdr:col>
                <xdr:colOff>733425</xdr:colOff>
                <xdr:row>544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0" r:id="rId84" name="Button 96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543</xdr:row>
                <xdr:rowOff>28575</xdr:rowOff>
              </from>
              <to>
                <xdr:col>1</xdr:col>
                <xdr:colOff>733425</xdr:colOff>
                <xdr:row>544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5" name="Button 9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557</xdr:row>
                <xdr:rowOff>28575</xdr:rowOff>
              </from>
              <to>
                <xdr:col>1</xdr:col>
                <xdr:colOff>733425</xdr:colOff>
                <xdr:row>558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2" r:id="rId86" name="Button 98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557</xdr:row>
                <xdr:rowOff>28575</xdr:rowOff>
              </from>
              <to>
                <xdr:col>1</xdr:col>
                <xdr:colOff>733425</xdr:colOff>
                <xdr:row>558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3" r:id="rId87" name="Button 9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571</xdr:row>
                <xdr:rowOff>28575</xdr:rowOff>
              </from>
              <to>
                <xdr:col>1</xdr:col>
                <xdr:colOff>733425</xdr:colOff>
                <xdr:row>572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8" name="Button 100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571</xdr:row>
                <xdr:rowOff>28575</xdr:rowOff>
              </from>
              <to>
                <xdr:col>1</xdr:col>
                <xdr:colOff>733425</xdr:colOff>
                <xdr:row>572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5" r:id="rId89" name="Button 10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585</xdr:row>
                <xdr:rowOff>28575</xdr:rowOff>
              </from>
              <to>
                <xdr:col>1</xdr:col>
                <xdr:colOff>733425</xdr:colOff>
                <xdr:row>586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90" name="Button 102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585</xdr:row>
                <xdr:rowOff>28575</xdr:rowOff>
              </from>
              <to>
                <xdr:col>1</xdr:col>
                <xdr:colOff>733425</xdr:colOff>
                <xdr:row>586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" r:id="rId91" name="Button 103">
          <controlPr defaultSize="0" print="0" autoFill="0" autoPict="0" macro="[0]!jumpToLeague_LMS_Click" altText="League of Legends">
            <anchor moveWithCells="1" sizeWithCells="1">
              <from>
                <xdr:col>1</xdr:col>
                <xdr:colOff>104775</xdr:colOff>
                <xdr:row>55</xdr:row>
                <xdr:rowOff>142875</xdr:rowOff>
              </from>
              <to>
                <xdr:col>2</xdr:col>
                <xdr:colOff>647700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" r:id="rId92" name="Button 104">
          <controlPr defaultSize="0" print="0" autoFill="0" autoPict="0" macro="[0]!jumptToLeague_LMS_Week1_Click" altText="League of Legends">
            <anchor moveWithCells="1" sizeWithCells="1">
              <from>
                <xdr:col>1</xdr:col>
                <xdr:colOff>142875</xdr:colOff>
                <xdr:row>119</xdr:row>
                <xdr:rowOff>104775</xdr:rowOff>
              </from>
              <to>
                <xdr:col>3</xdr:col>
                <xdr:colOff>266700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93" name="Button 105">
          <controlPr defaultSize="0" print="0" autoFill="0" autoPict="0" macro="[0]!jumptToLeague_LMS_Week2_Click" altText="League of Legends">
            <anchor moveWithCells="1" sizeWithCells="1">
              <from>
                <xdr:col>1</xdr:col>
                <xdr:colOff>142875</xdr:colOff>
                <xdr:row>121</xdr:row>
                <xdr:rowOff>104775</xdr:rowOff>
              </from>
              <to>
                <xdr:col>3</xdr:col>
                <xdr:colOff>266700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94" name="Button 106">
          <controlPr defaultSize="0" print="0" autoFill="0" autoPict="0" macro="[0]!jumptToLeague_LMS_Week3_Click" altText="League of Legends">
            <anchor moveWithCells="1" sizeWithCells="1">
              <from>
                <xdr:col>1</xdr:col>
                <xdr:colOff>142875</xdr:colOff>
                <xdr:row>123</xdr:row>
                <xdr:rowOff>104775</xdr:rowOff>
              </from>
              <to>
                <xdr:col>3</xdr:col>
                <xdr:colOff>266700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1" r:id="rId95" name="Button 107">
          <controlPr defaultSize="0" print="0" autoFill="0" autoPict="0" macro="[0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96" name="Button 108">
          <controlPr defaultSize="0" print="0" autoFill="0" autoPict="0" macro="[0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3" r:id="rId97" name="Button 109">
          <controlPr defaultSize="0" print="0" autoFill="0" autoPict="0" macro="[0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4" r:id="rId98" name="Button 110">
          <controlPr defaultSize="0" print="0" autoFill="0" autoPict="0" macro="[0]!jumptToLeague_LMS_Week7_Click" altText="League of Legends">
            <anchor moveWithCells="1" sizeWithCells="1">
              <from>
                <xdr:col>5</xdr:col>
                <xdr:colOff>352425</xdr:colOff>
                <xdr:row>119</xdr:row>
                <xdr:rowOff>104775</xdr:rowOff>
              </from>
              <to>
                <xdr:col>8</xdr:col>
                <xdr:colOff>266700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5" r:id="rId99" name="Button 111">
          <controlPr defaultSize="0" print="0" autoFill="0" autoPict="0" macro="[0]!jumptToLeague_LMS_Week8_Click" altText="League of Legends">
            <anchor moveWithCells="1" sizeWithCells="1">
              <from>
                <xdr:col>5</xdr:col>
                <xdr:colOff>352425</xdr:colOff>
                <xdr:row>121</xdr:row>
                <xdr:rowOff>104775</xdr:rowOff>
              </from>
              <to>
                <xdr:col>8</xdr:col>
                <xdr:colOff>266700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" r:id="rId100" name="Button 112">
          <controlPr defaultSize="0" print="0" autoFill="0" autoPict="0" macro="[0]!jumptToLeague_LMS_Week9_Click" altText="League of Legends">
            <anchor moveWithCells="1" sizeWithCells="1">
              <from>
                <xdr:col>5</xdr:col>
                <xdr:colOff>352425</xdr:colOff>
                <xdr:row>123</xdr:row>
                <xdr:rowOff>104775</xdr:rowOff>
              </from>
              <to>
                <xdr:col>8</xdr:col>
                <xdr:colOff>266700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" r:id="rId101" name="Button 113">
          <controlPr defaultSize="0" print="0" autoFill="0" autoPict="0" macro="[0]!jumptToLeague_LMS_Week10_Click" altText="League of Legends">
            <anchor moveWithCells="1" sizeWithCells="1">
              <from>
                <xdr:col>8</xdr:col>
                <xdr:colOff>371475</xdr:colOff>
                <xdr:row>119</xdr:row>
                <xdr:rowOff>104775</xdr:rowOff>
              </from>
              <to>
                <xdr:col>10</xdr:col>
                <xdr:colOff>276225</xdr:colOff>
                <xdr:row>121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8" r:id="rId102" name="Button 114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123</xdr:row>
                <xdr:rowOff>104775</xdr:rowOff>
              </from>
              <to>
                <xdr:col>10</xdr:col>
                <xdr:colOff>276225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9" r:id="rId103" name="Button 11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615</xdr:row>
                <xdr:rowOff>28575</xdr:rowOff>
              </from>
              <to>
                <xdr:col>1</xdr:col>
                <xdr:colOff>733425</xdr:colOff>
                <xdr:row>616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0" r:id="rId104" name="Button 11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615</xdr:row>
                <xdr:rowOff>28575</xdr:rowOff>
              </from>
              <to>
                <xdr:col>1</xdr:col>
                <xdr:colOff>733425</xdr:colOff>
                <xdr:row>616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1" r:id="rId105" name="Button 11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629</xdr:row>
                <xdr:rowOff>28575</xdr:rowOff>
              </from>
              <to>
                <xdr:col>1</xdr:col>
                <xdr:colOff>733425</xdr:colOff>
                <xdr:row>630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2" r:id="rId106" name="Button 118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629</xdr:row>
                <xdr:rowOff>28575</xdr:rowOff>
              </from>
              <to>
                <xdr:col>1</xdr:col>
                <xdr:colOff>733425</xdr:colOff>
                <xdr:row>630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3" r:id="rId107" name="Button 11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643</xdr:row>
                <xdr:rowOff>28575</xdr:rowOff>
              </from>
              <to>
                <xdr:col>1</xdr:col>
                <xdr:colOff>733425</xdr:colOff>
                <xdr:row>644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4" r:id="rId108" name="Button 120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643</xdr:row>
                <xdr:rowOff>28575</xdr:rowOff>
              </from>
              <to>
                <xdr:col>1</xdr:col>
                <xdr:colOff>733425</xdr:colOff>
                <xdr:row>644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5" r:id="rId109" name="Button 12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657</xdr:row>
                <xdr:rowOff>28575</xdr:rowOff>
              </from>
              <to>
                <xdr:col>1</xdr:col>
                <xdr:colOff>733425</xdr:colOff>
                <xdr:row>658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110" name="Button 12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657</xdr:row>
                <xdr:rowOff>28575</xdr:rowOff>
              </from>
              <to>
                <xdr:col>1</xdr:col>
                <xdr:colOff>733425</xdr:colOff>
                <xdr:row>658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7" r:id="rId111" name="Button 12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671</xdr:row>
                <xdr:rowOff>28575</xdr:rowOff>
              </from>
              <to>
                <xdr:col>1</xdr:col>
                <xdr:colOff>733425</xdr:colOff>
                <xdr:row>672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8" r:id="rId112" name="Button 124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671</xdr:row>
                <xdr:rowOff>28575</xdr:rowOff>
              </from>
              <to>
                <xdr:col>1</xdr:col>
                <xdr:colOff>733425</xdr:colOff>
                <xdr:row>672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9" r:id="rId113" name="Button 12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685</xdr:row>
                <xdr:rowOff>28575</xdr:rowOff>
              </from>
              <to>
                <xdr:col>1</xdr:col>
                <xdr:colOff>733425</xdr:colOff>
                <xdr:row>686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0" r:id="rId114" name="Button 12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685</xdr:row>
                <xdr:rowOff>28575</xdr:rowOff>
              </from>
              <to>
                <xdr:col>1</xdr:col>
                <xdr:colOff>733425</xdr:colOff>
                <xdr:row>686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1" r:id="rId115" name="Button 12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699</xdr:row>
                <xdr:rowOff>28575</xdr:rowOff>
              </from>
              <to>
                <xdr:col>1</xdr:col>
                <xdr:colOff>733425</xdr:colOff>
                <xdr:row>700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2" r:id="rId116" name="Button 128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699</xdr:row>
                <xdr:rowOff>28575</xdr:rowOff>
              </from>
              <to>
                <xdr:col>1</xdr:col>
                <xdr:colOff>733425</xdr:colOff>
                <xdr:row>700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3" r:id="rId117" name="Button 12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713</xdr:row>
                <xdr:rowOff>28575</xdr:rowOff>
              </from>
              <to>
                <xdr:col>1</xdr:col>
                <xdr:colOff>733425</xdr:colOff>
                <xdr:row>714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4" r:id="rId118" name="Button 130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713</xdr:row>
                <xdr:rowOff>28575</xdr:rowOff>
              </from>
              <to>
                <xdr:col>1</xdr:col>
                <xdr:colOff>733425</xdr:colOff>
                <xdr:row>714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5" r:id="rId119" name="Button 13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727</xdr:row>
                <xdr:rowOff>28575</xdr:rowOff>
              </from>
              <to>
                <xdr:col>1</xdr:col>
                <xdr:colOff>733425</xdr:colOff>
                <xdr:row>728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6" r:id="rId120" name="Button 13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727</xdr:row>
                <xdr:rowOff>28575</xdr:rowOff>
              </from>
              <to>
                <xdr:col>1</xdr:col>
                <xdr:colOff>733425</xdr:colOff>
                <xdr:row>728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7" r:id="rId121" name="Button 13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741</xdr:row>
                <xdr:rowOff>28575</xdr:rowOff>
              </from>
              <to>
                <xdr:col>1</xdr:col>
                <xdr:colOff>733425</xdr:colOff>
                <xdr:row>742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8" r:id="rId122" name="Button 134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741</xdr:row>
                <xdr:rowOff>28575</xdr:rowOff>
              </from>
              <to>
                <xdr:col>1</xdr:col>
                <xdr:colOff>733425</xdr:colOff>
                <xdr:row>742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9" r:id="rId123" name="Schaltfläche 5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0" r:id="rId124" name="Button 13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1" r:id="rId125" name="Button 137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2" r:id="rId126" name="Button 138">
          <controlPr defaultSize="0" print="0" autoFill="0" autoPict="0" macro="[0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3" r:id="rId127" name="Button 13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4" r:id="rId128" name="Button 14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5" r:id="rId129" name="Button 141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7" r:id="rId130" name="Button 14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147</xdr:row>
                <xdr:rowOff>28575</xdr:rowOff>
              </from>
              <to>
                <xdr:col>1</xdr:col>
                <xdr:colOff>733425</xdr:colOff>
                <xdr:row>148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8" r:id="rId131" name="Button 144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9" r:id="rId132" name="Button 14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0" r:id="rId133" name="Button 146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1" r:id="rId134" name="Button 147">
          <controlPr defaultSize="0" print="0" autoFill="0" autoPict="0" macro="[0]!jumpToLeague_Click" altText="League of Legends">
            <anchor moveWithCells="1" sizeWithCells="1">
              <from>
                <xdr:col>2</xdr:col>
                <xdr:colOff>466725</xdr:colOff>
                <xdr:row>0</xdr:row>
                <xdr:rowOff>161925</xdr:rowOff>
              </from>
              <to>
                <xdr:col>3</xdr:col>
                <xdr:colOff>1323975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2" r:id="rId135" name="Schaltfläche 2">
          <controlPr defaultSize="0" print="0" autoFill="0" autoPict="0" macro="[0]!jumpToLeague_Click" altText="League of Legends">
            <anchor moveWithCells="1" sizeWithCells="1">
              <from>
                <xdr:col>2</xdr:col>
                <xdr:colOff>466725</xdr:colOff>
                <xdr:row>3</xdr:row>
                <xdr:rowOff>104775</xdr:rowOff>
              </from>
              <to>
                <xdr:col>3</xdr:col>
                <xdr:colOff>1323975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3" r:id="rId136" name="Schaltfläche 3">
          <controlPr defaultSize="0" print="0" autoFill="0" autoPict="0" macro="[0]!jumpToLeague_Click" altText="League of Legends">
            <anchor moveWithCells="1" sizeWithCells="1">
              <from>
                <xdr:col>2</xdr:col>
                <xdr:colOff>466725</xdr:colOff>
                <xdr:row>6</xdr:row>
                <xdr:rowOff>9525</xdr:rowOff>
              </from>
              <to>
                <xdr:col>3</xdr:col>
                <xdr:colOff>1323975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4" r:id="rId137" name="Button 150">
          <controlPr defaultSize="0" print="0" autoFill="0" autoPict="0" macro="[0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5" r:id="rId138" name="Button 151">
          <controlPr defaultSize="0" print="0" autoFill="0" autoPict="0" macro="[0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6" r:id="rId139" name="Button 152">
          <controlPr defaultSize="0" print="0" autoFill="0" autoPict="0" macro="[0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7" r:id="rId140" name="Button 153">
          <controlPr defaultSize="0" print="0" autoFill="0" autoPict="0" macro="[0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8" r:id="rId141" name="Button 154">
          <controlPr defaultSize="0" print="0" autoFill="0" autoPict="0" macro="[0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9" r:id="rId142" name="Button 155">
          <controlPr defaultSize="0" print="0" autoFill="0" autoPict="0" macro="[0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0" r:id="rId143" name="Button 156">
          <controlPr defaultSize="0" print="0" autoFill="0" autoPict="0" macro="[0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1" r:id="rId144" name="Button 157">
          <controlPr defaultSize="0" print="0" autoFill="0" autoPict="0" macro="[0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2" r:id="rId145" name="Button 158">
          <controlPr defaultSize="0" print="0" autoFill="0" autoPict="0" macro="[0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3" r:id="rId146" name="Button 159">
          <controlPr defaultSize="0" print="0" autoFill="0" autoPict="0" macro="[0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4" r:id="rId147" name="Button 160">
          <controlPr defaultSize="0" print="0" autoFill="0" autoPict="0" macro="[0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5" r:id="rId148" name="Button 161">
          <controlPr defaultSize="0" print="0" autoFill="0" autoPict="0" macro="[0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6" r:id="rId149" name="Button 162">
          <controlPr defaultSize="0" print="0" autoFill="0" autoPict="0" macro="[0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7" r:id="rId150" name="Schaltfläche 163">
          <controlPr defaultSize="0" print="0" autoFill="0" autoPict="0" macro="[0]!Write_teams">
            <anchor moveWithCells="1" sizeWithCells="1">
              <from>
                <xdr:col>13</xdr:col>
                <xdr:colOff>238125</xdr:colOff>
                <xdr:row>3</xdr:row>
                <xdr:rowOff>57150</xdr:rowOff>
              </from>
              <to>
                <xdr:col>16</xdr:col>
                <xdr:colOff>104775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8" r:id="rId151" name="Schaltfläche 164">
          <controlPr defaultSize="0" print="0" autoFill="0" autoPict="0" macro="[0]!Import_Percentages">
            <anchor moveWithCells="1" sizeWithCells="1">
              <from>
                <xdr:col>13</xdr:col>
                <xdr:colOff>238125</xdr:colOff>
                <xdr:row>5</xdr:row>
                <xdr:rowOff>28575</xdr:rowOff>
              </from>
              <to>
                <xdr:col>16</xdr:col>
                <xdr:colOff>95250</xdr:colOff>
                <xdr:row>6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9" r:id="rId152" name="Schaltfläche 165">
          <controlPr defaultSize="0" print="0" autoFill="0" autoPict="0" macro="[0]!Delete_Percentages">
            <anchor moveWithCells="1" sizeWithCells="1">
              <from>
                <xdr:col>13</xdr:col>
                <xdr:colOff>238125</xdr:colOff>
                <xdr:row>7</xdr:row>
                <xdr:rowOff>47625</xdr:rowOff>
              </from>
              <to>
                <xdr:col>16</xdr:col>
                <xdr:colOff>104775</xdr:colOff>
                <xdr:row>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1" r:id="rId153" name="Button 167">
          <controlPr defaultSize="0" print="0" autoFill="0" autoPict="0" macro="[0]!iww">
            <anchor moveWithCells="1" sizeWithCells="1">
              <from>
                <xdr:col>17</xdr:col>
                <xdr:colOff>123825</xdr:colOff>
                <xdr:row>5</xdr:row>
                <xdr:rowOff>19050</xdr:rowOff>
              </from>
              <to>
                <xdr:col>19</xdr:col>
                <xdr:colOff>838200</xdr:colOff>
                <xdr:row>6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Übersicht</vt:lpstr>
      <vt:lpstr>UpdateRange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Ougagagoubu</dc:creator>
  <cp:lastModifiedBy>Ougagagoubu</cp:lastModifiedBy>
  <dcterms:created xsi:type="dcterms:W3CDTF">2017-05-31T13:55:13Z</dcterms:created>
  <dcterms:modified xsi:type="dcterms:W3CDTF">2018-06-07T20:43:55Z</dcterms:modified>
</cp:coreProperties>
</file>