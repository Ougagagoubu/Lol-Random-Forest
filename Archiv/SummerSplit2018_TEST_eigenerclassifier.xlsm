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Ougagagoubu\Dropbox\LOL\Spring Split 2018\Modell\BaiMuT_3.1\Monogoto-no-Thor-master\"/>
    </mc:Choice>
  </mc:AlternateContent>
  <xr:revisionPtr revIDLastSave="0" documentId="13_ncr:1_{9BD3EDB2-145D-4B98-A9B5-D4513D1F4EEB}" xr6:coauthVersionLast="33" xr6:coauthVersionMax="33" xr10:uidLastSave="{00000000-0000-0000-0000-000000000000}"/>
  <bookViews>
    <workbookView xWindow="255" yWindow="465" windowWidth="28725" windowHeight="17535" xr2:uid="{00000000-000D-0000-FFFF-FFFF00000000}"/>
  </bookViews>
  <sheets>
    <sheet name="Übersicht" sheetId="1" r:id="rId1"/>
  </sheets>
  <functionGroups builtInGroupCount="19"/>
  <externalReferences>
    <externalReference r:id="rId2"/>
  </externalReferences>
  <definedNames>
    <definedName name="UpdateRange">Übersicht!$P$159:$P$596</definedName>
  </definedNames>
  <calcPr calcId="179017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96" i="1" l="1"/>
  <c r="N409" i="1"/>
  <c r="N337" i="1"/>
  <c r="N392" i="1"/>
  <c r="N589" i="1"/>
  <c r="N498" i="1"/>
  <c r="N595" i="1"/>
  <c r="R595" i="1" s="1"/>
  <c r="N594" i="1"/>
  <c r="O594" i="1" s="1"/>
  <c r="N593" i="1"/>
  <c r="O593" i="1" s="1"/>
  <c r="N591" i="1"/>
  <c r="R591" i="1" s="1"/>
  <c r="N590" i="1"/>
  <c r="R590" i="1" s="1"/>
  <c r="N588" i="1"/>
  <c r="R588" i="1" s="1"/>
  <c r="N587" i="1"/>
  <c r="R587" i="1" s="1"/>
  <c r="N582" i="1"/>
  <c r="R582" i="1" s="1"/>
  <c r="N581" i="1"/>
  <c r="N580" i="1"/>
  <c r="R580" i="1" s="1"/>
  <c r="N579" i="1"/>
  <c r="O579" i="1" s="1"/>
  <c r="N578" i="1"/>
  <c r="R578" i="1" s="1"/>
  <c r="N576" i="1"/>
  <c r="O576" i="1" s="1"/>
  <c r="N575" i="1"/>
  <c r="O575" i="1" s="1"/>
  <c r="N574" i="1"/>
  <c r="R574" i="1" s="1"/>
  <c r="N573" i="1"/>
  <c r="O573" i="1" s="1"/>
  <c r="N567" i="1"/>
  <c r="N566" i="1"/>
  <c r="O566" i="1" s="1"/>
  <c r="N564" i="1"/>
  <c r="N563" i="1"/>
  <c r="O563" i="1" s="1"/>
  <c r="N562" i="1"/>
  <c r="R562" i="1" s="1"/>
  <c r="N561" i="1"/>
  <c r="N559" i="1"/>
  <c r="N554" i="1"/>
  <c r="R554" i="1" s="1"/>
  <c r="N552" i="1"/>
  <c r="R552" i="1" s="1"/>
  <c r="N551" i="1"/>
  <c r="O551" i="1" s="1"/>
  <c r="N550" i="1"/>
  <c r="R550" i="1" s="1"/>
  <c r="N549" i="1"/>
  <c r="O549" i="1" s="1"/>
  <c r="N547" i="1"/>
  <c r="R547" i="1" s="1"/>
  <c r="N546" i="1"/>
  <c r="R546" i="1" s="1"/>
  <c r="N540" i="1"/>
  <c r="N539" i="1"/>
  <c r="R539" i="1" s="1"/>
  <c r="N538" i="1"/>
  <c r="R538" i="1" s="1"/>
  <c r="N537" i="1"/>
  <c r="R537" i="1" s="1"/>
  <c r="N536" i="1"/>
  <c r="O536" i="1" s="1"/>
  <c r="N535" i="1"/>
  <c r="N534" i="1"/>
  <c r="O534" i="1" s="1"/>
  <c r="N532" i="1"/>
  <c r="N531" i="1"/>
  <c r="O531" i="1" s="1"/>
  <c r="N526" i="1"/>
  <c r="O526" i="1" s="1"/>
  <c r="N525" i="1"/>
  <c r="N523" i="1"/>
  <c r="O523" i="1" s="1"/>
  <c r="N522" i="1"/>
  <c r="N520" i="1"/>
  <c r="O520" i="1" s="1"/>
  <c r="N518" i="1"/>
  <c r="O518" i="1" s="1"/>
  <c r="N517" i="1"/>
  <c r="O517" i="1" s="1"/>
  <c r="N511" i="1"/>
  <c r="R511" i="1" s="1"/>
  <c r="N510" i="1"/>
  <c r="O510" i="1" s="1"/>
  <c r="N508" i="1"/>
  <c r="O508" i="1" s="1"/>
  <c r="N507" i="1"/>
  <c r="O507" i="1" s="1"/>
  <c r="N506" i="1"/>
  <c r="O506" i="1" s="1"/>
  <c r="N505" i="1"/>
  <c r="N497" i="1"/>
  <c r="O497" i="1" s="1"/>
  <c r="N496" i="1"/>
  <c r="N495" i="1"/>
  <c r="O495" i="1" s="1"/>
  <c r="N494" i="1"/>
  <c r="R494" i="1" s="1"/>
  <c r="N493" i="1"/>
  <c r="N492" i="1"/>
  <c r="R492" i="1" s="1"/>
  <c r="N491" i="1"/>
  <c r="N490" i="1"/>
  <c r="O490" i="1" s="1"/>
  <c r="N484" i="1"/>
  <c r="R484" i="1" s="1"/>
  <c r="N483" i="1"/>
  <c r="R483" i="1" s="1"/>
  <c r="N482" i="1"/>
  <c r="O482" i="1" s="1"/>
  <c r="N481" i="1"/>
  <c r="R481" i="1" s="1"/>
  <c r="N479" i="1"/>
  <c r="O479" i="1" s="1"/>
  <c r="N476" i="1"/>
  <c r="O476" i="1" s="1"/>
  <c r="N475" i="1"/>
  <c r="N470" i="1"/>
  <c r="R470" i="1" s="1"/>
  <c r="N469" i="1"/>
  <c r="N468" i="1"/>
  <c r="N467" i="1"/>
  <c r="N466" i="1"/>
  <c r="N465" i="1"/>
  <c r="N464" i="1"/>
  <c r="O464" i="1" s="1"/>
  <c r="N463" i="1"/>
  <c r="R463" i="1" s="1"/>
  <c r="N462" i="1"/>
  <c r="R462" i="1" s="1"/>
  <c r="N461" i="1"/>
  <c r="R461" i="1" s="1"/>
  <c r="N440" i="1"/>
  <c r="R440" i="1" s="1"/>
  <c r="N439" i="1"/>
  <c r="R439" i="1" s="1"/>
  <c r="N437" i="1"/>
  <c r="O437" i="1" s="1"/>
  <c r="N436" i="1"/>
  <c r="R436" i="1" s="1"/>
  <c r="N433" i="1"/>
  <c r="R433" i="1" s="1"/>
  <c r="N432" i="1"/>
  <c r="R432" i="1" s="1"/>
  <c r="N431" i="1"/>
  <c r="R431" i="1" s="1"/>
  <c r="N425" i="1"/>
  <c r="N424" i="1"/>
  <c r="R424" i="1" s="1"/>
  <c r="N422" i="1"/>
  <c r="O422" i="1" s="1"/>
  <c r="N421" i="1"/>
  <c r="N420" i="1"/>
  <c r="R420" i="1" s="1"/>
  <c r="N419" i="1"/>
  <c r="O419" i="1" s="1"/>
  <c r="N418" i="1"/>
  <c r="R418" i="1" s="1"/>
  <c r="N417" i="1"/>
  <c r="R417" i="1" s="1"/>
  <c r="N412" i="1"/>
  <c r="N410" i="1"/>
  <c r="R410" i="1" s="1"/>
  <c r="N408" i="1"/>
  <c r="R408" i="1" s="1"/>
  <c r="N407" i="1"/>
  <c r="O407" i="1" s="1"/>
  <c r="N405" i="1"/>
  <c r="O405" i="1" s="1"/>
  <c r="N404" i="1"/>
  <c r="R404" i="1" s="1"/>
  <c r="N398" i="1"/>
  <c r="R398" i="1" s="1"/>
  <c r="N397" i="1"/>
  <c r="O397" i="1" s="1"/>
  <c r="N396" i="1"/>
  <c r="N395" i="1"/>
  <c r="N393" i="1"/>
  <c r="O393" i="1" s="1"/>
  <c r="N390" i="1"/>
  <c r="R390" i="1" s="1"/>
  <c r="N384" i="1"/>
  <c r="N383" i="1"/>
  <c r="R383" i="1" s="1"/>
  <c r="N381" i="1"/>
  <c r="N380" i="1"/>
  <c r="N379" i="1"/>
  <c r="O379" i="1" s="1"/>
  <c r="N378" i="1"/>
  <c r="R378" i="1" s="1"/>
  <c r="N377" i="1"/>
  <c r="R377" i="1" s="1"/>
  <c r="N375" i="1"/>
  <c r="N368" i="1"/>
  <c r="N366" i="1"/>
  <c r="R366" i="1" s="1"/>
  <c r="N365" i="1"/>
  <c r="O365" i="1" s="1"/>
  <c r="N364" i="1"/>
  <c r="R364" i="1" s="1"/>
  <c r="N363" i="1"/>
  <c r="N361" i="1"/>
  <c r="N356" i="1"/>
  <c r="R356" i="1" s="1"/>
  <c r="N354" i="1"/>
  <c r="O354" i="1" s="1"/>
  <c r="N353" i="1"/>
  <c r="R353" i="1" s="1"/>
  <c r="N352" i="1"/>
  <c r="R352" i="1" s="1"/>
  <c r="N351" i="1"/>
  <c r="O351" i="1" s="1"/>
  <c r="N349" i="1"/>
  <c r="R349" i="1" s="1"/>
  <c r="N348" i="1"/>
  <c r="N347" i="1"/>
  <c r="R347" i="1" s="1"/>
  <c r="N342" i="1"/>
  <c r="O342" i="1" s="1"/>
  <c r="N341" i="1"/>
  <c r="N340" i="1"/>
  <c r="R340" i="1" s="1"/>
  <c r="N336" i="1"/>
  <c r="R336" i="1" s="1"/>
  <c r="N335" i="1"/>
  <c r="O335" i="1" s="1"/>
  <c r="N334" i="1"/>
  <c r="R334" i="1" s="1"/>
  <c r="N333" i="1"/>
  <c r="O333" i="1" s="1"/>
  <c r="N328" i="1"/>
  <c r="N327" i="1"/>
  <c r="R327" i="1" s="1"/>
  <c r="N325" i="1"/>
  <c r="R325" i="1" s="1"/>
  <c r="N324" i="1"/>
  <c r="N323" i="1"/>
  <c r="R323" i="1" s="1"/>
  <c r="N322" i="1"/>
  <c r="O322" i="1" s="1"/>
  <c r="N321" i="1"/>
  <c r="O321" i="1" s="1"/>
  <c r="N320" i="1"/>
  <c r="R320" i="1" s="1"/>
  <c r="N319" i="1"/>
  <c r="R319" i="1" s="1"/>
  <c r="N314" i="1"/>
  <c r="N313" i="1"/>
  <c r="R313" i="1" s="1"/>
  <c r="N312" i="1"/>
  <c r="R312" i="1" s="1"/>
  <c r="N311" i="1"/>
  <c r="O311" i="1" s="1"/>
  <c r="N310" i="1"/>
  <c r="R310" i="1" s="1"/>
  <c r="N309" i="1"/>
  <c r="O309" i="1" s="1"/>
  <c r="N308" i="1"/>
  <c r="O308" i="1" s="1"/>
  <c r="N307" i="1"/>
  <c r="R307" i="1" s="1"/>
  <c r="N306" i="1"/>
  <c r="N305" i="1"/>
  <c r="O305" i="1" s="1"/>
  <c r="R305" i="1" s="1"/>
  <c r="N284" i="1"/>
  <c r="R284" i="1" s="1"/>
  <c r="N283" i="1"/>
  <c r="R283" i="1" s="1"/>
  <c r="N282" i="1"/>
  <c r="R282" i="1" s="1"/>
  <c r="N281" i="1"/>
  <c r="R281" i="1" s="1"/>
  <c r="N280" i="1"/>
  <c r="O280" i="1" s="1"/>
  <c r="N279" i="1"/>
  <c r="O279" i="1" s="1"/>
  <c r="N278" i="1"/>
  <c r="N277" i="1"/>
  <c r="R277" i="1" s="1"/>
  <c r="N275" i="1"/>
  <c r="O275" i="1" s="1"/>
  <c r="N270" i="1"/>
  <c r="R270" i="1" s="1"/>
  <c r="N269" i="1"/>
  <c r="R269" i="1" s="1"/>
  <c r="N268" i="1"/>
  <c r="R268" i="1" s="1"/>
  <c r="N267" i="1"/>
  <c r="N266" i="1"/>
  <c r="N265" i="1"/>
  <c r="R265" i="1" s="1"/>
  <c r="N263" i="1"/>
  <c r="R263" i="1" s="1"/>
  <c r="N262" i="1"/>
  <c r="R262" i="1" s="1"/>
  <c r="N261" i="1"/>
  <c r="O261" i="1" s="1"/>
  <c r="N256" i="1"/>
  <c r="N255" i="1"/>
  <c r="N254" i="1"/>
  <c r="N251" i="1"/>
  <c r="O251" i="1" s="1"/>
  <c r="N250" i="1"/>
  <c r="R250" i="1" s="1"/>
  <c r="N249" i="1"/>
  <c r="N248" i="1"/>
  <c r="O248" i="1" s="1"/>
  <c r="N247" i="1"/>
  <c r="O247" i="1" s="1"/>
  <c r="N242" i="1"/>
  <c r="O242" i="1" s="1"/>
  <c r="N241" i="1"/>
  <c r="R241" i="1" s="1"/>
  <c r="N240" i="1"/>
  <c r="O240" i="1" s="1"/>
  <c r="N239" i="1"/>
  <c r="R239" i="1" s="1"/>
  <c r="N238" i="1"/>
  <c r="R238" i="1" s="1"/>
  <c r="N236" i="1"/>
  <c r="N235" i="1"/>
  <c r="O235" i="1" s="1"/>
  <c r="N234" i="1"/>
  <c r="O234" i="1" s="1"/>
  <c r="N233" i="1"/>
  <c r="N227" i="1"/>
  <c r="R227" i="1" s="1"/>
  <c r="N226" i="1"/>
  <c r="R226" i="1" s="1"/>
  <c r="N225" i="1"/>
  <c r="O225" i="1" s="1"/>
  <c r="N224" i="1"/>
  <c r="N223" i="1"/>
  <c r="R223" i="1" s="1"/>
  <c r="N222" i="1"/>
  <c r="R222" i="1" s="1"/>
  <c r="N221" i="1"/>
  <c r="O221" i="1" s="1"/>
  <c r="N220" i="1"/>
  <c r="O220" i="1" s="1"/>
  <c r="N219" i="1"/>
  <c r="N214" i="1"/>
  <c r="O214" i="1" s="1"/>
  <c r="N213" i="1"/>
  <c r="R213" i="1" s="1"/>
  <c r="N212" i="1"/>
  <c r="N211" i="1"/>
  <c r="R211" i="1" s="1"/>
  <c r="N210" i="1"/>
  <c r="R210" i="1" s="1"/>
  <c r="N209" i="1"/>
  <c r="R209" i="1" s="1"/>
  <c r="N207" i="1"/>
  <c r="R207" i="1" s="1"/>
  <c r="N206" i="1"/>
  <c r="O206" i="1" s="1"/>
  <c r="N205" i="1"/>
  <c r="O205" i="1" s="1"/>
  <c r="N200" i="1"/>
  <c r="N199" i="1"/>
  <c r="O199" i="1" s="1"/>
  <c r="N198" i="1"/>
  <c r="O198" i="1" s="1"/>
  <c r="N197" i="1"/>
  <c r="N195" i="1"/>
  <c r="O195" i="1" s="1"/>
  <c r="N194" i="1"/>
  <c r="R194" i="1" s="1"/>
  <c r="N193" i="1"/>
  <c r="R193" i="1" s="1"/>
  <c r="N192" i="1"/>
  <c r="N191" i="1"/>
  <c r="O191" i="1" s="1"/>
  <c r="N186" i="1"/>
  <c r="N185" i="1"/>
  <c r="O185" i="1" s="1"/>
  <c r="N183" i="1"/>
  <c r="R183" i="1" s="1"/>
  <c r="F172" i="1"/>
  <c r="J172" i="1" s="1"/>
  <c r="F171" i="1"/>
  <c r="J171" i="1" s="1"/>
  <c r="F170" i="1"/>
  <c r="J170" i="1" s="1"/>
  <c r="F169" i="1"/>
  <c r="J169" i="1" s="1"/>
  <c r="K169" i="1" s="1"/>
  <c r="L169" i="1" s="1"/>
  <c r="F168" i="1"/>
  <c r="F167" i="1"/>
  <c r="J167" i="1" s="1"/>
  <c r="F166" i="1"/>
  <c r="J166" i="1" s="1"/>
  <c r="I158" i="1"/>
  <c r="F158" i="1"/>
  <c r="J158" i="1"/>
  <c r="K158" i="1"/>
  <c r="L158" i="1"/>
  <c r="N158" i="1"/>
  <c r="O158" i="1" s="1"/>
  <c r="R158" i="1" s="1"/>
  <c r="M158" i="1"/>
  <c r="L157" i="1"/>
  <c r="N157" i="1"/>
  <c r="M157" i="1"/>
  <c r="L149" i="1"/>
  <c r="N149" i="1"/>
  <c r="O149" i="1" s="1"/>
  <c r="I150" i="1"/>
  <c r="F150" i="1"/>
  <c r="J150" i="1"/>
  <c r="K150" i="1"/>
  <c r="L150" i="1"/>
  <c r="N150" i="1"/>
  <c r="O150" i="1" s="1"/>
  <c r="M150" i="1"/>
  <c r="I151" i="1"/>
  <c r="F151" i="1"/>
  <c r="J151" i="1"/>
  <c r="K151" i="1"/>
  <c r="L151" i="1"/>
  <c r="N151" i="1"/>
  <c r="O151" i="1" s="1"/>
  <c r="I152" i="1"/>
  <c r="F152" i="1"/>
  <c r="J152" i="1"/>
  <c r="K152" i="1"/>
  <c r="L152" i="1"/>
  <c r="N152" i="1"/>
  <c r="O152" i="1" s="1"/>
  <c r="I153" i="1"/>
  <c r="F153" i="1"/>
  <c r="J153" i="1"/>
  <c r="K153" i="1"/>
  <c r="L153" i="1"/>
  <c r="I154" i="1"/>
  <c r="F154" i="1"/>
  <c r="J154" i="1"/>
  <c r="K154" i="1"/>
  <c r="L154" i="1"/>
  <c r="L155" i="1"/>
  <c r="N155" i="1"/>
  <c r="O155" i="1" s="1"/>
  <c r="L156" i="1"/>
  <c r="N156" i="1"/>
  <c r="O156" i="1" s="1"/>
  <c r="M156" i="1"/>
  <c r="M155" i="1"/>
  <c r="M154" i="1"/>
  <c r="M153" i="1"/>
  <c r="M152" i="1"/>
  <c r="M151" i="1"/>
  <c r="M149" i="1"/>
  <c r="I172" i="1"/>
  <c r="I171" i="1"/>
  <c r="I164" i="1"/>
  <c r="F164" i="1"/>
  <c r="J164" i="1" s="1"/>
  <c r="I166" i="1"/>
  <c r="I167" i="1"/>
  <c r="I168" i="1"/>
  <c r="J168" i="1"/>
  <c r="I169" i="1"/>
  <c r="I170" i="1"/>
  <c r="L186" i="1"/>
  <c r="R186" i="1"/>
  <c r="O186" i="1"/>
  <c r="M186" i="1"/>
  <c r="L185" i="1"/>
  <c r="M185" i="1"/>
  <c r="I177" i="1"/>
  <c r="K177" i="1" s="1"/>
  <c r="L177" i="1" s="1"/>
  <c r="F177" i="1"/>
  <c r="J177" i="1"/>
  <c r="I178" i="1"/>
  <c r="K178" i="1" s="1"/>
  <c r="L178" i="1" s="1"/>
  <c r="F178" i="1"/>
  <c r="J178" i="1"/>
  <c r="I179" i="1"/>
  <c r="F179" i="1"/>
  <c r="J179" i="1"/>
  <c r="K179" i="1"/>
  <c r="L179" i="1" s="1"/>
  <c r="I180" i="1"/>
  <c r="K180" i="1" s="1"/>
  <c r="L180" i="1" s="1"/>
  <c r="F180" i="1"/>
  <c r="J180" i="1"/>
  <c r="I181" i="1"/>
  <c r="K181" i="1" s="1"/>
  <c r="L181" i="1" s="1"/>
  <c r="M181" i="1" s="1"/>
  <c r="F181" i="1"/>
  <c r="J181" i="1"/>
  <c r="I182" i="1"/>
  <c r="F182" i="1"/>
  <c r="J182" i="1"/>
  <c r="K182" i="1"/>
  <c r="L182" i="1" s="1"/>
  <c r="L183" i="1"/>
  <c r="L184" i="1"/>
  <c r="M184" i="1"/>
  <c r="M183" i="1"/>
  <c r="L200" i="1"/>
  <c r="R200" i="1"/>
  <c r="O200" i="1"/>
  <c r="M200" i="1"/>
  <c r="L199" i="1"/>
  <c r="M199" i="1"/>
  <c r="L191" i="1"/>
  <c r="L192" i="1"/>
  <c r="R192" i="1"/>
  <c r="L193" i="1"/>
  <c r="L194" i="1"/>
  <c r="L195" i="1"/>
  <c r="L196" i="1"/>
  <c r="L197" i="1"/>
  <c r="R197" i="1"/>
  <c r="L198" i="1"/>
  <c r="R198" i="1"/>
  <c r="M198" i="1"/>
  <c r="O197" i="1"/>
  <c r="M197" i="1"/>
  <c r="M196" i="1"/>
  <c r="M195" i="1"/>
  <c r="M194" i="1"/>
  <c r="M193" i="1"/>
  <c r="O192" i="1"/>
  <c r="M192" i="1"/>
  <c r="M191" i="1"/>
  <c r="L214" i="1"/>
  <c r="M214" i="1"/>
  <c r="L213" i="1"/>
  <c r="M213" i="1"/>
  <c r="L205" i="1"/>
  <c r="R205" i="1"/>
  <c r="L206" i="1"/>
  <c r="L207" i="1"/>
  <c r="L208" i="1"/>
  <c r="L209" i="1"/>
  <c r="L210" i="1"/>
  <c r="L211" i="1"/>
  <c r="L212" i="1"/>
  <c r="R212" i="1"/>
  <c r="O212" i="1"/>
  <c r="M212" i="1"/>
  <c r="M211" i="1"/>
  <c r="O210" i="1"/>
  <c r="M210" i="1"/>
  <c r="M209" i="1"/>
  <c r="M208" i="1"/>
  <c r="O207" i="1"/>
  <c r="M207" i="1"/>
  <c r="M206" i="1"/>
  <c r="M205" i="1"/>
  <c r="L228" i="1"/>
  <c r="M228" i="1"/>
  <c r="L227" i="1"/>
  <c r="M227" i="1"/>
  <c r="L219" i="1"/>
  <c r="L220" i="1"/>
  <c r="R220" i="1"/>
  <c r="L221" i="1"/>
  <c r="L222" i="1"/>
  <c r="L223" i="1"/>
  <c r="L224" i="1"/>
  <c r="R224" i="1"/>
  <c r="L225" i="1"/>
  <c r="L226" i="1"/>
  <c r="M226" i="1"/>
  <c r="M225" i="1"/>
  <c r="O224" i="1"/>
  <c r="M224" i="1"/>
  <c r="M223" i="1"/>
  <c r="O222" i="1"/>
  <c r="M222" i="1"/>
  <c r="M221" i="1"/>
  <c r="M220" i="1"/>
  <c r="M219" i="1"/>
  <c r="L242" i="1"/>
  <c r="R242" i="1"/>
  <c r="M242" i="1"/>
  <c r="L241" i="1"/>
  <c r="O241" i="1"/>
  <c r="M241" i="1"/>
  <c r="L233" i="1"/>
  <c r="R233" i="1"/>
  <c r="L234" i="1"/>
  <c r="L235" i="1"/>
  <c r="L236" i="1"/>
  <c r="R236" i="1"/>
  <c r="L237" i="1"/>
  <c r="L238" i="1"/>
  <c r="L239" i="1"/>
  <c r="L240" i="1"/>
  <c r="M240" i="1"/>
  <c r="M239" i="1"/>
  <c r="M238" i="1"/>
  <c r="M237" i="1"/>
  <c r="O236" i="1"/>
  <c r="M236" i="1"/>
  <c r="M235" i="1"/>
  <c r="M234" i="1"/>
  <c r="O233" i="1"/>
  <c r="M233" i="1"/>
  <c r="L256" i="1"/>
  <c r="R256" i="1"/>
  <c r="O256" i="1"/>
  <c r="M256" i="1"/>
  <c r="L255" i="1"/>
  <c r="R255" i="1"/>
  <c r="O255" i="1"/>
  <c r="M255" i="1"/>
  <c r="L247" i="1"/>
  <c r="L248" i="1"/>
  <c r="L249" i="1"/>
  <c r="R249" i="1"/>
  <c r="L250" i="1"/>
  <c r="L251" i="1"/>
  <c r="L252" i="1"/>
  <c r="L253" i="1"/>
  <c r="L254" i="1"/>
  <c r="R254" i="1"/>
  <c r="O254" i="1"/>
  <c r="M254" i="1"/>
  <c r="M253" i="1"/>
  <c r="M252" i="1"/>
  <c r="M251" i="1"/>
  <c r="M250" i="1"/>
  <c r="O249" i="1"/>
  <c r="M249" i="1"/>
  <c r="M248" i="1"/>
  <c r="M247" i="1"/>
  <c r="L270" i="1"/>
  <c r="M270" i="1"/>
  <c r="L269" i="1"/>
  <c r="M269" i="1"/>
  <c r="L261" i="1"/>
  <c r="L262" i="1"/>
  <c r="L263" i="1"/>
  <c r="L264" i="1"/>
  <c r="L265" i="1"/>
  <c r="L266" i="1"/>
  <c r="R266" i="1"/>
  <c r="L267" i="1"/>
  <c r="R267" i="1"/>
  <c r="L268" i="1"/>
  <c r="O268" i="1"/>
  <c r="M268" i="1"/>
  <c r="O267" i="1"/>
  <c r="M267" i="1"/>
  <c r="O266" i="1"/>
  <c r="M266" i="1"/>
  <c r="O265" i="1"/>
  <c r="M265" i="1"/>
  <c r="M264" i="1"/>
  <c r="M263" i="1"/>
  <c r="M262" i="1"/>
  <c r="M261" i="1"/>
  <c r="L284" i="1"/>
  <c r="M284" i="1"/>
  <c r="L283" i="1"/>
  <c r="M283" i="1"/>
  <c r="L275" i="1"/>
  <c r="R275" i="1"/>
  <c r="L276" i="1"/>
  <c r="L277" i="1"/>
  <c r="L278" i="1"/>
  <c r="R278" i="1"/>
  <c r="L279" i="1"/>
  <c r="R279" i="1"/>
  <c r="L280" i="1"/>
  <c r="R280" i="1"/>
  <c r="L281" i="1"/>
  <c r="L282" i="1"/>
  <c r="M282" i="1"/>
  <c r="M281" i="1"/>
  <c r="M280" i="1"/>
  <c r="M279" i="1"/>
  <c r="O278" i="1"/>
  <c r="M278" i="1"/>
  <c r="O277" i="1"/>
  <c r="M277" i="1"/>
  <c r="M276" i="1"/>
  <c r="M275" i="1"/>
  <c r="L314" i="1"/>
  <c r="R314" i="1"/>
  <c r="O314" i="1"/>
  <c r="M314" i="1"/>
  <c r="L313" i="1"/>
  <c r="M313" i="1"/>
  <c r="L305" i="1"/>
  <c r="L306" i="1"/>
  <c r="O306" i="1"/>
  <c r="R306" i="1" s="1"/>
  <c r="L307" i="1"/>
  <c r="L308" i="1"/>
  <c r="R308" i="1"/>
  <c r="L309" i="1"/>
  <c r="L310" i="1"/>
  <c r="L311" i="1"/>
  <c r="L312" i="1"/>
  <c r="M312" i="1"/>
  <c r="M311" i="1"/>
  <c r="M310" i="1"/>
  <c r="M309" i="1"/>
  <c r="M308" i="1"/>
  <c r="M307" i="1"/>
  <c r="M306" i="1"/>
  <c r="M305" i="1"/>
  <c r="I328" i="1"/>
  <c r="F328" i="1"/>
  <c r="J328" i="1"/>
  <c r="K328" i="1"/>
  <c r="L328" i="1"/>
  <c r="R328" i="1"/>
  <c r="O328" i="1"/>
  <c r="M328" i="1"/>
  <c r="I327" i="1"/>
  <c r="F327" i="1"/>
  <c r="J327" i="1"/>
  <c r="K327" i="1"/>
  <c r="L327" i="1"/>
  <c r="O327" i="1"/>
  <c r="M327" i="1"/>
  <c r="I319" i="1"/>
  <c r="F319" i="1"/>
  <c r="J319" i="1"/>
  <c r="K319" i="1"/>
  <c r="L319" i="1"/>
  <c r="I320" i="1"/>
  <c r="F320" i="1"/>
  <c r="J320" i="1"/>
  <c r="K320" i="1"/>
  <c r="L320" i="1"/>
  <c r="I321" i="1"/>
  <c r="F321" i="1"/>
  <c r="J321" i="1"/>
  <c r="K321" i="1"/>
  <c r="L321" i="1"/>
  <c r="I322" i="1"/>
  <c r="F322" i="1"/>
  <c r="J322" i="1"/>
  <c r="K322" i="1"/>
  <c r="L322" i="1"/>
  <c r="I323" i="1"/>
  <c r="F323" i="1"/>
  <c r="J323" i="1"/>
  <c r="K323" i="1"/>
  <c r="L323" i="1"/>
  <c r="I324" i="1"/>
  <c r="F324" i="1"/>
  <c r="J324" i="1"/>
  <c r="K324" i="1"/>
  <c r="L324" i="1"/>
  <c r="R324" i="1"/>
  <c r="I325" i="1"/>
  <c r="F325" i="1"/>
  <c r="J325" i="1"/>
  <c r="K325" i="1"/>
  <c r="L325" i="1"/>
  <c r="I326" i="1"/>
  <c r="F326" i="1"/>
  <c r="J326" i="1"/>
  <c r="K326" i="1"/>
  <c r="L326" i="1"/>
  <c r="M326" i="1"/>
  <c r="O325" i="1"/>
  <c r="M325" i="1"/>
  <c r="O324" i="1"/>
  <c r="M324" i="1"/>
  <c r="M323" i="1"/>
  <c r="M322" i="1"/>
  <c r="M321" i="1"/>
  <c r="O320" i="1"/>
  <c r="M320" i="1"/>
  <c r="O319" i="1"/>
  <c r="M319" i="1"/>
  <c r="L342" i="1"/>
  <c r="R342" i="1"/>
  <c r="M342" i="1"/>
  <c r="L341" i="1"/>
  <c r="R341" i="1"/>
  <c r="O341" i="1"/>
  <c r="M341" i="1"/>
  <c r="L333" i="1"/>
  <c r="L334" i="1"/>
  <c r="L335" i="1"/>
  <c r="L336" i="1"/>
  <c r="L337" i="1"/>
  <c r="L338" i="1"/>
  <c r="L339" i="1"/>
  <c r="L340" i="1"/>
  <c r="O340" i="1"/>
  <c r="M340" i="1"/>
  <c r="M339" i="1"/>
  <c r="M338" i="1"/>
  <c r="M337" i="1"/>
  <c r="M336" i="1"/>
  <c r="M335" i="1"/>
  <c r="M334" i="1"/>
  <c r="M333" i="1"/>
  <c r="L356" i="1"/>
  <c r="M356" i="1"/>
  <c r="L355" i="1"/>
  <c r="M355" i="1"/>
  <c r="L347" i="1"/>
  <c r="L348" i="1"/>
  <c r="R348" i="1"/>
  <c r="L349" i="1"/>
  <c r="L350" i="1"/>
  <c r="L351" i="1"/>
  <c r="R351" i="1"/>
  <c r="L352" i="1"/>
  <c r="L353" i="1"/>
  <c r="L354" i="1"/>
  <c r="M354" i="1"/>
  <c r="O353" i="1"/>
  <c r="M353" i="1"/>
  <c r="M352" i="1"/>
  <c r="M351" i="1"/>
  <c r="M350" i="1"/>
  <c r="M349" i="1"/>
  <c r="O348" i="1"/>
  <c r="M348" i="1"/>
  <c r="M347" i="1"/>
  <c r="L370" i="1"/>
  <c r="M370" i="1"/>
  <c r="L369" i="1"/>
  <c r="M369" i="1"/>
  <c r="L361" i="1"/>
  <c r="R361" i="1"/>
  <c r="L362" i="1"/>
  <c r="L363" i="1"/>
  <c r="R363" i="1"/>
  <c r="L364" i="1"/>
  <c r="L365" i="1"/>
  <c r="L366" i="1"/>
  <c r="L367" i="1"/>
  <c r="L368" i="1"/>
  <c r="R368" i="1"/>
  <c r="O368" i="1"/>
  <c r="M368" i="1"/>
  <c r="M367" i="1"/>
  <c r="M366" i="1"/>
  <c r="M365" i="1"/>
  <c r="O364" i="1"/>
  <c r="M364" i="1"/>
  <c r="O363" i="1"/>
  <c r="M363" i="1"/>
  <c r="M362" i="1"/>
  <c r="O361" i="1"/>
  <c r="M361" i="1"/>
  <c r="L384" i="1"/>
  <c r="R384" i="1"/>
  <c r="O384" i="1"/>
  <c r="M384" i="1"/>
  <c r="L383" i="1"/>
  <c r="M383" i="1"/>
  <c r="L375" i="1"/>
  <c r="R375" i="1"/>
  <c r="L376" i="1"/>
  <c r="L377" i="1"/>
  <c r="L378" i="1"/>
  <c r="L379" i="1"/>
  <c r="L380" i="1"/>
  <c r="R380" i="1"/>
  <c r="L381" i="1"/>
  <c r="R381" i="1"/>
  <c r="L382" i="1"/>
  <c r="M382" i="1"/>
  <c r="O381" i="1"/>
  <c r="M381" i="1"/>
  <c r="O380" i="1"/>
  <c r="M380" i="1"/>
  <c r="M379" i="1"/>
  <c r="M378" i="1"/>
  <c r="M377" i="1"/>
  <c r="M376" i="1"/>
  <c r="O375" i="1"/>
  <c r="M375" i="1"/>
  <c r="L398" i="1"/>
  <c r="M398" i="1"/>
  <c r="L397" i="1"/>
  <c r="R397" i="1"/>
  <c r="M397" i="1"/>
  <c r="L389" i="1"/>
  <c r="L390" i="1"/>
  <c r="L391" i="1"/>
  <c r="L392" i="1"/>
  <c r="L393" i="1"/>
  <c r="L394" i="1"/>
  <c r="L395" i="1"/>
  <c r="R395" i="1"/>
  <c r="L396" i="1"/>
  <c r="R396" i="1"/>
  <c r="O396" i="1"/>
  <c r="M396" i="1"/>
  <c r="O395" i="1"/>
  <c r="M395" i="1"/>
  <c r="M394" i="1"/>
  <c r="M393" i="1"/>
  <c r="M392" i="1"/>
  <c r="M391" i="1"/>
  <c r="M390" i="1"/>
  <c r="M389" i="1"/>
  <c r="L412" i="1"/>
  <c r="R412" i="1"/>
  <c r="O412" i="1"/>
  <c r="M412" i="1"/>
  <c r="L411" i="1"/>
  <c r="M411" i="1"/>
  <c r="L403" i="1"/>
  <c r="L404" i="1"/>
  <c r="L405" i="1"/>
  <c r="L406" i="1"/>
  <c r="L407" i="1"/>
  <c r="R407" i="1"/>
  <c r="L408" i="1"/>
  <c r="L409" i="1"/>
  <c r="L410" i="1"/>
  <c r="M410" i="1"/>
  <c r="M409" i="1"/>
  <c r="O408" i="1"/>
  <c r="M408" i="1"/>
  <c r="M407" i="1"/>
  <c r="M406" i="1"/>
  <c r="M405" i="1"/>
  <c r="M404" i="1"/>
  <c r="M403" i="1"/>
  <c r="L426" i="1"/>
  <c r="M426" i="1"/>
  <c r="L425" i="1"/>
  <c r="R425" i="1"/>
  <c r="O425" i="1"/>
  <c r="M425" i="1"/>
  <c r="L417" i="1"/>
  <c r="L418" i="1"/>
  <c r="L419" i="1"/>
  <c r="L420" i="1"/>
  <c r="L421" i="1"/>
  <c r="R421" i="1"/>
  <c r="L422" i="1"/>
  <c r="R422" i="1"/>
  <c r="L423" i="1"/>
  <c r="L424" i="1"/>
  <c r="M424" i="1"/>
  <c r="M423" i="1"/>
  <c r="M422" i="1"/>
  <c r="O421" i="1"/>
  <c r="M421" i="1"/>
  <c r="O420" i="1"/>
  <c r="M420" i="1"/>
  <c r="M419" i="1"/>
  <c r="M418" i="1"/>
  <c r="M417" i="1"/>
  <c r="L440" i="1"/>
  <c r="M440" i="1"/>
  <c r="L439" i="1"/>
  <c r="M439" i="1"/>
  <c r="L431" i="1"/>
  <c r="L432" i="1"/>
  <c r="L433" i="1"/>
  <c r="L434" i="1"/>
  <c r="L435" i="1"/>
  <c r="L436" i="1"/>
  <c r="L437" i="1"/>
  <c r="L438" i="1"/>
  <c r="M438" i="1"/>
  <c r="M437" i="1"/>
  <c r="O436" i="1"/>
  <c r="M436" i="1"/>
  <c r="M435" i="1"/>
  <c r="M434" i="1"/>
  <c r="M433" i="1"/>
  <c r="O432" i="1"/>
  <c r="M432" i="1"/>
  <c r="M431" i="1"/>
  <c r="L626" i="1"/>
  <c r="N626" i="1"/>
  <c r="R626" i="1" s="1"/>
  <c r="M626" i="1"/>
  <c r="L625" i="1"/>
  <c r="N625" i="1"/>
  <c r="R625" i="1" s="1"/>
  <c r="M625" i="1"/>
  <c r="L617" i="1"/>
  <c r="N617" i="1"/>
  <c r="R617" i="1" s="1"/>
  <c r="L618" i="1"/>
  <c r="N618" i="1"/>
  <c r="R618" i="1" s="1"/>
  <c r="L619" i="1"/>
  <c r="N619" i="1"/>
  <c r="R619" i="1" s="1"/>
  <c r="L620" i="1"/>
  <c r="N620" i="1"/>
  <c r="R620" i="1" s="1"/>
  <c r="L621" i="1"/>
  <c r="N621" i="1"/>
  <c r="O621" i="1" s="1"/>
  <c r="L622" i="1"/>
  <c r="N622" i="1"/>
  <c r="O622" i="1" s="1"/>
  <c r="L623" i="1"/>
  <c r="N623" i="1"/>
  <c r="O623" i="1" s="1"/>
  <c r="L624" i="1"/>
  <c r="N624" i="1"/>
  <c r="O624" i="1" s="1"/>
  <c r="M624" i="1"/>
  <c r="M623" i="1"/>
  <c r="M622" i="1"/>
  <c r="M621" i="1"/>
  <c r="M620" i="1"/>
  <c r="M619" i="1"/>
  <c r="M618" i="1"/>
  <c r="M617" i="1"/>
  <c r="L596" i="1"/>
  <c r="M596" i="1"/>
  <c r="L595" i="1"/>
  <c r="M595" i="1"/>
  <c r="L587" i="1"/>
  <c r="L588" i="1"/>
  <c r="L589" i="1"/>
  <c r="L590" i="1"/>
  <c r="L591" i="1"/>
  <c r="L592" i="1"/>
  <c r="L593" i="1"/>
  <c r="R593" i="1"/>
  <c r="L594" i="1"/>
  <c r="M594" i="1"/>
  <c r="M593" i="1"/>
  <c r="M592" i="1"/>
  <c r="O591" i="1"/>
  <c r="M591" i="1"/>
  <c r="O590" i="1"/>
  <c r="M590" i="1"/>
  <c r="M589" i="1"/>
  <c r="M588" i="1"/>
  <c r="O587" i="1"/>
  <c r="M587" i="1"/>
  <c r="L582" i="1"/>
  <c r="M582" i="1"/>
  <c r="L581" i="1"/>
  <c r="R581" i="1"/>
  <c r="O581" i="1"/>
  <c r="M581" i="1"/>
  <c r="L573" i="1"/>
  <c r="R573" i="1"/>
  <c r="L574" i="1"/>
  <c r="L575" i="1"/>
  <c r="L576" i="1"/>
  <c r="L577" i="1"/>
  <c r="L578" i="1"/>
  <c r="L579" i="1"/>
  <c r="R579" i="1"/>
  <c r="L580" i="1"/>
  <c r="M580" i="1"/>
  <c r="M579" i="1"/>
  <c r="O578" i="1"/>
  <c r="M578" i="1"/>
  <c r="M577" i="1"/>
  <c r="M576" i="1"/>
  <c r="M575" i="1"/>
  <c r="M574" i="1"/>
  <c r="M573" i="1"/>
  <c r="L568" i="1"/>
  <c r="M568" i="1"/>
  <c r="L567" i="1"/>
  <c r="R567" i="1"/>
  <c r="O567" i="1"/>
  <c r="M567" i="1"/>
  <c r="L559" i="1"/>
  <c r="R559" i="1"/>
  <c r="L560" i="1"/>
  <c r="L561" i="1"/>
  <c r="R561" i="1"/>
  <c r="L562" i="1"/>
  <c r="L563" i="1"/>
  <c r="L564" i="1"/>
  <c r="R564" i="1"/>
  <c r="L565" i="1"/>
  <c r="L566" i="1"/>
  <c r="M566" i="1"/>
  <c r="M565" i="1"/>
  <c r="O564" i="1"/>
  <c r="M564" i="1"/>
  <c r="M563" i="1"/>
  <c r="M562" i="1"/>
  <c r="O561" i="1"/>
  <c r="M561" i="1"/>
  <c r="M560" i="1"/>
  <c r="O559" i="1"/>
  <c r="M559" i="1"/>
  <c r="L554" i="1"/>
  <c r="M554" i="1"/>
  <c r="L553" i="1"/>
  <c r="M553" i="1"/>
  <c r="L545" i="1"/>
  <c r="L546" i="1"/>
  <c r="L547" i="1"/>
  <c r="L548" i="1"/>
  <c r="L549" i="1"/>
  <c r="R549" i="1"/>
  <c r="L550" i="1"/>
  <c r="L551" i="1"/>
  <c r="L552" i="1"/>
  <c r="O552" i="1"/>
  <c r="M552" i="1"/>
  <c r="M551" i="1"/>
  <c r="O550" i="1"/>
  <c r="M550" i="1"/>
  <c r="M549" i="1"/>
  <c r="M548" i="1"/>
  <c r="M547" i="1"/>
  <c r="O546" i="1"/>
  <c r="M546" i="1"/>
  <c r="M545" i="1"/>
  <c r="L540" i="1"/>
  <c r="R540" i="1"/>
  <c r="O540" i="1"/>
  <c r="M540" i="1"/>
  <c r="L539" i="1"/>
  <c r="M539" i="1"/>
  <c r="L531" i="1"/>
  <c r="L532" i="1"/>
  <c r="R532" i="1"/>
  <c r="L533" i="1"/>
  <c r="L534" i="1"/>
  <c r="L535" i="1"/>
  <c r="R535" i="1"/>
  <c r="L536" i="1"/>
  <c r="L537" i="1"/>
  <c r="L538" i="1"/>
  <c r="M538" i="1"/>
  <c r="M537" i="1"/>
  <c r="M536" i="1"/>
  <c r="O535" i="1"/>
  <c r="M535" i="1"/>
  <c r="M534" i="1"/>
  <c r="M533" i="1"/>
  <c r="O532" i="1"/>
  <c r="M532" i="1"/>
  <c r="M531" i="1"/>
  <c r="L526" i="1"/>
  <c r="M526" i="1"/>
  <c r="L525" i="1"/>
  <c r="R525" i="1"/>
  <c r="O525" i="1"/>
  <c r="M525" i="1"/>
  <c r="L517" i="1"/>
  <c r="L518" i="1"/>
  <c r="R518" i="1"/>
  <c r="L519" i="1"/>
  <c r="L520" i="1"/>
  <c r="L521" i="1"/>
  <c r="L522" i="1"/>
  <c r="R522" i="1"/>
  <c r="L523" i="1"/>
  <c r="L524" i="1"/>
  <c r="M524" i="1"/>
  <c r="M523" i="1"/>
  <c r="O522" i="1"/>
  <c r="M522" i="1"/>
  <c r="M521" i="1"/>
  <c r="M520" i="1"/>
  <c r="M519" i="1"/>
  <c r="M518" i="1"/>
  <c r="M517" i="1"/>
  <c r="L512" i="1"/>
  <c r="M512" i="1"/>
  <c r="L511" i="1"/>
  <c r="M511" i="1"/>
  <c r="L503" i="1"/>
  <c r="L504" i="1"/>
  <c r="L505" i="1"/>
  <c r="R505" i="1"/>
  <c r="L506" i="1"/>
  <c r="L507" i="1"/>
  <c r="L508" i="1"/>
  <c r="L509" i="1"/>
  <c r="L510" i="1"/>
  <c r="R510" i="1"/>
  <c r="M510" i="1"/>
  <c r="M509" i="1"/>
  <c r="M508" i="1"/>
  <c r="M507" i="1"/>
  <c r="M506" i="1"/>
  <c r="O505" i="1"/>
  <c r="M505" i="1"/>
  <c r="M504" i="1"/>
  <c r="M503" i="1"/>
  <c r="L498" i="1"/>
  <c r="M498" i="1"/>
  <c r="L497" i="1"/>
  <c r="R497" i="1"/>
  <c r="M497" i="1"/>
  <c r="L489" i="1"/>
  <c r="L490" i="1"/>
  <c r="R490" i="1"/>
  <c r="L491" i="1"/>
  <c r="R491" i="1"/>
  <c r="L492" i="1"/>
  <c r="L493" i="1"/>
  <c r="R493" i="1"/>
  <c r="L494" i="1"/>
  <c r="L495" i="1"/>
  <c r="L496" i="1"/>
  <c r="R496" i="1"/>
  <c r="O496" i="1"/>
  <c r="M496" i="1"/>
  <c r="M495" i="1"/>
  <c r="M494" i="1"/>
  <c r="O493" i="1"/>
  <c r="M493" i="1"/>
  <c r="M492" i="1"/>
  <c r="O491" i="1"/>
  <c r="M491" i="1"/>
  <c r="M490" i="1"/>
  <c r="M489" i="1"/>
  <c r="I484" i="1"/>
  <c r="F484" i="1"/>
  <c r="J484" i="1"/>
  <c r="K484" i="1"/>
  <c r="L484" i="1"/>
  <c r="M484" i="1"/>
  <c r="I483" i="1"/>
  <c r="F483" i="1"/>
  <c r="J483" i="1"/>
  <c r="K483" i="1"/>
  <c r="L483" i="1"/>
  <c r="M483" i="1"/>
  <c r="I475" i="1"/>
  <c r="F475" i="1"/>
  <c r="J475" i="1"/>
  <c r="K475" i="1"/>
  <c r="L475" i="1"/>
  <c r="M475" i="1"/>
  <c r="I476" i="1"/>
  <c r="F476" i="1"/>
  <c r="J476" i="1"/>
  <c r="K476" i="1"/>
  <c r="L476" i="1"/>
  <c r="I477" i="1"/>
  <c r="F477" i="1"/>
  <c r="J477" i="1"/>
  <c r="K477" i="1"/>
  <c r="L477" i="1"/>
  <c r="I478" i="1"/>
  <c r="F478" i="1"/>
  <c r="J478" i="1"/>
  <c r="K478" i="1"/>
  <c r="L478" i="1"/>
  <c r="I479" i="1"/>
  <c r="F479" i="1"/>
  <c r="J479" i="1"/>
  <c r="K479" i="1"/>
  <c r="L479" i="1"/>
  <c r="I480" i="1"/>
  <c r="F480" i="1"/>
  <c r="J480" i="1"/>
  <c r="K480" i="1"/>
  <c r="L480" i="1"/>
  <c r="I481" i="1"/>
  <c r="F481" i="1"/>
  <c r="J481" i="1"/>
  <c r="K481" i="1"/>
  <c r="L481" i="1"/>
  <c r="I482" i="1"/>
  <c r="F482" i="1"/>
  <c r="J482" i="1"/>
  <c r="K482" i="1"/>
  <c r="L482" i="1"/>
  <c r="R482" i="1"/>
  <c r="M482" i="1"/>
  <c r="M481" i="1"/>
  <c r="M480" i="1"/>
  <c r="M479" i="1"/>
  <c r="M478" i="1"/>
  <c r="M477" i="1"/>
  <c r="M476" i="1"/>
  <c r="O475" i="1"/>
  <c r="O470" i="1"/>
  <c r="O469" i="1"/>
  <c r="O468" i="1"/>
  <c r="O467" i="1"/>
  <c r="R467" i="1" s="1"/>
  <c r="O466" i="1"/>
  <c r="O465" i="1"/>
  <c r="O463" i="1"/>
  <c r="O462" i="1"/>
  <c r="O461" i="1"/>
  <c r="R469" i="1"/>
  <c r="R468" i="1"/>
  <c r="R466" i="1"/>
  <c r="R465" i="1"/>
  <c r="I461" i="1"/>
  <c r="K461" i="1"/>
  <c r="L461" i="1"/>
  <c r="M461" i="1"/>
  <c r="I470" i="1"/>
  <c r="J470" i="1"/>
  <c r="K470" i="1"/>
  <c r="L470" i="1"/>
  <c r="I463" i="1"/>
  <c r="J463" i="1"/>
  <c r="K463" i="1"/>
  <c r="L463" i="1"/>
  <c r="I311" i="1"/>
  <c r="J311" i="1"/>
  <c r="K311" i="1"/>
  <c r="M470" i="1"/>
  <c r="L469" i="1"/>
  <c r="M469" i="1"/>
  <c r="L468" i="1"/>
  <c r="M468" i="1"/>
  <c r="L467" i="1"/>
  <c r="M467" i="1"/>
  <c r="L466" i="1"/>
  <c r="M466" i="1"/>
  <c r="L465" i="1"/>
  <c r="M465" i="1"/>
  <c r="L464" i="1"/>
  <c r="M464" i="1"/>
  <c r="M463" i="1"/>
  <c r="L462" i="1"/>
  <c r="M462" i="1"/>
  <c r="F157" i="1"/>
  <c r="J157" i="1"/>
  <c r="I157" i="1"/>
  <c r="F156" i="1"/>
  <c r="J156" i="1"/>
  <c r="I156" i="1"/>
  <c r="F155" i="1"/>
  <c r="J155" i="1"/>
  <c r="I155" i="1"/>
  <c r="F149" i="1"/>
  <c r="J149" i="1"/>
  <c r="I149" i="1"/>
  <c r="I165" i="1"/>
  <c r="F165" i="1"/>
  <c r="J165" i="1" s="1"/>
  <c r="I163" i="1"/>
  <c r="F163" i="1"/>
  <c r="J163" i="1" s="1"/>
  <c r="I314" i="1"/>
  <c r="F314" i="1"/>
  <c r="J314" i="1"/>
  <c r="K314" i="1"/>
  <c r="I313" i="1"/>
  <c r="F313" i="1"/>
  <c r="J313" i="1"/>
  <c r="K313" i="1"/>
  <c r="I312" i="1"/>
  <c r="F312" i="1"/>
  <c r="J312" i="1"/>
  <c r="K312" i="1"/>
  <c r="F311" i="1"/>
  <c r="I310" i="1"/>
  <c r="F310" i="1"/>
  <c r="J310" i="1"/>
  <c r="K310" i="1"/>
  <c r="I309" i="1"/>
  <c r="F309" i="1"/>
  <c r="J309" i="1"/>
  <c r="K309" i="1"/>
  <c r="I308" i="1"/>
  <c r="F308" i="1"/>
  <c r="J308" i="1"/>
  <c r="K308" i="1"/>
  <c r="I307" i="1"/>
  <c r="F307" i="1"/>
  <c r="J307" i="1"/>
  <c r="K307" i="1"/>
  <c r="I305" i="1"/>
  <c r="F305" i="1"/>
  <c r="J305" i="1"/>
  <c r="K305" i="1"/>
  <c r="I306" i="1"/>
  <c r="F306" i="1"/>
  <c r="J306" i="1"/>
  <c r="K306" i="1"/>
  <c r="F470" i="1"/>
  <c r="I469" i="1"/>
  <c r="F469" i="1"/>
  <c r="J469" i="1"/>
  <c r="K469" i="1"/>
  <c r="I468" i="1"/>
  <c r="F468" i="1"/>
  <c r="J468" i="1"/>
  <c r="K468" i="1"/>
  <c r="I467" i="1"/>
  <c r="F467" i="1"/>
  <c r="J467" i="1"/>
  <c r="K467" i="1"/>
  <c r="I466" i="1"/>
  <c r="F466" i="1"/>
  <c r="J466" i="1"/>
  <c r="K466" i="1"/>
  <c r="I465" i="1"/>
  <c r="F465" i="1"/>
  <c r="J465" i="1"/>
  <c r="K465" i="1"/>
  <c r="I464" i="1"/>
  <c r="F464" i="1"/>
  <c r="J464" i="1"/>
  <c r="K464" i="1"/>
  <c r="F463" i="1"/>
  <c r="I462" i="1"/>
  <c r="F462" i="1"/>
  <c r="J462" i="1"/>
  <c r="K462" i="1"/>
  <c r="F461" i="1"/>
  <c r="J461" i="1"/>
  <c r="K149" i="1"/>
  <c r="K157" i="1"/>
  <c r="K156" i="1"/>
  <c r="K155" i="1"/>
  <c r="K183" i="1"/>
  <c r="K184" i="1"/>
  <c r="K185" i="1"/>
  <c r="K186" i="1"/>
  <c r="K191" i="1"/>
  <c r="K192" i="1"/>
  <c r="K193" i="1"/>
  <c r="K194" i="1"/>
  <c r="K195" i="1"/>
  <c r="K196" i="1"/>
  <c r="K197" i="1"/>
  <c r="K198" i="1"/>
  <c r="K199" i="1"/>
  <c r="K200" i="1"/>
  <c r="K205" i="1"/>
  <c r="K206" i="1"/>
  <c r="K207" i="1"/>
  <c r="K208" i="1"/>
  <c r="K209" i="1"/>
  <c r="K210" i="1"/>
  <c r="K211" i="1"/>
  <c r="K212" i="1"/>
  <c r="K213" i="1"/>
  <c r="K214" i="1"/>
  <c r="K219" i="1"/>
  <c r="K220" i="1"/>
  <c r="K221" i="1"/>
  <c r="K222" i="1"/>
  <c r="K223" i="1"/>
  <c r="K224" i="1"/>
  <c r="K225" i="1"/>
  <c r="K226" i="1"/>
  <c r="K227" i="1"/>
  <c r="K228" i="1"/>
  <c r="K233" i="1"/>
  <c r="K234" i="1"/>
  <c r="K235" i="1"/>
  <c r="K236" i="1"/>
  <c r="K237" i="1"/>
  <c r="K238" i="1"/>
  <c r="K239" i="1"/>
  <c r="K240" i="1"/>
  <c r="K241" i="1"/>
  <c r="K242" i="1"/>
  <c r="K247" i="1"/>
  <c r="K248" i="1"/>
  <c r="K249" i="1"/>
  <c r="K250" i="1"/>
  <c r="K251" i="1"/>
  <c r="K252" i="1"/>
  <c r="K253" i="1"/>
  <c r="K254" i="1"/>
  <c r="K255" i="1"/>
  <c r="K256" i="1"/>
  <c r="K261" i="1"/>
  <c r="K262" i="1"/>
  <c r="K263" i="1"/>
  <c r="K264" i="1"/>
  <c r="K265" i="1"/>
  <c r="K266" i="1"/>
  <c r="K267" i="1"/>
  <c r="K268" i="1"/>
  <c r="K269" i="1"/>
  <c r="K270" i="1"/>
  <c r="K275" i="1"/>
  <c r="K276" i="1"/>
  <c r="K277" i="1"/>
  <c r="K278" i="1"/>
  <c r="K279" i="1"/>
  <c r="K280" i="1"/>
  <c r="K281" i="1"/>
  <c r="K282" i="1"/>
  <c r="K283" i="1"/>
  <c r="K284" i="1"/>
  <c r="K333" i="1"/>
  <c r="K334" i="1"/>
  <c r="K335" i="1"/>
  <c r="K336" i="1"/>
  <c r="K337" i="1"/>
  <c r="K338" i="1"/>
  <c r="K339" i="1"/>
  <c r="K340" i="1"/>
  <c r="K341" i="1"/>
  <c r="K342" i="1"/>
  <c r="K347" i="1"/>
  <c r="K348" i="1"/>
  <c r="K349" i="1"/>
  <c r="K350" i="1"/>
  <c r="K351" i="1"/>
  <c r="K352" i="1"/>
  <c r="K353" i="1"/>
  <c r="K354" i="1"/>
  <c r="K355" i="1"/>
  <c r="K356" i="1"/>
  <c r="K361" i="1"/>
  <c r="K362" i="1"/>
  <c r="K363" i="1"/>
  <c r="K364" i="1"/>
  <c r="K365" i="1"/>
  <c r="K366" i="1"/>
  <c r="K367" i="1"/>
  <c r="K368" i="1"/>
  <c r="K369" i="1"/>
  <c r="K370" i="1"/>
  <c r="K375" i="1"/>
  <c r="K376" i="1"/>
  <c r="K377" i="1"/>
  <c r="K378" i="1"/>
  <c r="K379" i="1"/>
  <c r="K380" i="1"/>
  <c r="K381" i="1"/>
  <c r="K382" i="1"/>
  <c r="K383" i="1"/>
  <c r="K384" i="1"/>
  <c r="K389" i="1"/>
  <c r="K390" i="1"/>
  <c r="K391" i="1"/>
  <c r="K392" i="1"/>
  <c r="K393" i="1"/>
  <c r="K394" i="1"/>
  <c r="K395" i="1"/>
  <c r="K396" i="1"/>
  <c r="K397" i="1"/>
  <c r="K398" i="1"/>
  <c r="K403" i="1"/>
  <c r="K404" i="1"/>
  <c r="K405" i="1"/>
  <c r="K406" i="1"/>
  <c r="K407" i="1"/>
  <c r="K408" i="1"/>
  <c r="K409" i="1"/>
  <c r="K410" i="1"/>
  <c r="K411" i="1"/>
  <c r="K412" i="1"/>
  <c r="K417" i="1"/>
  <c r="K418" i="1"/>
  <c r="K419" i="1"/>
  <c r="K420" i="1"/>
  <c r="K421" i="1"/>
  <c r="K422" i="1"/>
  <c r="K423" i="1"/>
  <c r="K424" i="1"/>
  <c r="K425" i="1"/>
  <c r="K426" i="1"/>
  <c r="K431" i="1"/>
  <c r="K432" i="1"/>
  <c r="K433" i="1"/>
  <c r="K434" i="1"/>
  <c r="K435" i="1"/>
  <c r="K436" i="1"/>
  <c r="K437" i="1"/>
  <c r="K438" i="1"/>
  <c r="K439" i="1"/>
  <c r="K440" i="1"/>
  <c r="K489" i="1"/>
  <c r="K490" i="1"/>
  <c r="K491" i="1"/>
  <c r="K492" i="1"/>
  <c r="K493" i="1"/>
  <c r="K494" i="1"/>
  <c r="K495" i="1"/>
  <c r="K496" i="1"/>
  <c r="K497" i="1"/>
  <c r="K498" i="1"/>
  <c r="K503" i="1"/>
  <c r="K504" i="1"/>
  <c r="K505" i="1"/>
  <c r="K506" i="1"/>
  <c r="K507" i="1"/>
  <c r="K508" i="1"/>
  <c r="K509" i="1"/>
  <c r="K510" i="1"/>
  <c r="K511" i="1"/>
  <c r="K512" i="1"/>
  <c r="K517" i="1"/>
  <c r="K518" i="1"/>
  <c r="K519" i="1"/>
  <c r="K520" i="1"/>
  <c r="K521" i="1"/>
  <c r="K522" i="1"/>
  <c r="K523" i="1"/>
  <c r="K524" i="1"/>
  <c r="K525" i="1"/>
  <c r="K526" i="1"/>
  <c r="K531" i="1"/>
  <c r="K532" i="1"/>
  <c r="K533" i="1"/>
  <c r="K534" i="1"/>
  <c r="K535" i="1"/>
  <c r="K536" i="1"/>
  <c r="K537" i="1"/>
  <c r="K538" i="1"/>
  <c r="K539" i="1"/>
  <c r="K540" i="1"/>
  <c r="K545" i="1"/>
  <c r="K546" i="1"/>
  <c r="K547" i="1"/>
  <c r="K548" i="1"/>
  <c r="K549" i="1"/>
  <c r="K550" i="1"/>
  <c r="K551" i="1"/>
  <c r="K552" i="1"/>
  <c r="K553" i="1"/>
  <c r="K554" i="1"/>
  <c r="K559" i="1"/>
  <c r="K560" i="1"/>
  <c r="K561" i="1"/>
  <c r="K562" i="1"/>
  <c r="K563" i="1"/>
  <c r="K564" i="1"/>
  <c r="K565" i="1"/>
  <c r="K566" i="1"/>
  <c r="K567" i="1"/>
  <c r="K568" i="1"/>
  <c r="K573" i="1"/>
  <c r="K574" i="1"/>
  <c r="K575" i="1"/>
  <c r="K576" i="1"/>
  <c r="K577" i="1"/>
  <c r="K578" i="1"/>
  <c r="K579" i="1"/>
  <c r="K580" i="1"/>
  <c r="K581" i="1"/>
  <c r="K582" i="1"/>
  <c r="K587" i="1"/>
  <c r="K588" i="1"/>
  <c r="K589" i="1"/>
  <c r="K590" i="1"/>
  <c r="K591" i="1"/>
  <c r="K592" i="1"/>
  <c r="K593" i="1"/>
  <c r="K594" i="1"/>
  <c r="K595" i="1"/>
  <c r="K596" i="1"/>
  <c r="I596" i="1"/>
  <c r="I595" i="1"/>
  <c r="I594" i="1"/>
  <c r="I593" i="1"/>
  <c r="I592" i="1"/>
  <c r="I591" i="1"/>
  <c r="I590" i="1"/>
  <c r="I589" i="1"/>
  <c r="I588" i="1"/>
  <c r="I587" i="1"/>
  <c r="I582" i="1"/>
  <c r="F582" i="1"/>
  <c r="J582" i="1"/>
  <c r="I581" i="1"/>
  <c r="F581" i="1"/>
  <c r="J581" i="1"/>
  <c r="I580" i="1"/>
  <c r="F580" i="1"/>
  <c r="J580" i="1"/>
  <c r="I579" i="1"/>
  <c r="F579" i="1"/>
  <c r="J579" i="1"/>
  <c r="I578" i="1"/>
  <c r="F578" i="1"/>
  <c r="J578" i="1"/>
  <c r="I577" i="1"/>
  <c r="F577" i="1"/>
  <c r="J577" i="1"/>
  <c r="I576" i="1"/>
  <c r="F576" i="1"/>
  <c r="J576" i="1"/>
  <c r="I575" i="1"/>
  <c r="F575" i="1"/>
  <c r="J575" i="1"/>
  <c r="I574" i="1"/>
  <c r="F574" i="1"/>
  <c r="J574" i="1"/>
  <c r="I573" i="1"/>
  <c r="F573" i="1"/>
  <c r="J573" i="1"/>
  <c r="I568" i="1"/>
  <c r="F568" i="1"/>
  <c r="J568" i="1"/>
  <c r="I567" i="1"/>
  <c r="F567" i="1"/>
  <c r="J567" i="1"/>
  <c r="I566" i="1"/>
  <c r="F566" i="1"/>
  <c r="J566" i="1"/>
  <c r="I565" i="1"/>
  <c r="F565" i="1"/>
  <c r="J565" i="1"/>
  <c r="I564" i="1"/>
  <c r="F564" i="1"/>
  <c r="J564" i="1"/>
  <c r="I563" i="1"/>
  <c r="F563" i="1"/>
  <c r="J563" i="1"/>
  <c r="I562" i="1"/>
  <c r="F562" i="1"/>
  <c r="J562" i="1"/>
  <c r="I561" i="1"/>
  <c r="F561" i="1"/>
  <c r="J561" i="1"/>
  <c r="I560" i="1"/>
  <c r="F560" i="1"/>
  <c r="J560" i="1"/>
  <c r="I559" i="1"/>
  <c r="F559" i="1"/>
  <c r="J559" i="1"/>
  <c r="I554" i="1"/>
  <c r="F554" i="1"/>
  <c r="J554" i="1"/>
  <c r="I553" i="1"/>
  <c r="F553" i="1"/>
  <c r="J553" i="1"/>
  <c r="I552" i="1"/>
  <c r="F552" i="1"/>
  <c r="J552" i="1"/>
  <c r="I551" i="1"/>
  <c r="F551" i="1"/>
  <c r="J551" i="1"/>
  <c r="I550" i="1"/>
  <c r="F550" i="1"/>
  <c r="J550" i="1"/>
  <c r="I549" i="1"/>
  <c r="F549" i="1"/>
  <c r="J549" i="1"/>
  <c r="I548" i="1"/>
  <c r="F548" i="1"/>
  <c r="J548" i="1"/>
  <c r="I547" i="1"/>
  <c r="F547" i="1"/>
  <c r="J547" i="1"/>
  <c r="I546" i="1"/>
  <c r="F546" i="1"/>
  <c r="J546" i="1"/>
  <c r="I545" i="1"/>
  <c r="F545" i="1"/>
  <c r="J545" i="1"/>
  <c r="I540" i="1"/>
  <c r="F540" i="1"/>
  <c r="J540" i="1"/>
  <c r="I539" i="1"/>
  <c r="F539" i="1"/>
  <c r="J539" i="1"/>
  <c r="I538" i="1"/>
  <c r="F538" i="1"/>
  <c r="J538" i="1"/>
  <c r="I537" i="1"/>
  <c r="F537" i="1"/>
  <c r="J537" i="1"/>
  <c r="I536" i="1"/>
  <c r="F536" i="1"/>
  <c r="J536" i="1"/>
  <c r="I535" i="1"/>
  <c r="F535" i="1"/>
  <c r="J535" i="1"/>
  <c r="I534" i="1"/>
  <c r="F534" i="1"/>
  <c r="J534" i="1"/>
  <c r="I533" i="1"/>
  <c r="F533" i="1"/>
  <c r="J533" i="1"/>
  <c r="I532" i="1"/>
  <c r="F532" i="1"/>
  <c r="J532" i="1"/>
  <c r="I531" i="1"/>
  <c r="F531" i="1"/>
  <c r="J531" i="1"/>
  <c r="I526" i="1"/>
  <c r="F526" i="1"/>
  <c r="J526" i="1"/>
  <c r="I525" i="1"/>
  <c r="F525" i="1"/>
  <c r="J525" i="1"/>
  <c r="I524" i="1"/>
  <c r="F524" i="1"/>
  <c r="J524" i="1"/>
  <c r="I523" i="1"/>
  <c r="F523" i="1"/>
  <c r="J523" i="1"/>
  <c r="I522" i="1"/>
  <c r="F522" i="1"/>
  <c r="J522" i="1"/>
  <c r="I521" i="1"/>
  <c r="F521" i="1"/>
  <c r="J521" i="1"/>
  <c r="I520" i="1"/>
  <c r="F520" i="1"/>
  <c r="J520" i="1"/>
  <c r="I519" i="1"/>
  <c r="F519" i="1"/>
  <c r="J519" i="1"/>
  <c r="I518" i="1"/>
  <c r="F518" i="1"/>
  <c r="J518" i="1"/>
  <c r="I517" i="1"/>
  <c r="F517" i="1"/>
  <c r="J517" i="1"/>
  <c r="I512" i="1"/>
  <c r="F512" i="1"/>
  <c r="J512" i="1"/>
  <c r="I511" i="1"/>
  <c r="F511" i="1"/>
  <c r="J511" i="1"/>
  <c r="I510" i="1"/>
  <c r="F510" i="1"/>
  <c r="J510" i="1"/>
  <c r="I509" i="1"/>
  <c r="F509" i="1"/>
  <c r="J509" i="1"/>
  <c r="I508" i="1"/>
  <c r="F508" i="1"/>
  <c r="J508" i="1"/>
  <c r="I507" i="1"/>
  <c r="F507" i="1"/>
  <c r="J507" i="1"/>
  <c r="I506" i="1"/>
  <c r="F506" i="1"/>
  <c r="J506" i="1"/>
  <c r="I505" i="1"/>
  <c r="F505" i="1"/>
  <c r="J505" i="1"/>
  <c r="I504" i="1"/>
  <c r="F504" i="1"/>
  <c r="J504" i="1"/>
  <c r="I503" i="1"/>
  <c r="F503" i="1"/>
  <c r="J503" i="1"/>
  <c r="I498" i="1"/>
  <c r="I497" i="1"/>
  <c r="I496" i="1"/>
  <c r="I495" i="1"/>
  <c r="I494" i="1"/>
  <c r="I493" i="1"/>
  <c r="I492" i="1"/>
  <c r="I491" i="1"/>
  <c r="I490" i="1"/>
  <c r="I489" i="1"/>
  <c r="I440" i="1"/>
  <c r="I439" i="1"/>
  <c r="I438" i="1"/>
  <c r="I437" i="1"/>
  <c r="I436" i="1"/>
  <c r="I435" i="1"/>
  <c r="I434" i="1"/>
  <c r="I433" i="1"/>
  <c r="I432" i="1"/>
  <c r="I431" i="1"/>
  <c r="I426" i="1"/>
  <c r="F426" i="1"/>
  <c r="J426" i="1"/>
  <c r="I425" i="1"/>
  <c r="F425" i="1"/>
  <c r="J425" i="1"/>
  <c r="I424" i="1"/>
  <c r="F424" i="1"/>
  <c r="J424" i="1"/>
  <c r="I423" i="1"/>
  <c r="F423" i="1"/>
  <c r="J423" i="1"/>
  <c r="I422" i="1"/>
  <c r="F422" i="1"/>
  <c r="J422" i="1"/>
  <c r="I421" i="1"/>
  <c r="F421" i="1"/>
  <c r="J421" i="1"/>
  <c r="I420" i="1"/>
  <c r="F420" i="1"/>
  <c r="J420" i="1"/>
  <c r="I419" i="1"/>
  <c r="F419" i="1"/>
  <c r="J419" i="1"/>
  <c r="I418" i="1"/>
  <c r="F418" i="1"/>
  <c r="J418" i="1"/>
  <c r="I417" i="1"/>
  <c r="F417" i="1"/>
  <c r="J417" i="1"/>
  <c r="I412" i="1"/>
  <c r="F412" i="1"/>
  <c r="J412" i="1"/>
  <c r="I411" i="1"/>
  <c r="F411" i="1"/>
  <c r="J411" i="1"/>
  <c r="I410" i="1"/>
  <c r="F410" i="1"/>
  <c r="J410" i="1"/>
  <c r="I409" i="1"/>
  <c r="F409" i="1"/>
  <c r="J409" i="1"/>
  <c r="I408" i="1"/>
  <c r="F408" i="1"/>
  <c r="J408" i="1"/>
  <c r="I407" i="1"/>
  <c r="F407" i="1"/>
  <c r="J407" i="1"/>
  <c r="I406" i="1"/>
  <c r="F406" i="1"/>
  <c r="J406" i="1"/>
  <c r="I405" i="1"/>
  <c r="F405" i="1"/>
  <c r="J405" i="1"/>
  <c r="I404" i="1"/>
  <c r="F404" i="1"/>
  <c r="J404" i="1"/>
  <c r="I403" i="1"/>
  <c r="F403" i="1"/>
  <c r="J403" i="1"/>
  <c r="I398" i="1"/>
  <c r="F398" i="1"/>
  <c r="J398" i="1"/>
  <c r="I397" i="1"/>
  <c r="F397" i="1"/>
  <c r="J397" i="1"/>
  <c r="I396" i="1"/>
  <c r="F396" i="1"/>
  <c r="J396" i="1"/>
  <c r="I395" i="1"/>
  <c r="F395" i="1"/>
  <c r="J395" i="1"/>
  <c r="I394" i="1"/>
  <c r="F394" i="1"/>
  <c r="J394" i="1"/>
  <c r="I393" i="1"/>
  <c r="F393" i="1"/>
  <c r="J393" i="1"/>
  <c r="I392" i="1"/>
  <c r="F392" i="1"/>
  <c r="J392" i="1"/>
  <c r="I391" i="1"/>
  <c r="F391" i="1"/>
  <c r="J391" i="1"/>
  <c r="I390" i="1"/>
  <c r="F390" i="1"/>
  <c r="J390" i="1"/>
  <c r="I389" i="1"/>
  <c r="F389" i="1"/>
  <c r="J389" i="1"/>
  <c r="I384" i="1"/>
  <c r="F384" i="1"/>
  <c r="J384" i="1"/>
  <c r="I383" i="1"/>
  <c r="F383" i="1"/>
  <c r="J383" i="1"/>
  <c r="I382" i="1"/>
  <c r="F382" i="1"/>
  <c r="J382" i="1"/>
  <c r="I381" i="1"/>
  <c r="F381" i="1"/>
  <c r="J381" i="1"/>
  <c r="I380" i="1"/>
  <c r="F380" i="1"/>
  <c r="J380" i="1"/>
  <c r="I379" i="1"/>
  <c r="F379" i="1"/>
  <c r="J379" i="1"/>
  <c r="I378" i="1"/>
  <c r="F378" i="1"/>
  <c r="J378" i="1"/>
  <c r="I377" i="1"/>
  <c r="F377" i="1"/>
  <c r="J377" i="1"/>
  <c r="I376" i="1"/>
  <c r="F376" i="1"/>
  <c r="J376" i="1"/>
  <c r="I375" i="1"/>
  <c r="F375" i="1"/>
  <c r="J375" i="1"/>
  <c r="I370" i="1"/>
  <c r="F370" i="1"/>
  <c r="J370" i="1"/>
  <c r="I369" i="1"/>
  <c r="F369" i="1"/>
  <c r="J369" i="1"/>
  <c r="I368" i="1"/>
  <c r="F368" i="1"/>
  <c r="J368" i="1"/>
  <c r="I367" i="1"/>
  <c r="F367" i="1"/>
  <c r="J367" i="1"/>
  <c r="I366" i="1"/>
  <c r="F366" i="1"/>
  <c r="J366" i="1"/>
  <c r="I365" i="1"/>
  <c r="F365" i="1"/>
  <c r="J365" i="1"/>
  <c r="I364" i="1"/>
  <c r="F364" i="1"/>
  <c r="J364" i="1"/>
  <c r="I363" i="1"/>
  <c r="F363" i="1"/>
  <c r="J363" i="1"/>
  <c r="I362" i="1"/>
  <c r="F362" i="1"/>
  <c r="J362" i="1"/>
  <c r="I361" i="1"/>
  <c r="F361" i="1"/>
  <c r="J361" i="1"/>
  <c r="I356" i="1"/>
  <c r="F356" i="1"/>
  <c r="J356" i="1"/>
  <c r="I355" i="1"/>
  <c r="F355" i="1"/>
  <c r="J355" i="1"/>
  <c r="I354" i="1"/>
  <c r="F354" i="1"/>
  <c r="J354" i="1"/>
  <c r="I353" i="1"/>
  <c r="F353" i="1"/>
  <c r="J353" i="1"/>
  <c r="I352" i="1"/>
  <c r="F352" i="1"/>
  <c r="J352" i="1"/>
  <c r="I351" i="1"/>
  <c r="F351" i="1"/>
  <c r="J351" i="1"/>
  <c r="I350" i="1"/>
  <c r="F350" i="1"/>
  <c r="J350" i="1"/>
  <c r="I349" i="1"/>
  <c r="F349" i="1"/>
  <c r="J349" i="1"/>
  <c r="I348" i="1"/>
  <c r="F348" i="1"/>
  <c r="J348" i="1"/>
  <c r="I347" i="1"/>
  <c r="F347" i="1"/>
  <c r="J347" i="1"/>
  <c r="I342" i="1"/>
  <c r="F342" i="1"/>
  <c r="J342" i="1"/>
  <c r="I341" i="1"/>
  <c r="F341" i="1"/>
  <c r="J341" i="1"/>
  <c r="I340" i="1"/>
  <c r="F340" i="1"/>
  <c r="J340" i="1"/>
  <c r="I339" i="1"/>
  <c r="F339" i="1"/>
  <c r="J339" i="1"/>
  <c r="I338" i="1"/>
  <c r="F338" i="1"/>
  <c r="J338" i="1"/>
  <c r="I337" i="1"/>
  <c r="F337" i="1"/>
  <c r="J337" i="1"/>
  <c r="I336" i="1"/>
  <c r="F336" i="1"/>
  <c r="J336" i="1"/>
  <c r="I335" i="1"/>
  <c r="F335" i="1"/>
  <c r="J335" i="1"/>
  <c r="I334" i="1"/>
  <c r="F334" i="1"/>
  <c r="J334" i="1"/>
  <c r="I333" i="1"/>
  <c r="F333" i="1"/>
  <c r="J333" i="1"/>
  <c r="J284" i="1"/>
  <c r="J283" i="1"/>
  <c r="J282" i="1"/>
  <c r="J281" i="1"/>
  <c r="J280" i="1"/>
  <c r="J279" i="1"/>
  <c r="J278" i="1"/>
  <c r="J277" i="1"/>
  <c r="J276" i="1"/>
  <c r="J275" i="1"/>
  <c r="J270" i="1"/>
  <c r="J269" i="1"/>
  <c r="J268" i="1"/>
  <c r="J267" i="1"/>
  <c r="J266" i="1"/>
  <c r="J265" i="1"/>
  <c r="J264" i="1"/>
  <c r="J263" i="1"/>
  <c r="J262" i="1"/>
  <c r="J261" i="1"/>
  <c r="I256" i="1"/>
  <c r="F256" i="1"/>
  <c r="J256" i="1"/>
  <c r="I255" i="1"/>
  <c r="F255" i="1"/>
  <c r="J255" i="1"/>
  <c r="I254" i="1"/>
  <c r="F254" i="1"/>
  <c r="J254" i="1"/>
  <c r="I253" i="1"/>
  <c r="F253" i="1"/>
  <c r="J253" i="1"/>
  <c r="I252" i="1"/>
  <c r="F252" i="1"/>
  <c r="J252" i="1"/>
  <c r="I251" i="1"/>
  <c r="F251" i="1"/>
  <c r="J251" i="1"/>
  <c r="I250" i="1"/>
  <c r="F250" i="1"/>
  <c r="J250" i="1"/>
  <c r="I249" i="1"/>
  <c r="F249" i="1"/>
  <c r="J249" i="1"/>
  <c r="I248" i="1"/>
  <c r="F248" i="1"/>
  <c r="J248" i="1"/>
  <c r="I247" i="1"/>
  <c r="F247" i="1"/>
  <c r="J247" i="1"/>
  <c r="I242" i="1"/>
  <c r="I241" i="1"/>
  <c r="I240" i="1"/>
  <c r="F240" i="1"/>
  <c r="J240" i="1"/>
  <c r="I239" i="1"/>
  <c r="F239" i="1"/>
  <c r="J239" i="1"/>
  <c r="I238" i="1"/>
  <c r="F238" i="1"/>
  <c r="J238" i="1"/>
  <c r="I237" i="1"/>
  <c r="F237" i="1"/>
  <c r="J237" i="1"/>
  <c r="I236" i="1"/>
  <c r="F236" i="1"/>
  <c r="J236" i="1"/>
  <c r="I235" i="1"/>
  <c r="F235" i="1"/>
  <c r="J235" i="1"/>
  <c r="I234" i="1"/>
  <c r="F234" i="1"/>
  <c r="J234" i="1"/>
  <c r="I233" i="1"/>
  <c r="F233" i="1"/>
  <c r="J233" i="1"/>
  <c r="I228" i="1"/>
  <c r="I227" i="1"/>
  <c r="I226" i="1"/>
  <c r="I225" i="1"/>
  <c r="I224" i="1"/>
  <c r="F224" i="1"/>
  <c r="J224" i="1"/>
  <c r="I223" i="1"/>
  <c r="F223" i="1"/>
  <c r="J223" i="1"/>
  <c r="I222" i="1"/>
  <c r="F222" i="1"/>
  <c r="J222" i="1"/>
  <c r="I221" i="1"/>
  <c r="F221" i="1"/>
  <c r="J221" i="1"/>
  <c r="I220" i="1"/>
  <c r="F220" i="1"/>
  <c r="J220" i="1"/>
  <c r="I219" i="1"/>
  <c r="F219" i="1"/>
  <c r="J219" i="1"/>
  <c r="I214" i="1"/>
  <c r="F214" i="1"/>
  <c r="J214" i="1"/>
  <c r="I213" i="1"/>
  <c r="F213" i="1"/>
  <c r="J213" i="1"/>
  <c r="I212" i="1"/>
  <c r="F212" i="1"/>
  <c r="J212" i="1"/>
  <c r="I211" i="1"/>
  <c r="F211" i="1"/>
  <c r="J211" i="1"/>
  <c r="I210" i="1"/>
  <c r="F210" i="1"/>
  <c r="J210" i="1"/>
  <c r="I209" i="1"/>
  <c r="F209" i="1"/>
  <c r="J209" i="1"/>
  <c r="I208" i="1"/>
  <c r="F208" i="1"/>
  <c r="J208" i="1"/>
  <c r="I207" i="1"/>
  <c r="F207" i="1"/>
  <c r="J207" i="1"/>
  <c r="I206" i="1"/>
  <c r="F206" i="1"/>
  <c r="J206" i="1"/>
  <c r="I205" i="1"/>
  <c r="F205" i="1"/>
  <c r="J205" i="1"/>
  <c r="I200" i="1"/>
  <c r="F200" i="1"/>
  <c r="J200" i="1"/>
  <c r="I199" i="1"/>
  <c r="F199" i="1"/>
  <c r="J199" i="1"/>
  <c r="I198" i="1"/>
  <c r="F198" i="1"/>
  <c r="J198" i="1"/>
  <c r="I197" i="1"/>
  <c r="F197" i="1"/>
  <c r="J197" i="1"/>
  <c r="I196" i="1"/>
  <c r="F196" i="1"/>
  <c r="J196" i="1"/>
  <c r="I195" i="1"/>
  <c r="F195" i="1"/>
  <c r="J195" i="1"/>
  <c r="I194" i="1"/>
  <c r="F194" i="1"/>
  <c r="J194" i="1"/>
  <c r="I193" i="1"/>
  <c r="F193" i="1"/>
  <c r="J193" i="1"/>
  <c r="I192" i="1"/>
  <c r="F192" i="1"/>
  <c r="J192" i="1"/>
  <c r="I191" i="1"/>
  <c r="F191" i="1"/>
  <c r="J191" i="1"/>
  <c r="I186" i="1"/>
  <c r="F186" i="1"/>
  <c r="J186" i="1"/>
  <c r="I185" i="1"/>
  <c r="F185" i="1"/>
  <c r="J185" i="1"/>
  <c r="I184" i="1"/>
  <c r="F184" i="1"/>
  <c r="J184" i="1"/>
  <c r="I183" i="1"/>
  <c r="F183" i="1"/>
  <c r="J183" i="1"/>
  <c r="L4" i="1"/>
  <c r="K4" i="1"/>
  <c r="J4" i="1"/>
  <c r="I4" i="1"/>
  <c r="H4" i="1"/>
  <c r="G4" i="1"/>
  <c r="F4" i="1"/>
  <c r="E4" i="1"/>
  <c r="I617" i="1"/>
  <c r="K617" i="1"/>
  <c r="I618" i="1"/>
  <c r="K618" i="1"/>
  <c r="I619" i="1"/>
  <c r="K619" i="1"/>
  <c r="I620" i="1"/>
  <c r="K620" i="1"/>
  <c r="I621" i="1"/>
  <c r="K621" i="1"/>
  <c r="I622" i="1"/>
  <c r="K622" i="1"/>
  <c r="I623" i="1"/>
  <c r="K623" i="1"/>
  <c r="I624" i="1"/>
  <c r="K624" i="1"/>
  <c r="I625" i="1"/>
  <c r="K625" i="1"/>
  <c r="I626" i="1"/>
  <c r="K626" i="1"/>
  <c r="I631" i="1"/>
  <c r="K631" i="1"/>
  <c r="L631" i="1"/>
  <c r="R631" i="1"/>
  <c r="I632" i="1"/>
  <c r="K632" i="1"/>
  <c r="L632" i="1"/>
  <c r="R632" i="1"/>
  <c r="I633" i="1"/>
  <c r="K633" i="1"/>
  <c r="L633" i="1"/>
  <c r="R633" i="1"/>
  <c r="I634" i="1"/>
  <c r="K634" i="1"/>
  <c r="L634" i="1"/>
  <c r="R634" i="1"/>
  <c r="I635" i="1"/>
  <c r="K635" i="1"/>
  <c r="L635" i="1"/>
  <c r="R635" i="1"/>
  <c r="I636" i="1"/>
  <c r="K636" i="1"/>
  <c r="L636" i="1"/>
  <c r="R636" i="1"/>
  <c r="I637" i="1"/>
  <c r="K637" i="1"/>
  <c r="L637" i="1"/>
  <c r="R637" i="1"/>
  <c r="I638" i="1"/>
  <c r="K638" i="1"/>
  <c r="L638" i="1"/>
  <c r="R638" i="1"/>
  <c r="I639" i="1"/>
  <c r="K639" i="1"/>
  <c r="L639" i="1"/>
  <c r="R639" i="1"/>
  <c r="I640" i="1"/>
  <c r="K640" i="1"/>
  <c r="L640" i="1"/>
  <c r="R640" i="1"/>
  <c r="T631" i="1"/>
  <c r="I645" i="1"/>
  <c r="K645" i="1"/>
  <c r="L645" i="1"/>
  <c r="R645" i="1"/>
  <c r="I646" i="1"/>
  <c r="K646" i="1"/>
  <c r="L646" i="1"/>
  <c r="R646" i="1"/>
  <c r="I647" i="1"/>
  <c r="K647" i="1"/>
  <c r="L647" i="1"/>
  <c r="R647" i="1"/>
  <c r="I648" i="1"/>
  <c r="K648" i="1"/>
  <c r="L648" i="1"/>
  <c r="R648" i="1"/>
  <c r="I649" i="1"/>
  <c r="K649" i="1"/>
  <c r="L649" i="1"/>
  <c r="R649" i="1"/>
  <c r="I650" i="1"/>
  <c r="K650" i="1"/>
  <c r="L650" i="1"/>
  <c r="R650" i="1"/>
  <c r="I651" i="1"/>
  <c r="K651" i="1"/>
  <c r="L651" i="1"/>
  <c r="R651" i="1"/>
  <c r="I652" i="1"/>
  <c r="K652" i="1"/>
  <c r="L652" i="1"/>
  <c r="R652" i="1"/>
  <c r="I653" i="1"/>
  <c r="K653" i="1"/>
  <c r="L653" i="1"/>
  <c r="R653" i="1"/>
  <c r="I654" i="1"/>
  <c r="K654" i="1"/>
  <c r="L654" i="1"/>
  <c r="R654" i="1"/>
  <c r="T645" i="1"/>
  <c r="I659" i="1"/>
  <c r="K659" i="1"/>
  <c r="L659" i="1"/>
  <c r="R659" i="1"/>
  <c r="I660" i="1"/>
  <c r="K660" i="1"/>
  <c r="L660" i="1"/>
  <c r="R660" i="1"/>
  <c r="I661" i="1"/>
  <c r="K661" i="1"/>
  <c r="L661" i="1"/>
  <c r="R661" i="1"/>
  <c r="I662" i="1"/>
  <c r="K662" i="1"/>
  <c r="L662" i="1"/>
  <c r="R662" i="1"/>
  <c r="I663" i="1"/>
  <c r="K663" i="1"/>
  <c r="L663" i="1"/>
  <c r="R663" i="1"/>
  <c r="I664" i="1"/>
  <c r="K664" i="1"/>
  <c r="L664" i="1"/>
  <c r="R664" i="1"/>
  <c r="I665" i="1"/>
  <c r="K665" i="1"/>
  <c r="L665" i="1"/>
  <c r="R665" i="1"/>
  <c r="I666" i="1"/>
  <c r="K666" i="1"/>
  <c r="L666" i="1"/>
  <c r="R666" i="1"/>
  <c r="I667" i="1"/>
  <c r="K667" i="1"/>
  <c r="L667" i="1"/>
  <c r="R667" i="1"/>
  <c r="I668" i="1"/>
  <c r="K668" i="1"/>
  <c r="L668" i="1"/>
  <c r="R668" i="1"/>
  <c r="T659" i="1"/>
  <c r="I687" i="1"/>
  <c r="K687" i="1"/>
  <c r="L687" i="1"/>
  <c r="R673" i="1"/>
  <c r="I688" i="1"/>
  <c r="K688" i="1"/>
  <c r="L688" i="1"/>
  <c r="R674" i="1"/>
  <c r="I689" i="1"/>
  <c r="K689" i="1"/>
  <c r="L689" i="1"/>
  <c r="R675" i="1"/>
  <c r="I690" i="1"/>
  <c r="K690" i="1"/>
  <c r="L690" i="1"/>
  <c r="R676" i="1"/>
  <c r="I691" i="1"/>
  <c r="K691" i="1"/>
  <c r="L691" i="1"/>
  <c r="R677" i="1"/>
  <c r="I692" i="1"/>
  <c r="K692" i="1"/>
  <c r="L692" i="1"/>
  <c r="R678" i="1"/>
  <c r="I693" i="1"/>
  <c r="K693" i="1"/>
  <c r="L693" i="1"/>
  <c r="R679" i="1"/>
  <c r="I694" i="1"/>
  <c r="K694" i="1"/>
  <c r="L694" i="1"/>
  <c r="R680" i="1"/>
  <c r="I695" i="1"/>
  <c r="K695" i="1"/>
  <c r="L695" i="1"/>
  <c r="R681" i="1"/>
  <c r="I696" i="1"/>
  <c r="K696" i="1"/>
  <c r="L696" i="1"/>
  <c r="R682" i="1"/>
  <c r="T673" i="1"/>
  <c r="R687" i="1"/>
  <c r="R688" i="1"/>
  <c r="R689" i="1"/>
  <c r="R690" i="1"/>
  <c r="R691" i="1"/>
  <c r="R692" i="1"/>
  <c r="R693" i="1"/>
  <c r="R694" i="1"/>
  <c r="R695" i="1"/>
  <c r="R696" i="1"/>
  <c r="T687" i="1"/>
  <c r="I701" i="1"/>
  <c r="K701" i="1"/>
  <c r="L701" i="1"/>
  <c r="R701" i="1"/>
  <c r="I702" i="1"/>
  <c r="K702" i="1"/>
  <c r="L702" i="1"/>
  <c r="R702" i="1"/>
  <c r="I703" i="1"/>
  <c r="K703" i="1"/>
  <c r="L703" i="1"/>
  <c r="R703" i="1"/>
  <c r="I704" i="1"/>
  <c r="K704" i="1"/>
  <c r="L704" i="1"/>
  <c r="R704" i="1"/>
  <c r="I705" i="1"/>
  <c r="K705" i="1"/>
  <c r="L705" i="1"/>
  <c r="R705" i="1"/>
  <c r="I706" i="1"/>
  <c r="K706" i="1"/>
  <c r="L706" i="1"/>
  <c r="R706" i="1"/>
  <c r="I707" i="1"/>
  <c r="K707" i="1"/>
  <c r="L707" i="1"/>
  <c r="R707" i="1"/>
  <c r="I708" i="1"/>
  <c r="K708" i="1"/>
  <c r="L708" i="1"/>
  <c r="R708" i="1"/>
  <c r="I709" i="1"/>
  <c r="K709" i="1"/>
  <c r="L709" i="1"/>
  <c r="R709" i="1"/>
  <c r="I710" i="1"/>
  <c r="K710" i="1"/>
  <c r="L710" i="1"/>
  <c r="R710" i="1"/>
  <c r="T701" i="1"/>
  <c r="I715" i="1"/>
  <c r="K715" i="1"/>
  <c r="L715" i="1"/>
  <c r="R715" i="1"/>
  <c r="I716" i="1"/>
  <c r="K716" i="1"/>
  <c r="L716" i="1"/>
  <c r="R716" i="1"/>
  <c r="I717" i="1"/>
  <c r="K717" i="1"/>
  <c r="L717" i="1"/>
  <c r="R717" i="1"/>
  <c r="I718" i="1"/>
  <c r="K718" i="1"/>
  <c r="L718" i="1"/>
  <c r="R718" i="1"/>
  <c r="I719" i="1"/>
  <c r="K719" i="1"/>
  <c r="L719" i="1"/>
  <c r="R719" i="1"/>
  <c r="R720" i="1"/>
  <c r="I721" i="1"/>
  <c r="K721" i="1"/>
  <c r="L721" i="1"/>
  <c r="R721" i="1"/>
  <c r="I722" i="1"/>
  <c r="K722" i="1"/>
  <c r="L722" i="1"/>
  <c r="R722" i="1"/>
  <c r="I723" i="1"/>
  <c r="K723" i="1"/>
  <c r="L723" i="1"/>
  <c r="R723" i="1"/>
  <c r="I724" i="1"/>
  <c r="K724" i="1"/>
  <c r="L724" i="1"/>
  <c r="R724" i="1"/>
  <c r="T715" i="1"/>
  <c r="I729" i="1"/>
  <c r="K729" i="1"/>
  <c r="L729" i="1"/>
  <c r="R729" i="1"/>
  <c r="I730" i="1"/>
  <c r="K730" i="1"/>
  <c r="L730" i="1"/>
  <c r="R730" i="1"/>
  <c r="I731" i="1"/>
  <c r="K731" i="1"/>
  <c r="L731" i="1"/>
  <c r="R731" i="1"/>
  <c r="I732" i="1"/>
  <c r="K732" i="1"/>
  <c r="L732" i="1"/>
  <c r="R732" i="1"/>
  <c r="I733" i="1"/>
  <c r="K733" i="1"/>
  <c r="L733" i="1"/>
  <c r="R733" i="1"/>
  <c r="I734" i="1"/>
  <c r="K734" i="1"/>
  <c r="L734" i="1"/>
  <c r="R734" i="1"/>
  <c r="I735" i="1"/>
  <c r="K735" i="1"/>
  <c r="L735" i="1"/>
  <c r="R735" i="1"/>
  <c r="I736" i="1"/>
  <c r="K736" i="1"/>
  <c r="L736" i="1"/>
  <c r="R736" i="1"/>
  <c r="I737" i="1"/>
  <c r="K737" i="1"/>
  <c r="L737" i="1"/>
  <c r="R737" i="1"/>
  <c r="I738" i="1"/>
  <c r="K738" i="1"/>
  <c r="L738" i="1"/>
  <c r="R738" i="1"/>
  <c r="T729" i="1"/>
  <c r="I743" i="1"/>
  <c r="K743" i="1"/>
  <c r="L743" i="1"/>
  <c r="R743" i="1"/>
  <c r="I744" i="1"/>
  <c r="K744" i="1"/>
  <c r="L744" i="1"/>
  <c r="R744" i="1"/>
  <c r="I745" i="1"/>
  <c r="K745" i="1"/>
  <c r="L745" i="1"/>
  <c r="R745" i="1"/>
  <c r="I746" i="1"/>
  <c r="K746" i="1"/>
  <c r="L746" i="1"/>
  <c r="R746" i="1"/>
  <c r="I747" i="1"/>
  <c r="K747" i="1"/>
  <c r="L747" i="1"/>
  <c r="R747" i="1"/>
  <c r="I748" i="1"/>
  <c r="K748" i="1"/>
  <c r="L748" i="1"/>
  <c r="R748" i="1"/>
  <c r="I749" i="1"/>
  <c r="K749" i="1"/>
  <c r="L749" i="1"/>
  <c r="R749" i="1"/>
  <c r="I750" i="1"/>
  <c r="K750" i="1"/>
  <c r="L750" i="1"/>
  <c r="R750" i="1"/>
  <c r="I751" i="1"/>
  <c r="K751" i="1"/>
  <c r="L751" i="1"/>
  <c r="R751" i="1"/>
  <c r="I752" i="1"/>
  <c r="K752" i="1"/>
  <c r="L752" i="1"/>
  <c r="R752" i="1"/>
  <c r="T743" i="1"/>
  <c r="I284" i="1"/>
  <c r="I283" i="1"/>
  <c r="I282" i="1"/>
  <c r="I281" i="1"/>
  <c r="I280" i="1"/>
  <c r="I279" i="1"/>
  <c r="I278" i="1"/>
  <c r="I277" i="1"/>
  <c r="I276" i="1"/>
  <c r="I275" i="1"/>
  <c r="I270" i="1"/>
  <c r="I269" i="1"/>
  <c r="I268" i="1"/>
  <c r="I267" i="1"/>
  <c r="I266" i="1"/>
  <c r="I265" i="1"/>
  <c r="I264" i="1"/>
  <c r="I263" i="1"/>
  <c r="I262" i="1"/>
  <c r="I261" i="1"/>
  <c r="J431" i="1"/>
  <c r="J432" i="1"/>
  <c r="J433" i="1"/>
  <c r="J434" i="1"/>
  <c r="J435" i="1"/>
  <c r="J436" i="1"/>
  <c r="J437" i="1"/>
  <c r="J438" i="1"/>
  <c r="J439" i="1"/>
  <c r="J440" i="1"/>
  <c r="J489" i="1"/>
  <c r="J490" i="1"/>
  <c r="J491" i="1"/>
  <c r="J492" i="1"/>
  <c r="J493" i="1"/>
  <c r="J494" i="1"/>
  <c r="J495" i="1"/>
  <c r="J496" i="1"/>
  <c r="J497" i="1"/>
  <c r="J498" i="1"/>
  <c r="J587" i="1"/>
  <c r="J588" i="1"/>
  <c r="J589" i="1"/>
  <c r="J590" i="1"/>
  <c r="J591" i="1"/>
  <c r="J592" i="1"/>
  <c r="J593" i="1"/>
  <c r="J594" i="1"/>
  <c r="J595" i="1"/>
  <c r="J596" i="1"/>
  <c r="J242" i="1"/>
  <c r="J241" i="1"/>
  <c r="J228" i="1"/>
  <c r="J227" i="1"/>
  <c r="J226" i="1"/>
  <c r="J225" i="1"/>
  <c r="F431" i="1"/>
  <c r="F432" i="1"/>
  <c r="F489" i="1"/>
  <c r="F490" i="1"/>
  <c r="F491" i="1"/>
  <c r="F492" i="1"/>
  <c r="F493" i="1"/>
  <c r="F494" i="1"/>
  <c r="F495" i="1"/>
  <c r="F496" i="1"/>
  <c r="F497" i="1"/>
  <c r="F498" i="1"/>
  <c r="F225" i="1"/>
  <c r="F226" i="1"/>
  <c r="F227" i="1"/>
  <c r="F228" i="1"/>
  <c r="F241" i="1"/>
  <c r="F242" i="1"/>
  <c r="F261" i="1"/>
  <c r="F262" i="1"/>
  <c r="F263" i="1"/>
  <c r="F264" i="1"/>
  <c r="F265" i="1"/>
  <c r="F266" i="1"/>
  <c r="F267" i="1"/>
  <c r="F268" i="1"/>
  <c r="F269" i="1"/>
  <c r="F270" i="1"/>
  <c r="F631" i="1"/>
  <c r="J631" i="1"/>
  <c r="F632" i="1"/>
  <c r="J632" i="1"/>
  <c r="F633" i="1"/>
  <c r="J633" i="1"/>
  <c r="F634" i="1"/>
  <c r="J634" i="1"/>
  <c r="F635" i="1"/>
  <c r="J635" i="1"/>
  <c r="F636" i="1"/>
  <c r="J636" i="1"/>
  <c r="F637" i="1"/>
  <c r="J637" i="1"/>
  <c r="F638" i="1"/>
  <c r="J638" i="1"/>
  <c r="F645" i="1"/>
  <c r="J645" i="1"/>
  <c r="F646" i="1"/>
  <c r="J646" i="1"/>
  <c r="F647" i="1"/>
  <c r="J647" i="1"/>
  <c r="F648" i="1"/>
  <c r="J648" i="1"/>
  <c r="F649" i="1"/>
  <c r="J649" i="1"/>
  <c r="F650" i="1"/>
  <c r="J650" i="1"/>
  <c r="F659" i="1"/>
  <c r="J659" i="1"/>
  <c r="F660" i="1"/>
  <c r="J660" i="1"/>
  <c r="F661" i="1"/>
  <c r="J661" i="1"/>
  <c r="F662" i="1"/>
  <c r="J662" i="1"/>
  <c r="F663" i="1"/>
  <c r="J663" i="1"/>
  <c r="F687" i="1"/>
  <c r="J687" i="1"/>
  <c r="F688" i="1"/>
  <c r="J688" i="1"/>
  <c r="F689" i="1"/>
  <c r="J689" i="1"/>
  <c r="F690" i="1"/>
  <c r="J690" i="1"/>
  <c r="F691" i="1"/>
  <c r="J691" i="1"/>
  <c r="F692" i="1"/>
  <c r="J692" i="1"/>
  <c r="F701" i="1"/>
  <c r="J701" i="1"/>
  <c r="F702" i="1"/>
  <c r="J702" i="1"/>
  <c r="F703" i="1"/>
  <c r="J703" i="1"/>
  <c r="F704" i="1"/>
  <c r="J704" i="1"/>
  <c r="F705" i="1"/>
  <c r="J705" i="1"/>
  <c r="F706" i="1"/>
  <c r="J706" i="1"/>
  <c r="F707" i="1"/>
  <c r="J707" i="1"/>
  <c r="F708" i="1"/>
  <c r="J708" i="1"/>
  <c r="F715" i="1"/>
  <c r="J715" i="1"/>
  <c r="F716" i="1"/>
  <c r="J716" i="1"/>
  <c r="F717" i="1"/>
  <c r="J717" i="1"/>
  <c r="F718" i="1"/>
  <c r="J718" i="1"/>
  <c r="F719" i="1"/>
  <c r="J719" i="1"/>
  <c r="F721" i="1"/>
  <c r="J721" i="1"/>
  <c r="F722" i="1"/>
  <c r="J722" i="1"/>
  <c r="F729" i="1"/>
  <c r="J729" i="1"/>
  <c r="F730" i="1"/>
  <c r="J730" i="1"/>
  <c r="F731" i="1"/>
  <c r="J731" i="1"/>
  <c r="F732" i="1"/>
  <c r="J732" i="1"/>
  <c r="F733" i="1"/>
  <c r="J733" i="1"/>
  <c r="F734" i="1"/>
  <c r="J734" i="1"/>
  <c r="F735" i="1"/>
  <c r="J735" i="1"/>
  <c r="F736" i="1"/>
  <c r="J736" i="1"/>
  <c r="F737" i="1"/>
  <c r="J737" i="1"/>
  <c r="N631" i="1"/>
  <c r="N645" i="1"/>
  <c r="N659" i="1"/>
  <c r="N673" i="1"/>
  <c r="N687" i="1"/>
  <c r="N701" i="1"/>
  <c r="N715" i="1"/>
  <c r="N729" i="1"/>
  <c r="N743" i="1"/>
  <c r="N122" i="1"/>
  <c r="J654" i="1"/>
  <c r="J653" i="1"/>
  <c r="J652" i="1"/>
  <c r="J651" i="1"/>
  <c r="F651" i="1"/>
  <c r="F652" i="1"/>
  <c r="F653" i="1"/>
  <c r="F654" i="1"/>
  <c r="J752" i="1"/>
  <c r="F752" i="1"/>
  <c r="J751" i="1"/>
  <c r="F751" i="1"/>
  <c r="J750" i="1"/>
  <c r="F750" i="1"/>
  <c r="J749" i="1"/>
  <c r="F749" i="1"/>
  <c r="J748" i="1"/>
  <c r="F748" i="1"/>
  <c r="J747" i="1"/>
  <c r="F747" i="1"/>
  <c r="J746" i="1"/>
  <c r="F746" i="1"/>
  <c r="J745" i="1"/>
  <c r="F745" i="1"/>
  <c r="J744" i="1"/>
  <c r="F744" i="1"/>
  <c r="J743" i="1"/>
  <c r="F743" i="1"/>
  <c r="J738" i="1"/>
  <c r="F738" i="1"/>
  <c r="J724" i="1"/>
  <c r="F724" i="1"/>
  <c r="J723" i="1"/>
  <c r="F723" i="1"/>
  <c r="J710" i="1"/>
  <c r="F710" i="1"/>
  <c r="J709" i="1"/>
  <c r="F709" i="1"/>
  <c r="J696" i="1"/>
  <c r="F696" i="1"/>
  <c r="J695" i="1"/>
  <c r="F695" i="1"/>
  <c r="J694" i="1"/>
  <c r="F694" i="1"/>
  <c r="J693" i="1"/>
  <c r="F693" i="1"/>
  <c r="J668" i="1"/>
  <c r="F668" i="1"/>
  <c r="J667" i="1"/>
  <c r="F667" i="1"/>
  <c r="J666" i="1"/>
  <c r="F666" i="1"/>
  <c r="J665" i="1"/>
  <c r="F665" i="1"/>
  <c r="J664" i="1"/>
  <c r="F664" i="1"/>
  <c r="J640" i="1"/>
  <c r="F640" i="1"/>
  <c r="J639" i="1"/>
  <c r="F639" i="1"/>
  <c r="F626" i="1"/>
  <c r="F625" i="1"/>
  <c r="J625" i="1"/>
  <c r="F624" i="1"/>
  <c r="J624" i="1"/>
  <c r="J623" i="1"/>
  <c r="F623" i="1"/>
  <c r="F622" i="1"/>
  <c r="J622" i="1"/>
  <c r="J621" i="1"/>
  <c r="F621" i="1"/>
  <c r="J620" i="1"/>
  <c r="F620" i="1"/>
  <c r="J619" i="1"/>
  <c r="F619" i="1"/>
  <c r="F618" i="1"/>
  <c r="J617" i="1"/>
  <c r="F617" i="1"/>
  <c r="J618" i="1"/>
  <c r="J626" i="1"/>
  <c r="F596" i="1"/>
  <c r="F595" i="1"/>
  <c r="F594" i="1"/>
  <c r="F593" i="1"/>
  <c r="F592" i="1"/>
  <c r="F591" i="1"/>
  <c r="F590" i="1"/>
  <c r="F589" i="1"/>
  <c r="F588" i="1"/>
  <c r="F587" i="1"/>
  <c r="F440" i="1"/>
  <c r="F439" i="1"/>
  <c r="F438" i="1"/>
  <c r="F437" i="1"/>
  <c r="F436" i="1"/>
  <c r="F435" i="1"/>
  <c r="F434" i="1"/>
  <c r="F433" i="1"/>
  <c r="F284" i="1"/>
  <c r="F283" i="1"/>
  <c r="F282" i="1"/>
  <c r="F281" i="1"/>
  <c r="F280" i="1"/>
  <c r="F279" i="1"/>
  <c r="F278" i="1"/>
  <c r="F277" i="1"/>
  <c r="F276" i="1"/>
  <c r="F275" i="1"/>
  <c r="T680" i="1"/>
  <c r="T750" i="1"/>
  <c r="T652" i="1"/>
  <c r="T722" i="1"/>
  <c r="T736" i="1"/>
  <c r="T694" i="1"/>
  <c r="T708" i="1"/>
  <c r="T666" i="1"/>
  <c r="T638" i="1"/>
  <c r="K172" i="1" l="1"/>
  <c r="L172" i="1" s="1"/>
  <c r="N172" i="1" s="1"/>
  <c r="R172" i="1" s="1"/>
  <c r="K171" i="1"/>
  <c r="L171" i="1" s="1"/>
  <c r="M171" i="1" s="1"/>
  <c r="K170" i="1"/>
  <c r="L170" i="1" s="1"/>
  <c r="M170" i="1" s="1"/>
  <c r="K168" i="1"/>
  <c r="L168" i="1" s="1"/>
  <c r="M168" i="1" s="1"/>
  <c r="K167" i="1"/>
  <c r="L167" i="1" s="1"/>
  <c r="N167" i="1" s="1"/>
  <c r="K166" i="1"/>
  <c r="L166" i="1" s="1"/>
  <c r="N166" i="1" s="1"/>
  <c r="K165" i="1"/>
  <c r="L165" i="1" s="1"/>
  <c r="M165" i="1" s="1"/>
  <c r="K164" i="1"/>
  <c r="L164" i="1" s="1"/>
  <c r="M164" i="1" s="1"/>
  <c r="R247" i="1"/>
  <c r="R621" i="1"/>
  <c r="K163" i="1"/>
  <c r="L163" i="1" s="1"/>
  <c r="N163" i="1" s="1"/>
  <c r="N179" i="1"/>
  <c r="M179" i="1"/>
  <c r="N177" i="1"/>
  <c r="R177" i="1" s="1"/>
  <c r="M177" i="1"/>
  <c r="N180" i="1"/>
  <c r="O180" i="1" s="1"/>
  <c r="M180" i="1"/>
  <c r="N182" i="1"/>
  <c r="M182" i="1"/>
  <c r="N178" i="1"/>
  <c r="M178" i="1"/>
  <c r="M169" i="1"/>
  <c r="N169" i="1"/>
  <c r="O169" i="1" s="1"/>
  <c r="R169" i="1" s="1"/>
  <c r="R476" i="1"/>
  <c r="O352" i="1"/>
  <c r="R185" i="1"/>
  <c r="R464" i="1"/>
  <c r="R507" i="1"/>
  <c r="O433" i="1"/>
  <c r="O270" i="1"/>
  <c r="O404" i="1"/>
  <c r="R234" i="1"/>
  <c r="O209" i="1"/>
  <c r="R221" i="1"/>
  <c r="O537" i="1"/>
  <c r="R419" i="1"/>
  <c r="O596" i="1"/>
  <c r="R596" i="1"/>
  <c r="O409" i="1"/>
  <c r="R409" i="1"/>
  <c r="N276" i="1"/>
  <c r="O276" i="1" s="1"/>
  <c r="N338" i="1"/>
  <c r="N196" i="1"/>
  <c r="N264" i="1"/>
  <c r="R264" i="1" s="1"/>
  <c r="N184" i="1"/>
  <c r="N326" i="1"/>
  <c r="O326" i="1" s="1"/>
  <c r="O492" i="1"/>
  <c r="R534" i="1"/>
  <c r="O547" i="1"/>
  <c r="R333" i="1"/>
  <c r="R321" i="1"/>
  <c r="R156" i="1"/>
  <c r="O424" i="1"/>
  <c r="R309" i="1"/>
  <c r="O281" i="1"/>
  <c r="R191" i="1"/>
  <c r="R479" i="1"/>
  <c r="R520" i="1"/>
  <c r="R437" i="1"/>
  <c r="O347" i="1"/>
  <c r="O356" i="1"/>
  <c r="R261" i="1"/>
  <c r="T261" i="1" s="1"/>
  <c r="T268" i="1" s="1"/>
  <c r="N389" i="1"/>
  <c r="O177" i="1"/>
  <c r="R235" i="1"/>
  <c r="R178" i="1"/>
  <c r="R199" i="1"/>
  <c r="O383" i="1"/>
  <c r="O269" i="1"/>
  <c r="R248" i="1"/>
  <c r="O223" i="1"/>
  <c r="N208" i="1"/>
  <c r="N228" i="1"/>
  <c r="R157" i="1"/>
  <c r="O211" i="1"/>
  <c r="N434" i="1"/>
  <c r="O434" i="1" s="1"/>
  <c r="N519" i="1"/>
  <c r="R225" i="1"/>
  <c r="O439" i="1"/>
  <c r="O417" i="1"/>
  <c r="O349" i="1"/>
  <c r="R508" i="1"/>
  <c r="O213" i="1"/>
  <c r="R182" i="1"/>
  <c r="O418" i="1"/>
  <c r="O481" i="1"/>
  <c r="O484" i="1"/>
  <c r="O554" i="1"/>
  <c r="R566" i="1"/>
  <c r="O588" i="1"/>
  <c r="R405" i="1"/>
  <c r="O377" i="1"/>
  <c r="R365" i="1"/>
  <c r="O336" i="1"/>
  <c r="O312" i="1"/>
  <c r="O313" i="1"/>
  <c r="O284" i="1"/>
  <c r="R240" i="1"/>
  <c r="O193" i="1"/>
  <c r="O183" i="1"/>
  <c r="R523" i="1"/>
  <c r="R393" i="1"/>
  <c r="O511" i="1"/>
  <c r="R517" i="1"/>
  <c r="R576" i="1"/>
  <c r="O431" i="1"/>
  <c r="R251" i="1"/>
  <c r="R206" i="1"/>
  <c r="O239" i="1"/>
  <c r="O390" i="1"/>
  <c r="O263" i="1"/>
  <c r="R536" i="1"/>
  <c r="R551" i="1"/>
  <c r="O580" i="1"/>
  <c r="O619" i="1"/>
  <c r="O440" i="1"/>
  <c r="O307" i="1"/>
  <c r="R276" i="1"/>
  <c r="T275" i="1" s="1"/>
  <c r="T282" i="1" s="1"/>
  <c r="O264" i="1"/>
  <c r="R623" i="1"/>
  <c r="R155" i="1"/>
  <c r="R392" i="1"/>
  <c r="O392" i="1"/>
  <c r="R337" i="1"/>
  <c r="O337" i="1"/>
  <c r="O589" i="1"/>
  <c r="R589" i="1"/>
  <c r="O498" i="1"/>
  <c r="R498" i="1"/>
  <c r="R519" i="1"/>
  <c r="O519" i="1"/>
  <c r="R475" i="1"/>
  <c r="O483" i="1"/>
  <c r="R526" i="1"/>
  <c r="O574" i="1"/>
  <c r="R575" i="1"/>
  <c r="O595" i="1"/>
  <c r="O617" i="1"/>
  <c r="O366" i="1"/>
  <c r="R311" i="1"/>
  <c r="O250" i="1"/>
  <c r="O226" i="1"/>
  <c r="R219" i="1"/>
  <c r="R214" i="1"/>
  <c r="R195" i="1"/>
  <c r="R354" i="1"/>
  <c r="O282" i="1"/>
  <c r="R506" i="1"/>
  <c r="O538" i="1"/>
  <c r="R531" i="1"/>
  <c r="O410" i="1"/>
  <c r="O398" i="1"/>
  <c r="O323" i="1"/>
  <c r="R322" i="1"/>
  <c r="O310" i="1"/>
  <c r="O194" i="1"/>
  <c r="N253" i="1"/>
  <c r="N369" i="1"/>
  <c r="R594" i="1"/>
  <c r="T461" i="1"/>
  <c r="T468" i="1" s="1"/>
  <c r="O494" i="1"/>
  <c r="R495" i="1"/>
  <c r="O334" i="1"/>
  <c r="R335" i="1"/>
  <c r="O283" i="1"/>
  <c r="O219" i="1"/>
  <c r="R149" i="1"/>
  <c r="N478" i="1"/>
  <c r="O562" i="1"/>
  <c r="R563" i="1"/>
  <c r="O582" i="1"/>
  <c r="O378" i="1"/>
  <c r="R379" i="1"/>
  <c r="O227" i="1"/>
  <c r="N339" i="1"/>
  <c r="N503" i="1"/>
  <c r="O539" i="1"/>
  <c r="O626" i="1"/>
  <c r="O262" i="1"/>
  <c r="O238" i="1"/>
  <c r="N376" i="1"/>
  <c r="O620" i="1"/>
  <c r="N181" i="1"/>
  <c r="N237" i="1"/>
  <c r="R622" i="1"/>
  <c r="R624" i="1"/>
  <c r="O618" i="1"/>
  <c r="O625" i="1"/>
  <c r="R152" i="1"/>
  <c r="R151" i="1"/>
  <c r="R150" i="1"/>
  <c r="M172" i="1" l="1"/>
  <c r="N171" i="1"/>
  <c r="R171" i="1" s="1"/>
  <c r="N170" i="1"/>
  <c r="R170" i="1" s="1"/>
  <c r="N168" i="1"/>
  <c r="O168" i="1" s="1"/>
  <c r="M167" i="1"/>
  <c r="M163" i="1"/>
  <c r="M166" i="1"/>
  <c r="N165" i="1"/>
  <c r="O165" i="1" s="1"/>
  <c r="R165" i="1" s="1"/>
  <c r="N164" i="1"/>
  <c r="O164" i="1" s="1"/>
  <c r="R164" i="1" s="1"/>
  <c r="T305" i="1"/>
  <c r="R167" i="1"/>
  <c r="R180" i="1"/>
  <c r="N77" i="1"/>
  <c r="O182" i="1"/>
  <c r="O178" i="1"/>
  <c r="O179" i="1"/>
  <c r="R179" i="1"/>
  <c r="O172" i="1"/>
  <c r="O167" i="1"/>
  <c r="O163" i="1"/>
  <c r="R163" i="1" s="1"/>
  <c r="O166" i="1"/>
  <c r="R166" i="1"/>
  <c r="T319" i="1"/>
  <c r="T326" i="1" s="1"/>
  <c r="R326" i="1"/>
  <c r="O184" i="1"/>
  <c r="R184" i="1"/>
  <c r="R434" i="1"/>
  <c r="N438" i="1"/>
  <c r="N568" i="1"/>
  <c r="N370" i="1"/>
  <c r="R196" i="1"/>
  <c r="T191" i="1" s="1"/>
  <c r="T198" i="1" s="1"/>
  <c r="O196" i="1"/>
  <c r="N382" i="1"/>
  <c r="N512" i="1"/>
  <c r="N252" i="1"/>
  <c r="N426" i="1"/>
  <c r="N560" i="1"/>
  <c r="R338" i="1"/>
  <c r="O338" i="1"/>
  <c r="O208" i="1"/>
  <c r="R208" i="1"/>
  <c r="T205" i="1" s="1"/>
  <c r="T212" i="1" s="1"/>
  <c r="N350" i="1"/>
  <c r="N154" i="1"/>
  <c r="N394" i="1"/>
  <c r="O157" i="1"/>
  <c r="N504" i="1"/>
  <c r="R389" i="1"/>
  <c r="O389" i="1"/>
  <c r="N480" i="1"/>
  <c r="N524" i="1"/>
  <c r="N548" i="1"/>
  <c r="N362" i="1"/>
  <c r="N592" i="1"/>
  <c r="O228" i="1"/>
  <c r="R228" i="1"/>
  <c r="T219" i="1" s="1"/>
  <c r="T226" i="1" s="1"/>
  <c r="N406" i="1"/>
  <c r="T617" i="1"/>
  <c r="N124" i="1" s="1"/>
  <c r="N435" i="1"/>
  <c r="R253" i="1"/>
  <c r="O253" i="1"/>
  <c r="O369" i="1"/>
  <c r="R369" i="1"/>
  <c r="N153" i="1"/>
  <c r="R376" i="1"/>
  <c r="O376" i="1"/>
  <c r="N553" i="1"/>
  <c r="N367" i="1"/>
  <c r="R503" i="1"/>
  <c r="O503" i="1"/>
  <c r="N391" i="1"/>
  <c r="N355" i="1"/>
  <c r="N423" i="1"/>
  <c r="N489" i="1"/>
  <c r="O339" i="1"/>
  <c r="R339" i="1"/>
  <c r="N509" i="1"/>
  <c r="N477" i="1"/>
  <c r="N545" i="1"/>
  <c r="N577" i="1"/>
  <c r="N411" i="1"/>
  <c r="N565" i="1"/>
  <c r="N521" i="1"/>
  <c r="O478" i="1"/>
  <c r="R478" i="1"/>
  <c r="N533" i="1"/>
  <c r="R181" i="1"/>
  <c r="T177" i="1" s="1"/>
  <c r="T184" i="1" s="1"/>
  <c r="O181" i="1"/>
  <c r="R237" i="1"/>
  <c r="T233" i="1" s="1"/>
  <c r="T240" i="1" s="1"/>
  <c r="O237" i="1"/>
  <c r="N403" i="1"/>
  <c r="T624" i="1"/>
  <c r="T312" i="1"/>
  <c r="O171" i="1" l="1"/>
  <c r="O170" i="1"/>
  <c r="R168" i="1"/>
  <c r="T163" i="1" s="1"/>
  <c r="T170" i="1" s="1"/>
  <c r="T333" i="1"/>
  <c r="R560" i="1"/>
  <c r="O560" i="1"/>
  <c r="R252" i="1"/>
  <c r="T247" i="1" s="1"/>
  <c r="T254" i="1" s="1"/>
  <c r="O252" i="1"/>
  <c r="R406" i="1"/>
  <c r="O406" i="1"/>
  <c r="R382" i="1"/>
  <c r="T375" i="1" s="1"/>
  <c r="T382" i="1" s="1"/>
  <c r="O382" i="1"/>
  <c r="R394" i="1"/>
  <c r="O394" i="1"/>
  <c r="R548" i="1"/>
  <c r="O548" i="1"/>
  <c r="R154" i="1"/>
  <c r="O154" i="1"/>
  <c r="O426" i="1"/>
  <c r="R426" i="1"/>
  <c r="R512" i="1"/>
  <c r="O512" i="1"/>
  <c r="O480" i="1"/>
  <c r="R480" i="1"/>
  <c r="O504" i="1"/>
  <c r="R504" i="1"/>
  <c r="O568" i="1"/>
  <c r="R568" i="1"/>
  <c r="O362" i="1"/>
  <c r="R362" i="1"/>
  <c r="R524" i="1"/>
  <c r="O524" i="1"/>
  <c r="O350" i="1"/>
  <c r="R350" i="1"/>
  <c r="R438" i="1"/>
  <c r="O438" i="1"/>
  <c r="O592" i="1"/>
  <c r="R592" i="1"/>
  <c r="T587" i="1" s="1"/>
  <c r="T594" i="1" s="1"/>
  <c r="O370" i="1"/>
  <c r="R370" i="1"/>
  <c r="T340" i="1"/>
  <c r="R411" i="1"/>
  <c r="O411" i="1"/>
  <c r="R533" i="1"/>
  <c r="T531" i="1" s="1"/>
  <c r="T538" i="1" s="1"/>
  <c r="O533" i="1"/>
  <c r="O367" i="1"/>
  <c r="R367" i="1"/>
  <c r="T361" i="1" s="1"/>
  <c r="T368" i="1" s="1"/>
  <c r="O509" i="1"/>
  <c r="R509" i="1"/>
  <c r="R355" i="1"/>
  <c r="O355" i="1"/>
  <c r="R565" i="1"/>
  <c r="O565" i="1"/>
  <c r="R391" i="1"/>
  <c r="O391" i="1"/>
  <c r="O521" i="1"/>
  <c r="R521" i="1"/>
  <c r="T517" i="1" s="1"/>
  <c r="T524" i="1" s="1"/>
  <c r="R577" i="1"/>
  <c r="T573" i="1" s="1"/>
  <c r="T580" i="1" s="1"/>
  <c r="O577" i="1"/>
  <c r="R477" i="1"/>
  <c r="T475" i="1" s="1"/>
  <c r="O477" i="1"/>
  <c r="R153" i="1"/>
  <c r="T149" i="1" s="1"/>
  <c r="O153" i="1"/>
  <c r="O545" i="1"/>
  <c r="R545" i="1"/>
  <c r="O423" i="1"/>
  <c r="R423" i="1"/>
  <c r="T417" i="1" s="1"/>
  <c r="T424" i="1" s="1"/>
  <c r="R435" i="1"/>
  <c r="O435" i="1"/>
  <c r="O403" i="1"/>
  <c r="R403" i="1"/>
  <c r="N92" i="1"/>
  <c r="O553" i="1"/>
  <c r="R553" i="1"/>
  <c r="R489" i="1"/>
  <c r="T489" i="1" s="1"/>
  <c r="T496" i="1" s="1"/>
  <c r="O489" i="1"/>
  <c r="N107" i="1"/>
  <c r="N81" i="1" l="1"/>
  <c r="T403" i="1"/>
  <c r="T410" i="1" s="1"/>
  <c r="T431" i="1"/>
  <c r="T438" i="1" s="1"/>
  <c r="T347" i="1"/>
  <c r="T354" i="1" s="1"/>
  <c r="T503" i="1"/>
  <c r="T510" i="1" s="1"/>
  <c r="T389" i="1"/>
  <c r="T396" i="1" s="1"/>
  <c r="T559" i="1"/>
  <c r="T566" i="1" s="1"/>
  <c r="T545" i="1"/>
  <c r="T552" i="1" s="1"/>
  <c r="N79" i="1"/>
  <c r="T156" i="1"/>
  <c r="N94" i="1"/>
  <c r="T482" i="1"/>
  <c r="N109" i="1" l="1"/>
  <c r="E8" i="1" s="1"/>
  <c r="E2" i="1" s="1"/>
</calcChain>
</file>

<file path=xl/sharedStrings.xml><?xml version="1.0" encoding="utf-8"?>
<sst xmlns="http://schemas.openxmlformats.org/spreadsheetml/2006/main" count="969" uniqueCount="97">
  <si>
    <t>Übersicht</t>
  </si>
  <si>
    <t>Equity Value</t>
  </si>
  <si>
    <t>Real Value won</t>
  </si>
  <si>
    <t>LOL</t>
  </si>
  <si>
    <t>Overall Balance</t>
  </si>
  <si>
    <t>LCK</t>
  </si>
  <si>
    <t>EU LCS</t>
  </si>
  <si>
    <t>NA LCS</t>
  </si>
  <si>
    <t>Week 1</t>
  </si>
  <si>
    <t>Team1</t>
  </si>
  <si>
    <t>Team2</t>
  </si>
  <si>
    <t>W%-T2</t>
  </si>
  <si>
    <t>Quote T1</t>
  </si>
  <si>
    <t>Quote T2</t>
  </si>
  <si>
    <t>Betscore T1</t>
  </si>
  <si>
    <t>Betscore T2</t>
  </si>
  <si>
    <t>EV / Game</t>
  </si>
  <si>
    <t>EV / Week</t>
  </si>
  <si>
    <t>Resultat</t>
  </si>
  <si>
    <t>Verhältnis EV/Real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</si>
  <si>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</si>
  <si>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</si>
  <si>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</si>
  <si>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</si>
  <si>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</si>
  <si>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</si>
  <si>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</si>
  <si>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</si>
  <si>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</si>
  <si>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Gewinn/Woche</t>
  </si>
  <si>
    <t>Ausstehende Wetten</t>
  </si>
  <si>
    <t>Verhältnis Real/EV</t>
  </si>
  <si>
    <t>Wetten gewonnen</t>
  </si>
  <si>
    <t>ROI-T</t>
  </si>
  <si>
    <t>€</t>
  </si>
  <si>
    <t>LMS</t>
  </si>
  <si>
    <t>Grundeinsatz (€)</t>
  </si>
  <si>
    <t>Rundungsfehler</t>
  </si>
  <si>
    <t>Betting Size</t>
  </si>
  <si>
    <t>W%-T1</t>
  </si>
  <si>
    <t>T2</t>
  </si>
  <si>
    <t>bbq</t>
  </si>
  <si>
    <t xml:space="preserve"> </t>
  </si>
  <si>
    <t>AFs</t>
  </si>
  <si>
    <t>C9</t>
  </si>
  <si>
    <t>CG</t>
  </si>
  <si>
    <t>CLG</t>
  </si>
  <si>
    <t>FLY</t>
  </si>
  <si>
    <t>FNC</t>
  </si>
  <si>
    <t>FOX</t>
  </si>
  <si>
    <t>G2</t>
  </si>
  <si>
    <t>GGS</t>
  </si>
  <si>
    <t>GIA</t>
  </si>
  <si>
    <t>H2K</t>
  </si>
  <si>
    <t>JAG</t>
  </si>
  <si>
    <t>KT</t>
  </si>
  <si>
    <t>KZ</t>
  </si>
  <si>
    <t>MVP</t>
  </si>
  <si>
    <t>OPT</t>
  </si>
  <si>
    <t>ROC</t>
  </si>
  <si>
    <t>S04</t>
  </si>
  <si>
    <t>SKT</t>
  </si>
  <si>
    <t>SPY</t>
  </si>
  <si>
    <t>TL</t>
  </si>
  <si>
    <t>TSM</t>
  </si>
  <si>
    <t>UOL</t>
  </si>
  <si>
    <t>VIT</t>
  </si>
  <si>
    <t>Gewinn (Mit SB)</t>
  </si>
  <si>
    <t>Gewinn (Ohne SB)</t>
  </si>
  <si>
    <t>Smartboost (SB)</t>
  </si>
  <si>
    <t>Tendenzen</t>
  </si>
  <si>
    <t>Accuracy</t>
  </si>
  <si>
    <t>Woche</t>
  </si>
  <si>
    <t>Wetten Gewonnen</t>
  </si>
  <si>
    <t>Netto Gewinn (SB)</t>
  </si>
  <si>
    <t>Netto Gewinn (ohne SB)</t>
  </si>
  <si>
    <t>AUC Score</t>
  </si>
  <si>
    <t/>
  </si>
  <si>
    <t>0/0</t>
  </si>
  <si>
    <t>SSS</t>
  </si>
  <si>
    <t>BET365</t>
  </si>
  <si>
    <t>Modelldaten: Beimut</t>
  </si>
  <si>
    <t>GRF</t>
  </si>
  <si>
    <t>HLE</t>
  </si>
  <si>
    <t>GEN</t>
  </si>
  <si>
    <t>Afs</t>
  </si>
  <si>
    <t>MSF</t>
  </si>
  <si>
    <t>Site</t>
  </si>
  <si>
    <t>T1</t>
  </si>
  <si>
    <t>Waging</t>
  </si>
  <si>
    <t>OG</t>
  </si>
  <si>
    <t>GG</t>
  </si>
  <si>
    <t>AF</t>
  </si>
  <si>
    <t>12/33</t>
  </si>
  <si>
    <t>9/40</t>
  </si>
  <si>
    <t>3/8</t>
  </si>
  <si>
    <t>25/35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</si>
</sst>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9" x14ac:knownFonts="1">
    <font>
      <sz val="11"/>
      <color theme="1"/>
      <name val="Calibri"/>
      <family val="2"/>
      <scheme val="minor"/>
    </font>
    <font>
      <sz val="26"/>
      <color theme="0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8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sz val="20"/>
      <color theme="0"/>
      <name val="Arial"/>
      <family val="2"/>
    </font>
    <font>
      <sz val="14"/>
      <color theme="0"/>
      <name val="Arial"/>
      <family val="2"/>
    </font>
    <font>
      <sz val="18"/>
      <color theme="0"/>
      <name val="Arial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sz val="11"/>
      <color rgb="FF000000"/>
      <name val="Arial"/>
      <family val="2"/>
    </font>
    <font>
      <sz val="36"/>
      <name val="Arial"/>
      <family val="2"/>
    </font>
    <font>
      <sz val="22"/>
      <name val="Arial"/>
      <family val="2"/>
    </font>
    <font>
      <sz val="16"/>
      <color theme="0"/>
      <name val="Arial"/>
      <family val="2"/>
    </font>
    <font>
      <sz val="11"/>
      <color rgb="FFFF0000"/>
      <name val="Arial"/>
      <family val="2"/>
    </font>
    <font>
      <b/>
      <sz val="12"/>
      <color rgb="FF070000"/>
      <name val="Arial"/>
      <family val="2"/>
    </font>
    <font>
      <sz val="16"/>
      <color rgb="FF339966"/>
      <name val="Calibri"/>
      <family val="2"/>
    </font>
    <font>
      <sz val="16"/>
      <color rgb="FFFF0000"/>
      <name val="Calibri"/>
      <family val="2"/>
    </font>
    <font>
      <sz val="11"/>
      <color rgb="FF000000"/>
      <name val="Calibri"/>
      <family val="2"/>
    </font>
    <font>
      <b/>
      <sz val="12"/>
      <color rgb="FF0070C0"/>
      <name val="Arial"/>
      <family val="2"/>
    </font>
    <font>
      <b/>
      <sz val="12"/>
      <color rgb="FFFF0000"/>
      <name val="Arial"/>
      <family val="2"/>
    </font>
    <font>
      <sz val="9"/>
      <color rgb="FF339966"/>
      <name val="Calibri"/>
      <family val="2"/>
    </font>
    <font>
      <sz val="11"/>
      <color rgb="FFFF0000"/>
      <name val="Calibri"/>
      <family val="2"/>
    </font>
    <font>
      <b/>
      <i/>
      <sz val="72"/>
      <color rgb="FFFFFF00"/>
      <name val="Arial"/>
      <family val="2"/>
    </font>
    <font>
      <b/>
      <sz val="9"/>
      <color theme="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</fills>
  <borders count="22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auto="1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5">
    <xf numFmtId="0" fontId="0" fillId="0" borderId="0" xfId="0"/>
    <xf numFmtId="0" fontId="3" fillId="4" borderId="15" xfId="0" applyFont="1" applyFill="1" applyBorder="1" applyAlignment="1">
      <alignment horizontal="center" vertical="center"/>
    </xf>
    <xf numFmtId="0" fontId="2" fillId="4" borderId="0" xfId="0" applyFont="1" applyFill="1"/>
    <xf numFmtId="0" fontId="2" fillId="4" borderId="0" xfId="0" applyNumberFormat="1" applyFont="1" applyFill="1"/>
    <xf numFmtId="2" fontId="2" fillId="4" borderId="0" xfId="0" applyNumberFormat="1" applyFont="1" applyFill="1"/>
    <xf numFmtId="0" fontId="2" fillId="0" borderId="0" xfId="0" applyFont="1" applyFill="1"/>
    <xf numFmtId="0" fontId="2" fillId="0" borderId="0" xfId="0" applyFont="1"/>
    <xf numFmtId="0" fontId="6" fillId="4" borderId="0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  <xf numFmtId="0" fontId="2" fillId="8" borderId="0" xfId="0" applyFont="1" applyFill="1"/>
    <xf numFmtId="0" fontId="2" fillId="8" borderId="0" xfId="0" applyNumberFormat="1" applyFont="1" applyFill="1"/>
    <xf numFmtId="2" fontId="2" fillId="8" borderId="0" xfId="0" applyNumberFormat="1" applyFont="1" applyFill="1"/>
    <xf numFmtId="0" fontId="2" fillId="0" borderId="0" xfId="0" applyNumberFormat="1" applyFont="1"/>
    <xf numFmtId="2" fontId="2" fillId="0" borderId="0" xfId="0" applyNumberFormat="1" applyFont="1"/>
    <xf numFmtId="0" fontId="2" fillId="7" borderId="1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left" vertical="center"/>
    </xf>
    <xf numFmtId="0" fontId="2" fillId="0" borderId="0" xfId="0" applyNumberFormat="1" applyFont="1" applyFill="1"/>
    <xf numFmtId="2" fontId="2" fillId="0" borderId="0" xfId="0" applyNumberFormat="1" applyFont="1" applyFill="1"/>
    <xf numFmtId="0" fontId="2" fillId="7" borderId="4" xfId="0" applyFont="1" applyFill="1" applyBorder="1" applyAlignment="1">
      <alignment horizontal="center" vertical="center"/>
    </xf>
    <xf numFmtId="0" fontId="2" fillId="7" borderId="5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7" borderId="4" xfId="0" applyFont="1" applyFill="1" applyBorder="1"/>
    <xf numFmtId="0" fontId="2" fillId="7" borderId="5" xfId="0" applyFont="1" applyFill="1" applyBorder="1"/>
    <xf numFmtId="0" fontId="2" fillId="7" borderId="6" xfId="0" applyFont="1" applyFill="1" applyBorder="1"/>
    <xf numFmtId="0" fontId="2" fillId="7" borderId="8" xfId="0" applyFont="1" applyFill="1" applyBorder="1"/>
    <xf numFmtId="0" fontId="2" fillId="4" borderId="1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left" vertical="center"/>
    </xf>
    <xf numFmtId="0" fontId="2" fillId="4" borderId="3" xfId="0" applyFont="1" applyFill="1" applyBorder="1" applyAlignment="1">
      <alignment horizontal="left" vertical="center"/>
    </xf>
    <xf numFmtId="0" fontId="4" fillId="4" borderId="1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left" vertical="center"/>
    </xf>
    <xf numFmtId="0" fontId="4" fillId="4" borderId="6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left" vertical="center"/>
    </xf>
    <xf numFmtId="0" fontId="2" fillId="4" borderId="8" xfId="0" applyFont="1" applyFill="1" applyBorder="1" applyAlignment="1">
      <alignment horizontal="left" vertical="center"/>
    </xf>
    <xf numFmtId="0" fontId="12" fillId="6" borderId="2" xfId="0" applyFont="1" applyFill="1" applyBorder="1" applyAlignment="1">
      <alignment horizontal="center" vertical="center"/>
    </xf>
    <xf numFmtId="0" fontId="12" fillId="6" borderId="3" xfId="0" applyFont="1" applyFill="1" applyBorder="1" applyAlignment="1">
      <alignment horizontal="center" vertical="center"/>
    </xf>
    <xf numFmtId="0" fontId="13" fillId="3" borderId="9" xfId="0" applyFont="1" applyFill="1" applyBorder="1" applyAlignment="1">
      <alignment horizontal="center" vertical="center"/>
    </xf>
    <xf numFmtId="0" fontId="13" fillId="3" borderId="9" xfId="0" applyNumberFormat="1" applyFont="1" applyFill="1" applyBorder="1" applyAlignment="1">
      <alignment horizontal="center"/>
    </xf>
    <xf numFmtId="2" fontId="13" fillId="3" borderId="9" xfId="0" applyNumberFormat="1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2" xfId="0" applyNumberFormat="1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9" xfId="0" applyNumberFormat="1" applyFont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0" xfId="0" applyNumberFormat="1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11" xfId="0" applyNumberFormat="1" applyFont="1" applyBorder="1" applyAlignment="1">
      <alignment horizontal="center" vertical="center"/>
    </xf>
    <xf numFmtId="0" fontId="6" fillId="4" borderId="0" xfId="0" applyNumberFormat="1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5" xfId="0" applyFont="1" applyFill="1" applyBorder="1" applyAlignment="1">
      <alignment horizontal="center" vertical="center"/>
    </xf>
    <xf numFmtId="2" fontId="13" fillId="3" borderId="11" xfId="0" applyNumberFormat="1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6" fillId="2" borderId="7" xfId="0" applyNumberFormat="1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0" xfId="0" applyNumberFormat="1" applyFont="1" applyBorder="1" applyAlignment="1">
      <alignment horizontal="center" vertical="center"/>
    </xf>
    <xf numFmtId="0" fontId="4" fillId="8" borderId="0" xfId="0" applyFont="1" applyFill="1"/>
    <xf numFmtId="0" fontId="2" fillId="8" borderId="0" xfId="0" applyFont="1" applyFill="1" applyBorder="1"/>
    <xf numFmtId="0" fontId="4" fillId="8" borderId="0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2" fillId="8" borderId="0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2" fillId="5" borderId="0" xfId="0" applyFont="1" applyFill="1"/>
    <xf numFmtId="0" fontId="2" fillId="5" borderId="0" xfId="0" applyNumberFormat="1" applyFont="1" applyFill="1"/>
    <xf numFmtId="2" fontId="2" fillId="5" borderId="0" xfId="0" applyNumberFormat="1" applyFont="1" applyFill="1"/>
    <xf numFmtId="0" fontId="17" fillId="3" borderId="1" xfId="0" applyFont="1" applyFill="1" applyBorder="1" applyAlignment="1">
      <alignment horizontal="center" vertical="center" textRotation="255" wrapText="1"/>
    </xf>
    <xf numFmtId="0" fontId="17" fillId="3" borderId="4" xfId="0" applyFont="1" applyFill="1" applyBorder="1" applyAlignment="1">
      <alignment horizontal="center" vertical="center" textRotation="255" wrapText="1"/>
    </xf>
    <xf numFmtId="0" fontId="12" fillId="6" borderId="0" xfId="0" applyFont="1" applyFill="1" applyAlignment="1">
      <alignment horizontal="center" vertical="center"/>
    </xf>
    <xf numFmtId="0" fontId="2" fillId="8" borderId="0" xfId="0" applyNumberFormat="1" applyFont="1" applyFill="1" applyBorder="1"/>
    <xf numFmtId="2" fontId="2" fillId="8" borderId="0" xfId="0" applyNumberFormat="1" applyFont="1" applyFill="1" applyBorder="1"/>
    <xf numFmtId="0" fontId="2" fillId="8" borderId="0" xfId="0" applyNumberFormat="1" applyFont="1" applyFill="1" applyBorder="1" applyAlignment="1">
      <alignment horizontal="center" vertical="center"/>
    </xf>
    <xf numFmtId="2" fontId="16" fillId="8" borderId="0" xfId="0" applyNumberFormat="1" applyFont="1" applyFill="1" applyBorder="1" applyAlignment="1">
      <alignment horizontal="center" vertical="center"/>
    </xf>
    <xf numFmtId="0" fontId="18" fillId="2" borderId="0" xfId="0" applyFont="1" applyFill="1" applyBorder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3" fillId="8" borderId="0" xfId="0" applyNumberFormat="1" applyFont="1" applyFill="1" applyBorder="1" applyAlignment="1">
      <alignment horizontal="center"/>
    </xf>
    <xf numFmtId="2" fontId="13" fillId="8" borderId="0" xfId="0" applyNumberFormat="1" applyFont="1" applyFill="1" applyBorder="1" applyAlignment="1">
      <alignment horizontal="center" vertical="center"/>
    </xf>
    <xf numFmtId="2" fontId="15" fillId="8" borderId="0" xfId="0" applyNumberFormat="1" applyFont="1" applyFill="1" applyBorder="1" applyAlignment="1">
      <alignment horizontal="center" vertical="center"/>
    </xf>
    <xf numFmtId="2" fontId="2" fillId="8" borderId="0" xfId="0" applyNumberFormat="1" applyFont="1" applyFill="1" applyBorder="1" applyAlignment="1">
      <alignment horizontal="center" vertical="center"/>
    </xf>
    <xf numFmtId="0" fontId="6" fillId="5" borderId="0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2" fontId="4" fillId="4" borderId="15" xfId="0" applyNumberFormat="1" applyFont="1" applyFill="1" applyBorder="1" applyAlignment="1">
      <alignment horizontal="center" vertical="center"/>
    </xf>
    <xf numFmtId="2" fontId="4" fillId="4" borderId="13" xfId="0" applyNumberFormat="1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2" fillId="9" borderId="3" xfId="0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 vertical="center"/>
    </xf>
    <xf numFmtId="0" fontId="2" fillId="10" borderId="5" xfId="0" applyFont="1" applyFill="1" applyBorder="1" applyAlignment="1">
      <alignment horizontal="center" vertical="center"/>
    </xf>
    <xf numFmtId="0" fontId="2" fillId="10" borderId="5" xfId="0" applyFont="1" applyFill="1" applyBorder="1"/>
    <xf numFmtId="0" fontId="2" fillId="10" borderId="8" xfId="0" applyFont="1" applyFill="1" applyBorder="1"/>
    <xf numFmtId="0" fontId="2" fillId="10" borderId="3" xfId="0" applyFont="1" applyFill="1" applyBorder="1" applyAlignment="1">
      <alignment horizontal="center" vertical="center"/>
    </xf>
    <xf numFmtId="0" fontId="2" fillId="4" borderId="0" xfId="0" applyFont="1" applyFill="1" applyBorder="1"/>
    <xf numFmtId="0" fontId="2" fillId="4" borderId="0" xfId="0" applyNumberFormat="1" applyFont="1" applyFill="1" applyBorder="1"/>
    <xf numFmtId="49" fontId="7" fillId="2" borderId="5" xfId="0" applyNumberFormat="1" applyFont="1" applyFill="1" applyBorder="1" applyAlignment="1">
      <alignment horizontal="center" vertical="center"/>
    </xf>
    <xf numFmtId="49" fontId="7" fillId="2" borderId="11" xfId="0" applyNumberFormat="1" applyFont="1" applyFill="1" applyBorder="1" applyAlignment="1">
      <alignment horizontal="center" vertical="center"/>
    </xf>
    <xf numFmtId="49" fontId="7" fillId="2" borderId="0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2" fontId="7" fillId="2" borderId="10" xfId="0" applyNumberFormat="1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2" fontId="7" fillId="2" borderId="7" xfId="0" applyNumberFormat="1" applyFont="1" applyFill="1" applyBorder="1" applyAlignment="1">
      <alignment horizontal="center" vertical="center"/>
    </xf>
    <xf numFmtId="0" fontId="4" fillId="4" borderId="12" xfId="0" applyFont="1" applyFill="1" applyBorder="1" applyAlignment="1">
      <alignment horizontal="center"/>
    </xf>
    <xf numFmtId="0" fontId="2" fillId="4" borderId="0" xfId="0" applyNumberFormat="1" applyFont="1" applyFill="1" applyBorder="1" applyAlignment="1">
      <alignment horizontal="center" vertical="center"/>
    </xf>
    <xf numFmtId="0" fontId="4" fillId="4" borderId="0" xfId="0" applyNumberFormat="1" applyFont="1" applyFill="1" applyBorder="1" applyAlignment="1">
      <alignment horizontal="center" vertical="center"/>
    </xf>
    <xf numFmtId="164" fontId="2" fillId="4" borderId="0" xfId="0" applyNumberFormat="1" applyFont="1" applyFill="1" applyBorder="1" applyAlignment="1">
      <alignment horizontal="center" vertical="center"/>
    </xf>
    <xf numFmtId="164" fontId="2" fillId="2" borderId="0" xfId="0" applyNumberFormat="1" applyFont="1" applyFill="1" applyBorder="1" applyAlignment="1">
      <alignment horizontal="center" vertical="center"/>
    </xf>
    <xf numFmtId="164" fontId="2" fillId="2" borderId="7" xfId="0" applyNumberFormat="1" applyFont="1" applyFill="1" applyBorder="1" applyAlignment="1">
      <alignment horizontal="center" vertical="center"/>
    </xf>
    <xf numFmtId="2" fontId="4" fillId="4" borderId="12" xfId="0" applyNumberFormat="1" applyFont="1" applyFill="1" applyBorder="1" applyAlignment="1">
      <alignment horizontal="center" vertical="center"/>
    </xf>
    <xf numFmtId="49" fontId="7" fillId="2" borderId="4" xfId="0" applyNumberFormat="1" applyFont="1" applyFill="1" applyBorder="1" applyAlignment="1">
      <alignment horizontal="center" vertical="center"/>
    </xf>
    <xf numFmtId="2" fontId="7" fillId="2" borderId="6" xfId="0" applyNumberFormat="1" applyFont="1" applyFill="1" applyBorder="1" applyAlignment="1">
      <alignment horizontal="center" vertical="center"/>
    </xf>
    <xf numFmtId="0" fontId="4" fillId="11" borderId="19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4" fillId="7" borderId="21" xfId="0" applyFont="1" applyFill="1" applyBorder="1" applyAlignment="1">
      <alignment horizontal="center" vertical="center"/>
    </xf>
    <xf numFmtId="2" fontId="4" fillId="7" borderId="21" xfId="0" applyNumberFormat="1" applyFont="1" applyFill="1" applyBorder="1" applyAlignment="1">
      <alignment horizontal="center" vertical="center"/>
    </xf>
    <xf numFmtId="0" fontId="4" fillId="7" borderId="21" xfId="0" applyNumberFormat="1" applyFont="1" applyFill="1" applyBorder="1" applyAlignment="1">
      <alignment horizontal="center" vertical="center"/>
    </xf>
    <xf numFmtId="0" fontId="12" fillId="6" borderId="9" xfId="0" applyFont="1" applyFill="1" applyBorder="1" applyAlignment="1">
      <alignment horizontal="center" vertical="center"/>
    </xf>
    <xf numFmtId="2" fontId="6" fillId="4" borderId="2" xfId="0" applyNumberFormat="1" applyFont="1" applyFill="1" applyBorder="1" applyAlignment="1">
      <alignment horizontal="center" vertical="center"/>
    </xf>
    <xf numFmtId="2" fontId="6" fillId="2" borderId="0" xfId="0" applyNumberFormat="1" applyFont="1" applyFill="1" applyBorder="1" applyAlignment="1">
      <alignment horizontal="center" vertical="center"/>
    </xf>
    <xf numFmtId="2" fontId="6" fillId="4" borderId="0" xfId="0" applyNumberFormat="1" applyFont="1" applyFill="1" applyBorder="1" applyAlignment="1">
      <alignment horizontal="center" vertical="center"/>
    </xf>
    <xf numFmtId="2" fontId="6" fillId="2" borderId="7" xfId="0" applyNumberFormat="1" applyFont="1" applyFill="1" applyBorder="1" applyAlignment="1">
      <alignment horizontal="center" vertical="center"/>
    </xf>
    <xf numFmtId="2" fontId="28" fillId="2" borderId="12" xfId="0" applyNumberFormat="1" applyFont="1" applyFill="1" applyBorder="1" applyAlignment="1">
      <alignment horizontal="center" vertical="center"/>
    </xf>
    <xf numFmtId="0" fontId="13" fillId="3" borderId="9" xfId="0" applyNumberFormat="1" applyFont="1" applyFill="1" applyBorder="1" applyAlignment="1">
      <alignment horizontal="center" vertical="center"/>
    </xf>
    <xf numFmtId="0" fontId="2" fillId="0" borderId="15" xfId="0" applyNumberFormat="1" applyFont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13" fillId="3" borderId="15" xfId="0" applyFont="1" applyFill="1" applyBorder="1" applyAlignment="1">
      <alignment horizontal="center" vertical="center"/>
    </xf>
    <xf numFmtId="2" fontId="6" fillId="2" borderId="15" xfId="0" applyNumberFormat="1" applyFont="1" applyFill="1" applyBorder="1" applyAlignment="1">
      <alignment horizontal="center" vertical="center"/>
    </xf>
    <xf numFmtId="2" fontId="6" fillId="4" borderId="4" xfId="0" applyNumberFormat="1" applyFont="1" applyFill="1" applyBorder="1" applyAlignment="1">
      <alignment horizontal="center" vertical="center"/>
    </xf>
    <xf numFmtId="2" fontId="6" fillId="4" borderId="15" xfId="0" applyNumberFormat="1" applyFont="1" applyFill="1" applyBorder="1" applyAlignment="1">
      <alignment horizontal="center" vertical="center"/>
    </xf>
    <xf numFmtId="2" fontId="2" fillId="9" borderId="1" xfId="0" applyNumberFormat="1" applyFont="1" applyFill="1" applyBorder="1" applyAlignment="1">
      <alignment horizontal="center" vertical="center"/>
    </xf>
    <xf numFmtId="2" fontId="2" fillId="9" borderId="4" xfId="0" applyNumberFormat="1" applyFont="1" applyFill="1" applyBorder="1" applyAlignment="1">
      <alignment horizontal="center" vertical="center"/>
    </xf>
    <xf numFmtId="2" fontId="2" fillId="10" borderId="1" xfId="0" applyNumberFormat="1" applyFont="1" applyFill="1" applyBorder="1" applyAlignment="1">
      <alignment horizontal="center" vertical="center"/>
    </xf>
    <xf numFmtId="2" fontId="2" fillId="10" borderId="4" xfId="0" applyNumberFormat="1" applyFont="1" applyFill="1" applyBorder="1" applyAlignment="1">
      <alignment horizontal="center" vertical="center"/>
    </xf>
    <xf numFmtId="2" fontId="2" fillId="10" borderId="4" xfId="0" applyNumberFormat="1" applyFont="1" applyFill="1" applyBorder="1"/>
    <xf numFmtId="2" fontId="2" fillId="10" borderId="6" xfId="0" applyNumberFormat="1" applyFont="1" applyFill="1" applyBorder="1"/>
    <xf numFmtId="2" fontId="4" fillId="11" borderId="18" xfId="0" applyNumberFormat="1" applyFont="1" applyFill="1" applyBorder="1" applyAlignment="1">
      <alignment horizontal="center" vertical="center"/>
    </xf>
    <xf numFmtId="2" fontId="2" fillId="4" borderId="16" xfId="0" applyNumberFormat="1" applyFont="1" applyFill="1" applyBorder="1" applyAlignment="1">
      <alignment horizontal="center" vertical="center"/>
    </xf>
    <xf numFmtId="2" fontId="2" fillId="2" borderId="16" xfId="0" applyNumberFormat="1" applyFont="1" applyFill="1" applyBorder="1" applyAlignment="1">
      <alignment horizontal="center" vertical="center"/>
    </xf>
    <xf numFmtId="2" fontId="2" fillId="2" borderId="17" xfId="0" applyNumberFormat="1" applyFont="1" applyFill="1" applyBorder="1" applyAlignment="1">
      <alignment horizontal="center" vertical="center"/>
    </xf>
    <xf numFmtId="2" fontId="4" fillId="4" borderId="0" xfId="0" applyNumberFormat="1" applyFont="1" applyFill="1" applyBorder="1" applyAlignment="1">
      <alignment horizontal="center" vertical="center"/>
    </xf>
    <xf numFmtId="2" fontId="2" fillId="4" borderId="0" xfId="0" applyNumberFormat="1" applyFont="1" applyFill="1" applyBorder="1"/>
    <xf numFmtId="2" fontId="2" fillId="7" borderId="2" xfId="0" applyNumberFormat="1" applyFont="1" applyFill="1" applyBorder="1" applyAlignment="1">
      <alignment horizontal="center" vertical="center"/>
    </xf>
    <xf numFmtId="2" fontId="2" fillId="7" borderId="0" xfId="0" applyNumberFormat="1" applyFont="1" applyFill="1" applyBorder="1" applyAlignment="1">
      <alignment horizontal="center" vertical="center"/>
    </xf>
    <xf numFmtId="2" fontId="2" fillId="7" borderId="0" xfId="0" applyNumberFormat="1" applyFont="1" applyFill="1" applyBorder="1"/>
    <xf numFmtId="2" fontId="2" fillId="7" borderId="7" xfId="0" applyNumberFormat="1" applyFont="1" applyFill="1" applyBorder="1"/>
    <xf numFmtId="2" fontId="2" fillId="4" borderId="2" xfId="0" applyNumberFormat="1" applyFont="1" applyFill="1" applyBorder="1" applyAlignment="1">
      <alignment horizontal="center" vertical="center"/>
    </xf>
    <xf numFmtId="2" fontId="2" fillId="4" borderId="0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12" fillId="6" borderId="2" xfId="0" applyNumberFormat="1" applyFont="1" applyFill="1" applyBorder="1" applyAlignment="1">
      <alignment horizontal="center" vertical="center"/>
    </xf>
    <xf numFmtId="2" fontId="14" fillId="4" borderId="1" xfId="0" applyNumberFormat="1" applyFont="1" applyFill="1" applyBorder="1" applyAlignment="1">
      <alignment horizontal="center" vertical="center" wrapText="1"/>
    </xf>
    <xf numFmtId="2" fontId="14" fillId="2" borderId="4" xfId="0" applyNumberFormat="1" applyFont="1" applyFill="1" applyBorder="1" applyAlignment="1">
      <alignment horizontal="center" vertical="center" wrapText="1"/>
    </xf>
    <xf numFmtId="2" fontId="14" fillId="4" borderId="4" xfId="0" applyNumberFormat="1" applyFont="1" applyFill="1" applyBorder="1" applyAlignment="1">
      <alignment horizontal="center" vertical="center" wrapText="1"/>
    </xf>
    <xf numFmtId="2" fontId="14" fillId="2" borderId="6" xfId="0" applyNumberFormat="1" applyFont="1" applyFill="1" applyBorder="1" applyAlignment="1">
      <alignment horizontal="center" vertical="center" wrapText="1"/>
    </xf>
    <xf numFmtId="2" fontId="14" fillId="4" borderId="2" xfId="0" applyNumberFormat="1" applyFont="1" applyFill="1" applyBorder="1" applyAlignment="1">
      <alignment horizontal="center" vertical="center" wrapText="1"/>
    </xf>
    <xf numFmtId="2" fontId="14" fillId="2" borderId="0" xfId="0" applyNumberFormat="1" applyFont="1" applyFill="1" applyBorder="1" applyAlignment="1">
      <alignment horizontal="center" vertical="center" wrapText="1"/>
    </xf>
    <xf numFmtId="2" fontId="14" fillId="4" borderId="0" xfId="0" applyNumberFormat="1" applyFont="1" applyFill="1" applyBorder="1" applyAlignment="1">
      <alignment horizontal="center" vertical="center" wrapText="1"/>
    </xf>
    <xf numFmtId="2" fontId="14" fillId="2" borderId="7" xfId="0" applyNumberFormat="1" applyFont="1" applyFill="1" applyBorder="1" applyAlignment="1">
      <alignment horizontal="center" vertical="center" wrapText="1"/>
    </xf>
    <xf numFmtId="2" fontId="12" fillId="6" borderId="0" xfId="0" applyNumberFormat="1" applyFont="1" applyFill="1" applyAlignment="1">
      <alignment horizontal="center" vertical="center"/>
    </xf>
    <xf numFmtId="2" fontId="12" fillId="6" borderId="15" xfId="0" applyNumberFormat="1" applyFont="1" applyFill="1" applyBorder="1" applyAlignment="1">
      <alignment horizontal="center" vertical="center"/>
    </xf>
    <xf numFmtId="2" fontId="12" fillId="6" borderId="1" xfId="0" applyNumberFormat="1" applyFont="1" applyFill="1" applyBorder="1" applyAlignment="1">
      <alignment horizontal="center" vertical="center"/>
    </xf>
    <xf numFmtId="2" fontId="14" fillId="5" borderId="4" xfId="0" applyNumberFormat="1" applyFont="1" applyFill="1" applyBorder="1" applyAlignment="1">
      <alignment horizontal="center" vertical="center" wrapText="1"/>
    </xf>
    <xf numFmtId="0" fontId="27" fillId="12" borderId="1" xfId="0" applyFont="1" applyFill="1" applyBorder="1" applyAlignment="1">
      <alignment horizontal="center" vertical="center"/>
    </xf>
    <xf numFmtId="0" fontId="27" fillId="12" borderId="2" xfId="0" applyFont="1" applyFill="1" applyBorder="1" applyAlignment="1">
      <alignment horizontal="center" vertical="center"/>
    </xf>
    <xf numFmtId="0" fontId="27" fillId="12" borderId="3" xfId="0" applyFont="1" applyFill="1" applyBorder="1" applyAlignment="1">
      <alignment horizontal="center" vertical="center"/>
    </xf>
    <xf numFmtId="0" fontId="27" fillId="12" borderId="4" xfId="0" applyFont="1" applyFill="1" applyBorder="1" applyAlignment="1">
      <alignment horizontal="center" vertical="center"/>
    </xf>
    <xf numFmtId="0" fontId="27" fillId="12" borderId="0" xfId="0" applyFont="1" applyFill="1" applyBorder="1" applyAlignment="1">
      <alignment horizontal="center" vertical="center"/>
    </xf>
    <xf numFmtId="0" fontId="27" fillId="12" borderId="5" xfId="0" applyFont="1" applyFill="1" applyBorder="1" applyAlignment="1">
      <alignment horizontal="center" vertical="center"/>
    </xf>
    <xf numFmtId="0" fontId="27" fillId="12" borderId="6" xfId="0" applyFont="1" applyFill="1" applyBorder="1" applyAlignment="1">
      <alignment horizontal="center" vertical="center"/>
    </xf>
    <xf numFmtId="0" fontId="27" fillId="12" borderId="7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4" fillId="11" borderId="19" xfId="0" applyFont="1" applyFill="1" applyBorder="1" applyAlignment="1">
      <alignment horizontal="center" vertical="center"/>
    </xf>
    <xf numFmtId="0" fontId="4" fillId="11" borderId="2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49" fontId="24" fillId="4" borderId="12" xfId="0" applyNumberFormat="1" applyFont="1" applyFill="1" applyBorder="1" applyAlignment="1">
      <alignment horizontal="center"/>
    </xf>
    <xf numFmtId="49" fontId="24" fillId="4" borderId="13" xfId="0" applyNumberFormat="1" applyFont="1" applyFill="1" applyBorder="1" applyAlignment="1">
      <alignment horizontal="center"/>
    </xf>
    <xf numFmtId="49" fontId="24" fillId="4" borderId="14" xfId="0" applyNumberFormat="1" applyFont="1" applyFill="1" applyBorder="1" applyAlignment="1">
      <alignment horizontal="center"/>
    </xf>
    <xf numFmtId="0" fontId="23" fillId="4" borderId="12" xfId="0" applyFont="1" applyFill="1" applyBorder="1" applyAlignment="1">
      <alignment horizontal="center"/>
    </xf>
    <xf numFmtId="0" fontId="23" fillId="4" borderId="13" xfId="0" applyFont="1" applyFill="1" applyBorder="1" applyAlignment="1">
      <alignment horizontal="center"/>
    </xf>
    <xf numFmtId="0" fontId="23" fillId="4" borderId="7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 vertical="center"/>
    </xf>
    <xf numFmtId="49" fontId="2" fillId="2" borderId="0" xfId="0" applyNumberFormat="1" applyFont="1" applyFill="1" applyBorder="1" applyAlignment="1">
      <alignment horizontal="center" vertical="center"/>
    </xf>
    <xf numFmtId="49" fontId="2" fillId="4" borderId="0" xfId="0" applyNumberFormat="1" applyFont="1" applyFill="1" applyBorder="1" applyAlignment="1">
      <alignment horizontal="center" vertical="center"/>
    </xf>
    <xf numFmtId="49" fontId="2" fillId="2" borderId="7" xfId="0" applyNumberFormat="1" applyFont="1" applyFill="1" applyBorder="1" applyAlignment="1">
      <alignment horizontal="center" vertical="center"/>
    </xf>
    <xf numFmtId="0" fontId="4" fillId="4" borderId="12" xfId="0" applyFont="1" applyFill="1" applyBorder="1" applyAlignment="1">
      <alignment horizontal="center" vertical="center"/>
    </xf>
    <xf numFmtId="0" fontId="4" fillId="4" borderId="14" xfId="0" applyFont="1" applyFill="1" applyBorder="1" applyAlignment="1">
      <alignment horizontal="center" vertical="center"/>
    </xf>
    <xf numFmtId="2" fontId="4" fillId="2" borderId="1" xfId="0" applyNumberFormat="1" applyFont="1" applyFill="1" applyBorder="1" applyAlignment="1">
      <alignment horizontal="center" vertical="center"/>
    </xf>
    <xf numFmtId="2" fontId="4" fillId="2" borderId="2" xfId="0" applyNumberFormat="1" applyFont="1" applyFill="1" applyBorder="1" applyAlignment="1">
      <alignment horizontal="center" vertical="center"/>
    </xf>
    <xf numFmtId="2" fontId="4" fillId="2" borderId="4" xfId="0" applyNumberFormat="1" applyFont="1" applyFill="1" applyBorder="1" applyAlignment="1">
      <alignment horizontal="center" vertical="center"/>
    </xf>
    <xf numFmtId="2" fontId="4" fillId="2" borderId="0" xfId="0" applyNumberFormat="1" applyFont="1" applyFill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49" fontId="5" fillId="2" borderId="1" xfId="0" applyNumberFormat="1" applyFont="1" applyFill="1" applyBorder="1" applyAlignment="1">
      <alignment horizontal="center" vertical="center"/>
    </xf>
    <xf numFmtId="49" fontId="5" fillId="2" borderId="2" xfId="0" applyNumberFormat="1" applyFont="1" applyFill="1" applyBorder="1" applyAlignment="1">
      <alignment horizontal="center" vertical="center"/>
    </xf>
    <xf numFmtId="49" fontId="5" fillId="2" borderId="3" xfId="0" applyNumberFormat="1" applyFont="1" applyFill="1" applyBorder="1" applyAlignment="1">
      <alignment horizontal="center" vertical="center"/>
    </xf>
    <xf numFmtId="49" fontId="5" fillId="2" borderId="6" xfId="0" applyNumberFormat="1" applyFont="1" applyFill="1" applyBorder="1" applyAlignment="1">
      <alignment horizontal="center" vertical="center"/>
    </xf>
    <xf numFmtId="49" fontId="5" fillId="2" borderId="7" xfId="0" applyNumberFormat="1" applyFont="1" applyFill="1" applyBorder="1" applyAlignment="1">
      <alignment horizontal="center" vertical="center"/>
    </xf>
    <xf numFmtId="49" fontId="5" fillId="2" borderId="8" xfId="0" applyNumberFormat="1" applyFont="1" applyFill="1" applyBorder="1" applyAlignment="1">
      <alignment horizontal="center" vertical="center"/>
    </xf>
    <xf numFmtId="2" fontId="5" fillId="2" borderId="11" xfId="0" applyNumberFormat="1" applyFont="1" applyFill="1" applyBorder="1" applyAlignment="1">
      <alignment horizontal="center" vertical="center"/>
    </xf>
    <xf numFmtId="2" fontId="5" fillId="2" borderId="5" xfId="0" applyNumberFormat="1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 textRotation="90" wrapText="1"/>
    </xf>
    <xf numFmtId="2" fontId="2" fillId="2" borderId="1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2" fontId="15" fillId="0" borderId="11" xfId="0" applyNumberFormat="1" applyFont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 textRotation="255" wrapText="1"/>
    </xf>
    <xf numFmtId="0" fontId="9" fillId="3" borderId="4" xfId="0" applyFont="1" applyFill="1" applyBorder="1" applyAlignment="1">
      <alignment horizontal="center" vertical="center" textRotation="255" wrapText="1"/>
    </xf>
    <xf numFmtId="0" fontId="9" fillId="3" borderId="6" xfId="0" applyFont="1" applyFill="1" applyBorder="1" applyAlignment="1">
      <alignment horizontal="center" vertical="center" textRotation="255" wrapText="1"/>
    </xf>
    <xf numFmtId="0" fontId="11" fillId="3" borderId="3" xfId="0" applyFont="1" applyFill="1" applyBorder="1" applyAlignment="1">
      <alignment horizontal="center" vertical="center" textRotation="90"/>
    </xf>
    <xf numFmtId="0" fontId="11" fillId="3" borderId="5" xfId="0" applyFont="1" applyFill="1" applyBorder="1" applyAlignment="1">
      <alignment horizontal="center" vertical="center" textRotation="90"/>
    </xf>
    <xf numFmtId="0" fontId="11" fillId="3" borderId="8" xfId="0" applyFont="1" applyFill="1" applyBorder="1" applyAlignment="1">
      <alignment horizontal="center" vertical="center" textRotation="90"/>
    </xf>
    <xf numFmtId="2" fontId="16" fillId="0" borderId="9" xfId="0" applyNumberFormat="1" applyFont="1" applyBorder="1" applyAlignment="1">
      <alignment horizontal="center" vertical="center"/>
    </xf>
    <xf numFmtId="2" fontId="16" fillId="0" borderId="11" xfId="0" applyNumberFormat="1" applyFont="1" applyBorder="1" applyAlignment="1">
      <alignment horizontal="center" vertical="center"/>
    </xf>
    <xf numFmtId="2" fontId="16" fillId="0" borderId="10" xfId="0" applyNumberFormat="1" applyFont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10" fillId="3" borderId="0" xfId="0" applyFont="1" applyFill="1" applyAlignment="1">
      <alignment horizontal="center" vertical="center" textRotation="255" wrapText="1"/>
    </xf>
    <xf numFmtId="0" fontId="8" fillId="4" borderId="7" xfId="0" applyFont="1" applyFill="1" applyBorder="1" applyAlignment="1">
      <alignment horizontal="center" vertical="center"/>
    </xf>
    <xf numFmtId="2" fontId="19" fillId="2" borderId="1" xfId="0" applyNumberFormat="1" applyFont="1" applyFill="1" applyBorder="1" applyAlignment="1">
      <alignment horizontal="center" vertical="center"/>
    </xf>
    <xf numFmtId="2" fontId="4" fillId="2" borderId="6" xfId="0" applyNumberFormat="1" applyFont="1" applyFill="1" applyBorder="1" applyAlignment="1">
      <alignment horizontal="center" vertical="center"/>
    </xf>
    <xf numFmtId="2" fontId="4" fillId="2" borderId="7" xfId="0" applyNumberFormat="1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 textRotation="255" wrapText="1"/>
    </xf>
    <xf numFmtId="0" fontId="10" fillId="3" borderId="6" xfId="0" applyFont="1" applyFill="1" applyBorder="1" applyAlignment="1">
      <alignment horizontal="center" vertical="center" textRotation="255" wrapText="1"/>
    </xf>
    <xf numFmtId="2" fontId="4" fillId="2" borderId="3" xfId="0" applyNumberFormat="1" applyFont="1" applyFill="1" applyBorder="1" applyAlignment="1">
      <alignment horizontal="center" vertical="center"/>
    </xf>
    <xf numFmtId="2" fontId="4" fillId="2" borderId="8" xfId="0" applyNumberFormat="1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2" fillId="2" borderId="2" xfId="0" applyNumberFormat="1" applyFont="1" applyFill="1" applyBorder="1" applyAlignment="1">
      <alignment horizontal="center" vertical="center"/>
    </xf>
    <xf numFmtId="0" fontId="2" fillId="2" borderId="3" xfId="0" applyNumberFormat="1" applyFont="1" applyFill="1" applyBorder="1" applyAlignment="1">
      <alignment horizontal="center" vertical="center"/>
    </xf>
    <xf numFmtId="0" fontId="2" fillId="2" borderId="6" xfId="0" applyNumberFormat="1" applyFont="1" applyFill="1" applyBorder="1" applyAlignment="1">
      <alignment horizontal="center" vertical="center"/>
    </xf>
    <xf numFmtId="0" fontId="2" fillId="2" borderId="7" xfId="0" applyNumberFormat="1" applyFont="1" applyFill="1" applyBorder="1" applyAlignment="1">
      <alignment horizontal="center" vertical="center"/>
    </xf>
    <xf numFmtId="0" fontId="2" fillId="2" borderId="8" xfId="0" applyNumberFormat="1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11" fillId="3" borderId="9" xfId="0" applyFont="1" applyFill="1" applyBorder="1" applyAlignment="1">
      <alignment horizontal="center" vertical="center" textRotation="90"/>
    </xf>
    <xf numFmtId="0" fontId="11" fillId="3" borderId="11" xfId="0" applyFont="1" applyFill="1" applyBorder="1" applyAlignment="1">
      <alignment horizontal="center" vertical="center" textRotation="90"/>
    </xf>
    <xf numFmtId="0" fontId="11" fillId="3" borderId="10" xfId="0" applyFont="1" applyFill="1" applyBorder="1" applyAlignment="1">
      <alignment horizontal="center" vertical="center" textRotation="90"/>
    </xf>
    <xf numFmtId="0" fontId="2" fillId="4" borderId="0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 vertical="center" textRotation="255" wrapText="1"/>
    </xf>
    <xf numFmtId="0" fontId="9" fillId="3" borderId="0" xfId="0" applyFont="1" applyFill="1" applyBorder="1" applyAlignment="1">
      <alignment horizontal="center" vertical="center" textRotation="255" wrapText="1"/>
    </xf>
    <xf numFmtId="0" fontId="9" fillId="3" borderId="0" xfId="0" applyFont="1" applyFill="1" applyAlignment="1">
      <alignment horizontal="center" vertical="center" textRotation="255" wrapText="1"/>
    </xf>
    <xf numFmtId="0" fontId="11" fillId="3" borderId="3" xfId="0" applyFont="1" applyFill="1" applyBorder="1" applyAlignment="1">
      <alignment vertical="center" textRotation="90"/>
    </xf>
    <xf numFmtId="0" fontId="11" fillId="3" borderId="5" xfId="0" applyFont="1" applyFill="1" applyBorder="1" applyAlignment="1">
      <alignment vertical="center" textRotation="90"/>
    </xf>
    <xf numFmtId="0" fontId="11" fillId="3" borderId="8" xfId="0" applyFont="1" applyFill="1" applyBorder="1" applyAlignment="1">
      <alignment vertical="center" textRotation="90"/>
    </xf>
    <xf numFmtId="0" fontId="6" fillId="7" borderId="9" xfId="0" applyFont="1" applyFill="1" applyBorder="1" applyAlignment="1">
      <alignment horizontal="center" vertical="center"/>
    </xf>
    <xf numFmtId="0" fontId="6" fillId="7" borderId="11" xfId="0" applyFont="1" applyFill="1" applyBorder="1" applyAlignment="1">
      <alignment horizontal="center" vertical="center"/>
    </xf>
    <xf numFmtId="0" fontId="6" fillId="7" borderId="10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 textRotation="90" wrapText="1"/>
    </xf>
    <xf numFmtId="0" fontId="10" fillId="3" borderId="6" xfId="0" applyFont="1" applyFill="1" applyBorder="1" applyAlignment="1">
      <alignment horizontal="center" vertical="center" textRotation="90" wrapText="1"/>
    </xf>
  </cellXfs>
  <cellStyles count="1">
    <cellStyle name="Standard" xfId="0" builtinId="0"/>
  </cellStyles>
  <dxfs count="917">
    <dxf>
      <fill>
        <patternFill patternType="lightUp">
          <fgColor rgb="FF7030A0"/>
          <bgColor auto="1"/>
        </patternFill>
      </fill>
    </dxf>
    <dxf>
      <fill>
        <patternFill>
          <bgColor rgb="FFFF0000"/>
        </patternFill>
      </fill>
    </dxf>
    <dxf>
      <font>
        <strike val="0"/>
        <color theme="7" tint="0.79998168889431442"/>
      </font>
      <fill>
        <patternFill>
          <bgColor rgb="FF00B0F0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 patternType="lightUp">
          <fgColor rgb="FF7030A0"/>
          <bgColor auto="1"/>
        </patternFill>
      </fill>
    </dxf>
    <dxf>
      <fill>
        <patternFill>
          <bgColor rgb="FFFF0000"/>
        </patternFill>
      </fill>
    </dxf>
    <dxf>
      <font>
        <strike val="0"/>
        <color theme="7" tint="0.79998168889431442"/>
      </font>
      <fill>
        <patternFill>
          <bgColor rgb="FF00B0F0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 patternType="lightUp">
          <fgColor rgb="FF7030A0"/>
          <bgColor auto="1"/>
        </patternFill>
      </fill>
    </dxf>
    <dxf>
      <fill>
        <patternFill>
          <bgColor rgb="FFFF0000"/>
        </patternFill>
      </fill>
    </dxf>
    <dxf>
      <font>
        <strike val="0"/>
        <color theme="7" tint="0.79998168889431442"/>
      </font>
      <fill>
        <patternFill>
          <bgColor rgb="FF00B0F0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 patternType="lightUp">
          <fgColor rgb="FF7030A0"/>
          <bgColor auto="1"/>
        </patternFill>
      </fill>
    </dxf>
    <dxf>
      <fill>
        <patternFill>
          <bgColor rgb="FFFF0000"/>
        </patternFill>
      </fill>
    </dxf>
    <dxf>
      <font>
        <strike val="0"/>
        <color theme="7" tint="0.79998168889431442"/>
      </font>
      <fill>
        <patternFill>
          <bgColor rgb="FF00B0F0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 patternType="lightUp">
          <fgColor rgb="FF7030A0"/>
          <bgColor auto="1"/>
        </patternFill>
      </fill>
    </dxf>
    <dxf>
      <fill>
        <patternFill>
          <bgColor rgb="FFFF0000"/>
        </patternFill>
      </fill>
    </dxf>
    <dxf>
      <font>
        <strike val="0"/>
        <color theme="7" tint="0.79998168889431442"/>
      </font>
      <fill>
        <patternFill>
          <bgColor rgb="FF00B0F0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 patternType="lightUp">
          <fgColor rgb="FF7030A0"/>
          <bgColor auto="1"/>
        </patternFill>
      </fill>
    </dxf>
    <dxf>
      <fill>
        <patternFill>
          <bgColor rgb="FFFF0000"/>
        </patternFill>
      </fill>
    </dxf>
    <dxf>
      <font>
        <strike val="0"/>
        <color theme="7" tint="0.79998168889431442"/>
      </font>
      <fill>
        <patternFill>
          <bgColor rgb="FF00B0F0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 patternType="lightUp">
          <fgColor rgb="FF7030A0"/>
          <bgColor auto="1"/>
        </patternFill>
      </fill>
    </dxf>
    <dxf>
      <fill>
        <patternFill>
          <bgColor rgb="FFFF0000"/>
        </patternFill>
      </fill>
    </dxf>
    <dxf>
      <font>
        <strike val="0"/>
        <color theme="7" tint="0.79998168889431442"/>
      </font>
      <fill>
        <patternFill>
          <bgColor rgb="FF00B0F0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 patternType="lightUp">
          <fgColor rgb="FF7030A0"/>
          <bgColor auto="1"/>
        </patternFill>
      </fill>
    </dxf>
    <dxf>
      <fill>
        <patternFill>
          <bgColor rgb="FFFF0000"/>
        </patternFill>
      </fill>
    </dxf>
    <dxf>
      <font>
        <strike val="0"/>
        <color theme="7" tint="0.79998168889431442"/>
      </font>
      <fill>
        <patternFill>
          <bgColor rgb="FF00B0F0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 patternType="lightUp">
          <fgColor rgb="FF7030A0"/>
          <bgColor auto="1"/>
        </patternFill>
      </fill>
    </dxf>
    <dxf>
      <fill>
        <patternFill>
          <bgColor rgb="FFFF0000"/>
        </patternFill>
      </fill>
    </dxf>
    <dxf>
      <font>
        <strike val="0"/>
        <color theme="7" tint="0.79998168889431442"/>
      </font>
      <fill>
        <patternFill>
          <bgColor rgb="FF00B0F0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 patternType="lightUp">
          <fgColor rgb="FF7030A0"/>
          <bgColor auto="1"/>
        </patternFill>
      </fill>
    </dxf>
    <dxf>
      <fill>
        <patternFill>
          <bgColor rgb="FFFF0000"/>
        </patternFill>
      </fill>
    </dxf>
    <dxf>
      <font>
        <strike val="0"/>
        <color theme="7" tint="0.79998168889431442"/>
      </font>
      <fill>
        <patternFill>
          <bgColor rgb="FF00B0F0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 patternType="lightUp">
          <fgColor rgb="FF7030A0"/>
          <bgColor auto="1"/>
        </patternFill>
      </fill>
    </dxf>
    <dxf>
      <fill>
        <patternFill>
          <bgColor rgb="FFFF0000"/>
        </patternFill>
      </fill>
    </dxf>
    <dxf>
      <font>
        <strike val="0"/>
        <color theme="7" tint="0.79998168889431442"/>
      </font>
      <fill>
        <patternFill>
          <bgColor rgb="FF00B0F0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 patternType="lightUp">
          <fgColor rgb="FF7030A0"/>
          <bgColor auto="1"/>
        </patternFill>
      </fill>
    </dxf>
    <dxf>
      <fill>
        <patternFill>
          <bgColor rgb="FFFF0000"/>
        </patternFill>
      </fill>
    </dxf>
    <dxf>
      <font>
        <strike val="0"/>
        <color theme="7" tint="0.79998168889431442"/>
      </font>
      <fill>
        <patternFill>
          <bgColor rgb="FF00B0F0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 patternType="lightUp">
          <fgColor rgb="FF7030A0"/>
          <bgColor auto="1"/>
        </patternFill>
      </fill>
    </dxf>
    <dxf>
      <fill>
        <patternFill>
          <bgColor rgb="FFFF0000"/>
        </patternFill>
      </fill>
    </dxf>
    <dxf>
      <font>
        <strike val="0"/>
        <color theme="7" tint="0.79998168889431442"/>
      </font>
      <fill>
        <patternFill>
          <bgColor rgb="FF00B0F0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 patternType="lightUp">
          <fgColor rgb="FF7030A0"/>
          <bgColor auto="1"/>
        </patternFill>
      </fill>
    </dxf>
    <dxf>
      <fill>
        <patternFill>
          <bgColor rgb="FFFF0000"/>
        </patternFill>
      </fill>
    </dxf>
    <dxf>
      <font>
        <strike val="0"/>
        <color theme="7" tint="0.79998168889431442"/>
      </font>
      <fill>
        <patternFill>
          <bgColor rgb="FF00B0F0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 patternType="lightUp">
          <fgColor rgb="FF7030A0"/>
          <bgColor auto="1"/>
        </patternFill>
      </fill>
    </dxf>
    <dxf>
      <fill>
        <patternFill>
          <bgColor rgb="FFFF0000"/>
        </patternFill>
      </fill>
    </dxf>
    <dxf>
      <font>
        <strike val="0"/>
        <color theme="7" tint="0.79998168889431442"/>
      </font>
      <fill>
        <patternFill>
          <bgColor rgb="FF00B0F0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 patternType="lightUp">
          <fgColor rgb="FF7030A0"/>
          <bgColor auto="1"/>
        </patternFill>
      </fill>
    </dxf>
    <dxf>
      <fill>
        <patternFill>
          <bgColor rgb="FFFF0000"/>
        </patternFill>
      </fill>
    </dxf>
    <dxf>
      <font>
        <strike val="0"/>
        <color theme="7" tint="0.79998168889431442"/>
      </font>
      <fill>
        <patternFill>
          <bgColor rgb="FF00B0F0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 patternType="lightUp">
          <fgColor rgb="FF7030A0"/>
          <bgColor auto="1"/>
        </patternFill>
      </fill>
    </dxf>
    <dxf>
      <fill>
        <patternFill>
          <bgColor rgb="FFFF0000"/>
        </patternFill>
      </fill>
    </dxf>
    <dxf>
      <font>
        <strike val="0"/>
        <color theme="7" tint="0.79998168889431442"/>
      </font>
      <fill>
        <patternFill>
          <bgColor rgb="FF00B0F0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 patternType="lightUp">
          <fgColor rgb="FF7030A0"/>
          <bgColor auto="1"/>
        </patternFill>
      </fill>
    </dxf>
    <dxf>
      <fill>
        <patternFill>
          <bgColor rgb="FFFF0000"/>
        </patternFill>
      </fill>
    </dxf>
    <dxf>
      <font>
        <strike val="0"/>
        <color theme="7" tint="0.79998168889431442"/>
      </font>
      <fill>
        <patternFill>
          <bgColor rgb="FF00B0F0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 patternType="lightUp">
          <fgColor rgb="FF7030A0"/>
          <bgColor auto="1"/>
        </patternFill>
      </fill>
    </dxf>
    <dxf>
      <fill>
        <patternFill>
          <bgColor rgb="FFFF0000"/>
        </patternFill>
      </fill>
    </dxf>
    <dxf>
      <font>
        <strike val="0"/>
        <color theme="7" tint="0.79998168889431442"/>
      </font>
      <fill>
        <patternFill>
          <bgColor rgb="FF00B0F0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 patternType="lightUp">
          <fgColor rgb="FF7030A0"/>
          <bgColor auto="1"/>
        </patternFill>
      </fill>
    </dxf>
    <dxf>
      <fill>
        <patternFill>
          <bgColor rgb="FFFF0000"/>
        </patternFill>
      </fill>
    </dxf>
    <dxf>
      <font>
        <strike val="0"/>
        <color theme="7" tint="0.79998168889431442"/>
      </font>
      <fill>
        <patternFill>
          <bgColor rgb="FF00B0F0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 patternType="lightUp">
          <fgColor rgb="FF7030A0"/>
          <bgColor auto="1"/>
        </patternFill>
      </fill>
    </dxf>
    <dxf>
      <fill>
        <patternFill>
          <bgColor rgb="FFFF0000"/>
        </patternFill>
      </fill>
    </dxf>
    <dxf>
      <font>
        <strike val="0"/>
        <color theme="7" tint="0.79998168889431442"/>
      </font>
      <fill>
        <patternFill>
          <bgColor rgb="FF00B0F0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 patternType="lightUp">
          <fgColor rgb="FF7030A0"/>
          <bgColor auto="1"/>
        </patternFill>
      </fill>
    </dxf>
    <dxf>
      <fill>
        <patternFill>
          <bgColor rgb="FFFF0000"/>
        </patternFill>
      </fill>
    </dxf>
    <dxf>
      <font>
        <strike val="0"/>
        <color theme="7" tint="0.79998168889431442"/>
      </font>
      <fill>
        <patternFill>
          <bgColor rgb="FF00B0F0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 patternType="lightUp">
          <fgColor rgb="FF7030A0"/>
          <bgColor auto="1"/>
        </patternFill>
      </fill>
    </dxf>
    <dxf>
      <fill>
        <patternFill>
          <bgColor rgb="FFFF0000"/>
        </patternFill>
      </fill>
    </dxf>
    <dxf>
      <font>
        <strike val="0"/>
        <color theme="7" tint="0.79998168889431442"/>
      </font>
      <fill>
        <patternFill>
          <bgColor rgb="FF00B0F0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 patternType="lightUp">
          <fgColor rgb="FF7030A0"/>
          <bgColor auto="1"/>
        </patternFill>
      </fill>
    </dxf>
    <dxf>
      <fill>
        <patternFill>
          <bgColor rgb="FFFF0000"/>
        </patternFill>
      </fill>
    </dxf>
    <dxf>
      <font>
        <strike val="0"/>
        <color theme="7" tint="0.79998168889431442"/>
      </font>
      <fill>
        <patternFill>
          <bgColor rgb="FF00B0F0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 patternType="lightUp">
          <fgColor rgb="FF7030A0"/>
          <bgColor auto="1"/>
        </patternFill>
      </fill>
    </dxf>
    <dxf>
      <fill>
        <patternFill>
          <bgColor rgb="FFFF0000"/>
        </patternFill>
      </fill>
    </dxf>
    <dxf>
      <font>
        <strike val="0"/>
        <color theme="7" tint="0.79998168889431442"/>
      </font>
      <fill>
        <patternFill>
          <bgColor rgb="FF00B0F0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 patternType="lightUp">
          <fgColor rgb="FF7030A0"/>
          <bgColor auto="1"/>
        </patternFill>
      </fill>
    </dxf>
    <dxf>
      <fill>
        <patternFill>
          <bgColor rgb="FFFF0000"/>
        </patternFill>
      </fill>
    </dxf>
    <dxf>
      <font>
        <strike val="0"/>
        <color theme="7" tint="0.79998168889431442"/>
      </font>
      <fill>
        <patternFill>
          <bgColor rgb="FF00B0F0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 patternType="lightUp">
          <fgColor rgb="FF7030A0"/>
          <bgColor auto="1"/>
        </patternFill>
      </fill>
    </dxf>
    <dxf>
      <fill>
        <patternFill>
          <bgColor rgb="FFFF0000"/>
        </patternFill>
      </fill>
    </dxf>
    <dxf>
      <font>
        <strike val="0"/>
        <color theme="7" tint="0.79998168889431442"/>
      </font>
      <fill>
        <patternFill>
          <bgColor rgb="FF00B0F0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 patternType="lightUp">
          <fgColor rgb="FF7030A0"/>
          <bgColor auto="1"/>
        </patternFill>
      </fill>
    </dxf>
    <dxf>
      <fill>
        <patternFill>
          <bgColor rgb="FFFF0000"/>
        </patternFill>
      </fill>
    </dxf>
    <dxf>
      <font>
        <strike val="0"/>
        <color theme="7" tint="0.79998168889431442"/>
      </font>
      <fill>
        <patternFill>
          <bgColor rgb="FF00B0F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ill>
        <patternFill patternType="lightUp">
          <fgColor rgb="FF7030A0"/>
          <bgColor auto="1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lightUp">
          <fgColor rgb="FF7030A0"/>
          <bgColor auto="1"/>
        </patternFill>
      </fill>
    </dxf>
    <dxf>
      <fill>
        <patternFill>
          <bgColor rgb="FFFF0000"/>
        </patternFill>
      </fill>
    </dxf>
    <dxf>
      <font>
        <strike val="0"/>
        <color theme="7" tint="0.79998168889431442"/>
      </font>
      <fill>
        <patternFill>
          <bgColor rgb="FF00B0F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ill>
        <patternFill patternType="lightUp">
          <fgColor rgb="FF7030A0"/>
          <bgColor auto="1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lightUp">
          <fgColor rgb="FF7030A0"/>
          <bgColor auto="1"/>
        </patternFill>
      </fill>
    </dxf>
    <dxf>
      <fill>
        <patternFill>
          <bgColor rgb="FFFF0000"/>
        </patternFill>
      </fill>
    </dxf>
    <dxf>
      <font>
        <strike val="0"/>
        <color theme="7" tint="0.79998168889431442"/>
      </font>
      <fill>
        <patternFill>
          <bgColor rgb="FF00B0F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ill>
        <patternFill patternType="lightUp">
          <fgColor rgb="FF7030A0"/>
          <bgColor auto="1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ill>
        <patternFill patternType="lightUp">
          <fgColor rgb="FF7030A0"/>
          <bgColor auto="1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ill>
        <patternFill patternType="lightUp">
          <fgColor rgb="FF7030A0"/>
          <bgColor auto="1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ill>
        <patternFill patternType="lightUp">
          <fgColor rgb="FF7030A0"/>
          <bgColor auto="1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ill>
        <patternFill patternType="lightUp">
          <fgColor rgb="FF7030A0"/>
          <bgColor auto="1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ill>
        <patternFill patternType="lightUp">
          <fgColor rgb="FF7030A0"/>
          <bgColor auto="1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ill>
        <patternFill patternType="lightUp">
          <fgColor rgb="FF7030A0"/>
          <bgColor auto="1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ill>
        <patternFill patternType="lightUp">
          <fgColor rgb="FF7030A0"/>
          <bgColor auto="1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ill>
        <patternFill patternType="lightUp">
          <fgColor rgb="FF7030A0"/>
          <bgColor auto="1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ill>
        <patternFill patternType="lightUp">
          <fgColor rgb="FF7030A0"/>
          <bgColor auto="1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ill>
        <patternFill patternType="lightUp">
          <fgColor rgb="FF7030A0"/>
          <bgColor auto="1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ill>
        <patternFill patternType="lightUp">
          <fgColor rgb="FF7030A0"/>
          <bgColor auto="1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ill>
        <patternFill patternType="lightUp">
          <fgColor rgb="FF7030A0"/>
          <bgColor auto="1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ill>
        <patternFill patternType="lightUp">
          <fgColor rgb="FF7030A0"/>
          <bgColor auto="1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ill>
        <patternFill patternType="lightUp">
          <fgColor rgb="FF7030A0"/>
          <bgColor auto="1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ill>
        <patternFill patternType="lightUp">
          <fgColor rgb="FF7030A0"/>
          <bgColor auto="1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ill>
        <patternFill patternType="lightUp">
          <fgColor rgb="FF7030A0"/>
          <bgColor auto="1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ill>
        <patternFill patternType="lightUp">
          <fgColor rgb="FF7030A0"/>
          <bgColor auto="1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ill>
        <patternFill patternType="lightUp">
          <fgColor rgb="FF7030A0"/>
          <bgColor auto="1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lightUp">
          <fgColor rgb="FF7030A0"/>
          <bgColor auto="1"/>
        </patternFill>
      </fill>
    </dxf>
    <dxf>
      <fill>
        <patternFill>
          <bgColor rgb="FFFF0000"/>
        </patternFill>
      </fill>
    </dxf>
    <dxf>
      <font>
        <strike val="0"/>
        <color theme="7" tint="0.79998168889431442"/>
      </font>
      <fill>
        <patternFill>
          <bgColor rgb="FF00B0F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ill>
        <patternFill patternType="lightUp">
          <fgColor rgb="FF7030A0"/>
          <bgColor auto="1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ill>
        <patternFill patternType="lightUp">
          <fgColor rgb="FF7030A0"/>
          <bgColor auto="1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ill>
        <patternFill patternType="lightUp">
          <fgColor rgb="FF7030A0"/>
          <bgColor auto="1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ill>
        <patternFill patternType="lightUp">
          <fgColor rgb="FF7030A0"/>
          <bgColor auto="1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ill>
        <patternFill patternType="lightUp">
          <fgColor rgb="FF7030A0"/>
          <bgColor auto="1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ill>
        <patternFill patternType="lightUp">
          <fgColor rgb="FF7030A0"/>
          <bgColor auto="1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ill>
        <patternFill patternType="lightUp">
          <fgColor rgb="FF7030A0"/>
          <bgColor auto="1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ill>
        <patternFill patternType="lightUp">
          <fgColor rgb="FF7030A0"/>
          <bgColor auto="1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ill>
        <patternFill patternType="lightUp">
          <fgColor rgb="FF7030A0"/>
          <bgColor auto="1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ill>
        <patternFill patternType="lightUp">
          <fgColor rgb="FF7030A0"/>
          <bgColor auto="1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ill>
        <patternFill patternType="lightUp">
          <fgColor rgb="FF7030A0"/>
        </patternFill>
      </fill>
    </dxf>
    <dxf>
      <font>
        <color theme="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0"/>
      </font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800080"/>
      <color rgb="FFCC00CC"/>
      <color rgb="FFECC6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49</xdr:row>
          <xdr:rowOff>123825</xdr:rowOff>
        </xdr:from>
        <xdr:to>
          <xdr:col>2</xdr:col>
          <xdr:colOff>647700</xdr:colOff>
          <xdr:row>51</xdr:row>
          <xdr:rowOff>9525</xdr:rowOff>
        </xdr:to>
        <xdr:sp macro="" textlink="">
          <xdr:nvSpPr>
            <xdr:cNvPr id="1028" name="Button 4" descr="League of Legend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LCK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51</xdr:row>
          <xdr:rowOff>114300</xdr:rowOff>
        </xdr:from>
        <xdr:to>
          <xdr:col>2</xdr:col>
          <xdr:colOff>647700</xdr:colOff>
          <xdr:row>53</xdr:row>
          <xdr:rowOff>9525</xdr:rowOff>
        </xdr:to>
        <xdr:sp macro="" textlink="">
          <xdr:nvSpPr>
            <xdr:cNvPr id="1029" name="Button 5" descr="League of Legend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EU LCS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53</xdr:row>
          <xdr:rowOff>114300</xdr:rowOff>
        </xdr:from>
        <xdr:to>
          <xdr:col>2</xdr:col>
          <xdr:colOff>647700</xdr:colOff>
          <xdr:row>55</xdr:row>
          <xdr:rowOff>28575</xdr:rowOff>
        </xdr:to>
        <xdr:sp macro="" textlink="">
          <xdr:nvSpPr>
            <xdr:cNvPr id="1030" name="Button 6" descr="League of Legends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NA LCS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74</xdr:row>
          <xdr:rowOff>104775</xdr:rowOff>
        </xdr:from>
        <xdr:to>
          <xdr:col>3</xdr:col>
          <xdr:colOff>266700</xdr:colOff>
          <xdr:row>75</xdr:row>
          <xdr:rowOff>190500</xdr:rowOff>
        </xdr:to>
        <xdr:sp macro="" textlink="">
          <xdr:nvSpPr>
            <xdr:cNvPr id="1031" name="Button 7" descr="League of Legends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76</xdr:row>
          <xdr:rowOff>104775</xdr:rowOff>
        </xdr:from>
        <xdr:to>
          <xdr:col>3</xdr:col>
          <xdr:colOff>266700</xdr:colOff>
          <xdr:row>77</xdr:row>
          <xdr:rowOff>190500</xdr:rowOff>
        </xdr:to>
        <xdr:sp macro="" textlink="">
          <xdr:nvSpPr>
            <xdr:cNvPr id="1032" name="Button 8" descr="League of Legend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78</xdr:row>
          <xdr:rowOff>104775</xdr:rowOff>
        </xdr:from>
        <xdr:to>
          <xdr:col>3</xdr:col>
          <xdr:colOff>266700</xdr:colOff>
          <xdr:row>80</xdr:row>
          <xdr:rowOff>0</xdr:rowOff>
        </xdr:to>
        <xdr:sp macro="" textlink="">
          <xdr:nvSpPr>
            <xdr:cNvPr id="1033" name="Button 9" descr="League of Legend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74</xdr:row>
          <xdr:rowOff>104775</xdr:rowOff>
        </xdr:from>
        <xdr:to>
          <xdr:col>5</xdr:col>
          <xdr:colOff>228600</xdr:colOff>
          <xdr:row>75</xdr:row>
          <xdr:rowOff>190500</xdr:rowOff>
        </xdr:to>
        <xdr:sp macro="" textlink="">
          <xdr:nvSpPr>
            <xdr:cNvPr id="1034" name="Schaltfläche 10" descr="League of Legend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76</xdr:row>
          <xdr:rowOff>104775</xdr:rowOff>
        </xdr:from>
        <xdr:to>
          <xdr:col>5</xdr:col>
          <xdr:colOff>228600</xdr:colOff>
          <xdr:row>77</xdr:row>
          <xdr:rowOff>190500</xdr:rowOff>
        </xdr:to>
        <xdr:sp macro="" textlink="">
          <xdr:nvSpPr>
            <xdr:cNvPr id="1035" name="Schaltfläche 11" descr="League of Legend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78</xdr:row>
          <xdr:rowOff>104775</xdr:rowOff>
        </xdr:from>
        <xdr:to>
          <xdr:col>5</xdr:col>
          <xdr:colOff>228600</xdr:colOff>
          <xdr:row>80</xdr:row>
          <xdr:rowOff>0</xdr:rowOff>
        </xdr:to>
        <xdr:sp macro="" textlink="">
          <xdr:nvSpPr>
            <xdr:cNvPr id="1036" name="Schaltfläche 12" descr="League of Legend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74</xdr:row>
          <xdr:rowOff>104775</xdr:rowOff>
        </xdr:from>
        <xdr:to>
          <xdr:col>8</xdr:col>
          <xdr:colOff>266700</xdr:colOff>
          <xdr:row>75</xdr:row>
          <xdr:rowOff>190500</xdr:rowOff>
        </xdr:to>
        <xdr:sp macro="" textlink="">
          <xdr:nvSpPr>
            <xdr:cNvPr id="1037" name="Schaltfläche 13" descr="League of Legends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7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76</xdr:row>
          <xdr:rowOff>104775</xdr:rowOff>
        </xdr:from>
        <xdr:to>
          <xdr:col>8</xdr:col>
          <xdr:colOff>266700</xdr:colOff>
          <xdr:row>77</xdr:row>
          <xdr:rowOff>190500</xdr:rowOff>
        </xdr:to>
        <xdr:sp macro="" textlink="">
          <xdr:nvSpPr>
            <xdr:cNvPr id="1038" name="Schaltfläche 14" descr="League of Legends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8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78</xdr:row>
          <xdr:rowOff>104775</xdr:rowOff>
        </xdr:from>
        <xdr:to>
          <xdr:col>8</xdr:col>
          <xdr:colOff>266700</xdr:colOff>
          <xdr:row>80</xdr:row>
          <xdr:rowOff>0</xdr:rowOff>
        </xdr:to>
        <xdr:sp macro="" textlink="">
          <xdr:nvSpPr>
            <xdr:cNvPr id="1039" name="Schaltfläche 15" descr="League of Legend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9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74</xdr:row>
          <xdr:rowOff>104775</xdr:rowOff>
        </xdr:from>
        <xdr:to>
          <xdr:col>10</xdr:col>
          <xdr:colOff>276225</xdr:colOff>
          <xdr:row>76</xdr:row>
          <xdr:rowOff>0</xdr:rowOff>
        </xdr:to>
        <xdr:sp macro="" textlink="">
          <xdr:nvSpPr>
            <xdr:cNvPr id="1040" name="Schaltfläche 16" descr="League of Legends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78</xdr:row>
          <xdr:rowOff>104775</xdr:rowOff>
        </xdr:from>
        <xdr:to>
          <xdr:col>10</xdr:col>
          <xdr:colOff>276225</xdr:colOff>
          <xdr:row>80</xdr:row>
          <xdr:rowOff>0</xdr:rowOff>
        </xdr:to>
        <xdr:sp macro="" textlink="">
          <xdr:nvSpPr>
            <xdr:cNvPr id="1041" name="Schaltfläche 17" descr="League of Legends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89</xdr:row>
          <xdr:rowOff>104775</xdr:rowOff>
        </xdr:from>
        <xdr:to>
          <xdr:col>3</xdr:col>
          <xdr:colOff>266700</xdr:colOff>
          <xdr:row>90</xdr:row>
          <xdr:rowOff>190500</xdr:rowOff>
        </xdr:to>
        <xdr:sp macro="" textlink="">
          <xdr:nvSpPr>
            <xdr:cNvPr id="1042" name="Button 18" descr="League of Legends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91</xdr:row>
          <xdr:rowOff>104775</xdr:rowOff>
        </xdr:from>
        <xdr:to>
          <xdr:col>3</xdr:col>
          <xdr:colOff>266700</xdr:colOff>
          <xdr:row>92</xdr:row>
          <xdr:rowOff>190500</xdr:rowOff>
        </xdr:to>
        <xdr:sp macro="" textlink="">
          <xdr:nvSpPr>
            <xdr:cNvPr id="1043" name="Button 19" descr="League of Legends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93</xdr:row>
          <xdr:rowOff>104775</xdr:rowOff>
        </xdr:from>
        <xdr:to>
          <xdr:col>3</xdr:col>
          <xdr:colOff>266700</xdr:colOff>
          <xdr:row>95</xdr:row>
          <xdr:rowOff>0</xdr:rowOff>
        </xdr:to>
        <xdr:sp macro="" textlink="">
          <xdr:nvSpPr>
            <xdr:cNvPr id="1044" name="Button 20" descr="League of Legend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89</xdr:row>
          <xdr:rowOff>104775</xdr:rowOff>
        </xdr:from>
        <xdr:to>
          <xdr:col>5</xdr:col>
          <xdr:colOff>228600</xdr:colOff>
          <xdr:row>90</xdr:row>
          <xdr:rowOff>190500</xdr:rowOff>
        </xdr:to>
        <xdr:sp macro="" textlink="">
          <xdr:nvSpPr>
            <xdr:cNvPr id="1045" name="Button 21" descr="League of Legends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91</xdr:row>
          <xdr:rowOff>104775</xdr:rowOff>
        </xdr:from>
        <xdr:to>
          <xdr:col>5</xdr:col>
          <xdr:colOff>228600</xdr:colOff>
          <xdr:row>92</xdr:row>
          <xdr:rowOff>190500</xdr:rowOff>
        </xdr:to>
        <xdr:sp macro="" textlink="">
          <xdr:nvSpPr>
            <xdr:cNvPr id="1046" name="Button 22" descr="League of Legends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93</xdr:row>
          <xdr:rowOff>104775</xdr:rowOff>
        </xdr:from>
        <xdr:to>
          <xdr:col>5</xdr:col>
          <xdr:colOff>228600</xdr:colOff>
          <xdr:row>95</xdr:row>
          <xdr:rowOff>0</xdr:rowOff>
        </xdr:to>
        <xdr:sp macro="" textlink="">
          <xdr:nvSpPr>
            <xdr:cNvPr id="1047" name="Button 23" descr="League of Legends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89</xdr:row>
          <xdr:rowOff>104775</xdr:rowOff>
        </xdr:from>
        <xdr:to>
          <xdr:col>8</xdr:col>
          <xdr:colOff>266700</xdr:colOff>
          <xdr:row>90</xdr:row>
          <xdr:rowOff>190500</xdr:rowOff>
        </xdr:to>
        <xdr:sp macro="" textlink="">
          <xdr:nvSpPr>
            <xdr:cNvPr id="1048" name="Button 24" descr="League of Legend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7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91</xdr:row>
          <xdr:rowOff>104775</xdr:rowOff>
        </xdr:from>
        <xdr:to>
          <xdr:col>8</xdr:col>
          <xdr:colOff>266700</xdr:colOff>
          <xdr:row>92</xdr:row>
          <xdr:rowOff>190500</xdr:rowOff>
        </xdr:to>
        <xdr:sp macro="" textlink="">
          <xdr:nvSpPr>
            <xdr:cNvPr id="1049" name="Button 25" descr="League of Legend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8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93</xdr:row>
          <xdr:rowOff>104775</xdr:rowOff>
        </xdr:from>
        <xdr:to>
          <xdr:col>8</xdr:col>
          <xdr:colOff>266700</xdr:colOff>
          <xdr:row>95</xdr:row>
          <xdr:rowOff>0</xdr:rowOff>
        </xdr:to>
        <xdr:sp macro="" textlink="">
          <xdr:nvSpPr>
            <xdr:cNvPr id="1050" name="Button 26" descr="League of Legend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9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89</xdr:row>
          <xdr:rowOff>104775</xdr:rowOff>
        </xdr:from>
        <xdr:to>
          <xdr:col>10</xdr:col>
          <xdr:colOff>276225</xdr:colOff>
          <xdr:row>91</xdr:row>
          <xdr:rowOff>0</xdr:rowOff>
        </xdr:to>
        <xdr:sp macro="" textlink="">
          <xdr:nvSpPr>
            <xdr:cNvPr id="1051" name="Button 27" descr="League of Legend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93</xdr:row>
          <xdr:rowOff>104775</xdr:rowOff>
        </xdr:from>
        <xdr:to>
          <xdr:col>10</xdr:col>
          <xdr:colOff>276225</xdr:colOff>
          <xdr:row>95</xdr:row>
          <xdr:rowOff>0</xdr:rowOff>
        </xdr:to>
        <xdr:sp macro="" textlink="">
          <xdr:nvSpPr>
            <xdr:cNvPr id="1052" name="Button 28" descr="League of Legend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104</xdr:row>
          <xdr:rowOff>104775</xdr:rowOff>
        </xdr:from>
        <xdr:to>
          <xdr:col>3</xdr:col>
          <xdr:colOff>266700</xdr:colOff>
          <xdr:row>105</xdr:row>
          <xdr:rowOff>190500</xdr:rowOff>
        </xdr:to>
        <xdr:sp macro="" textlink="">
          <xdr:nvSpPr>
            <xdr:cNvPr id="1053" name="Button 29" descr="League of Legends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106</xdr:row>
          <xdr:rowOff>104775</xdr:rowOff>
        </xdr:from>
        <xdr:to>
          <xdr:col>3</xdr:col>
          <xdr:colOff>266700</xdr:colOff>
          <xdr:row>107</xdr:row>
          <xdr:rowOff>190500</xdr:rowOff>
        </xdr:to>
        <xdr:sp macro="" textlink="">
          <xdr:nvSpPr>
            <xdr:cNvPr id="1054" name="Button 30" descr="League of Legend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108</xdr:row>
          <xdr:rowOff>104775</xdr:rowOff>
        </xdr:from>
        <xdr:to>
          <xdr:col>3</xdr:col>
          <xdr:colOff>266700</xdr:colOff>
          <xdr:row>110</xdr:row>
          <xdr:rowOff>0</xdr:rowOff>
        </xdr:to>
        <xdr:sp macro="" textlink="">
          <xdr:nvSpPr>
            <xdr:cNvPr id="1055" name="Button 31" descr="League of Legends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104</xdr:row>
          <xdr:rowOff>104775</xdr:rowOff>
        </xdr:from>
        <xdr:to>
          <xdr:col>5</xdr:col>
          <xdr:colOff>228600</xdr:colOff>
          <xdr:row>105</xdr:row>
          <xdr:rowOff>190500</xdr:rowOff>
        </xdr:to>
        <xdr:sp macro="" textlink="">
          <xdr:nvSpPr>
            <xdr:cNvPr id="1056" name="Button 32" descr="League of Legend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106</xdr:row>
          <xdr:rowOff>104775</xdr:rowOff>
        </xdr:from>
        <xdr:to>
          <xdr:col>5</xdr:col>
          <xdr:colOff>228600</xdr:colOff>
          <xdr:row>107</xdr:row>
          <xdr:rowOff>190500</xdr:rowOff>
        </xdr:to>
        <xdr:sp macro="" textlink="">
          <xdr:nvSpPr>
            <xdr:cNvPr id="1057" name="Button 33" descr="League of Legends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108</xdr:row>
          <xdr:rowOff>104775</xdr:rowOff>
        </xdr:from>
        <xdr:to>
          <xdr:col>5</xdr:col>
          <xdr:colOff>228600</xdr:colOff>
          <xdr:row>110</xdr:row>
          <xdr:rowOff>0</xdr:rowOff>
        </xdr:to>
        <xdr:sp macro="" textlink="">
          <xdr:nvSpPr>
            <xdr:cNvPr id="1058" name="Button 34" descr="League of Legend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104</xdr:row>
          <xdr:rowOff>104775</xdr:rowOff>
        </xdr:from>
        <xdr:to>
          <xdr:col>8</xdr:col>
          <xdr:colOff>266700</xdr:colOff>
          <xdr:row>105</xdr:row>
          <xdr:rowOff>190500</xdr:rowOff>
        </xdr:to>
        <xdr:sp macro="" textlink="">
          <xdr:nvSpPr>
            <xdr:cNvPr id="1059" name="Button 35" descr="League of Legend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7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106</xdr:row>
          <xdr:rowOff>104775</xdr:rowOff>
        </xdr:from>
        <xdr:to>
          <xdr:col>8</xdr:col>
          <xdr:colOff>266700</xdr:colOff>
          <xdr:row>107</xdr:row>
          <xdr:rowOff>190500</xdr:rowOff>
        </xdr:to>
        <xdr:sp macro="" textlink="">
          <xdr:nvSpPr>
            <xdr:cNvPr id="1060" name="Button 36" descr="League of Legend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8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108</xdr:row>
          <xdr:rowOff>104775</xdr:rowOff>
        </xdr:from>
        <xdr:to>
          <xdr:col>8</xdr:col>
          <xdr:colOff>266700</xdr:colOff>
          <xdr:row>110</xdr:row>
          <xdr:rowOff>0</xdr:rowOff>
        </xdr:to>
        <xdr:sp macro="" textlink="">
          <xdr:nvSpPr>
            <xdr:cNvPr id="1061" name="Button 37" descr="League of Legends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9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104</xdr:row>
          <xdr:rowOff>104775</xdr:rowOff>
        </xdr:from>
        <xdr:to>
          <xdr:col>10</xdr:col>
          <xdr:colOff>276225</xdr:colOff>
          <xdr:row>106</xdr:row>
          <xdr:rowOff>0</xdr:rowOff>
        </xdr:to>
        <xdr:sp macro="" textlink="">
          <xdr:nvSpPr>
            <xdr:cNvPr id="1062" name="Button 38" descr="League of Legends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108</xdr:row>
          <xdr:rowOff>104775</xdr:rowOff>
        </xdr:from>
        <xdr:to>
          <xdr:col>10</xdr:col>
          <xdr:colOff>276225</xdr:colOff>
          <xdr:row>110</xdr:row>
          <xdr:rowOff>0</xdr:rowOff>
        </xdr:to>
        <xdr:sp macro="" textlink="">
          <xdr:nvSpPr>
            <xdr:cNvPr id="1063" name="Button 39" descr="League of Legends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161</xdr:row>
          <xdr:rowOff>28575</xdr:rowOff>
        </xdr:from>
        <xdr:to>
          <xdr:col>1</xdr:col>
          <xdr:colOff>733425</xdr:colOff>
          <xdr:row>162</xdr:row>
          <xdr:rowOff>85725</xdr:rowOff>
        </xdr:to>
        <xdr:sp macro="" textlink="">
          <xdr:nvSpPr>
            <xdr:cNvPr id="1076" name="Button 52" descr="League of Legends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175</xdr:row>
          <xdr:rowOff>28575</xdr:rowOff>
        </xdr:from>
        <xdr:to>
          <xdr:col>1</xdr:col>
          <xdr:colOff>733425</xdr:colOff>
          <xdr:row>176</xdr:row>
          <xdr:rowOff>85725</xdr:rowOff>
        </xdr:to>
        <xdr:sp macro="" textlink="">
          <xdr:nvSpPr>
            <xdr:cNvPr id="1077" name="Button 53" descr="League of Legends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189</xdr:row>
          <xdr:rowOff>28575</xdr:rowOff>
        </xdr:from>
        <xdr:to>
          <xdr:col>1</xdr:col>
          <xdr:colOff>733425</xdr:colOff>
          <xdr:row>190</xdr:row>
          <xdr:rowOff>85725</xdr:rowOff>
        </xdr:to>
        <xdr:sp macro="" textlink="">
          <xdr:nvSpPr>
            <xdr:cNvPr id="1078" name="Button 54" descr="League of Legends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203</xdr:row>
          <xdr:rowOff>28575</xdr:rowOff>
        </xdr:from>
        <xdr:to>
          <xdr:col>1</xdr:col>
          <xdr:colOff>733425</xdr:colOff>
          <xdr:row>204</xdr:row>
          <xdr:rowOff>85725</xdr:rowOff>
        </xdr:to>
        <xdr:sp macro="" textlink="">
          <xdr:nvSpPr>
            <xdr:cNvPr id="1079" name="Button 55" descr="League of Legends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217</xdr:row>
          <xdr:rowOff>28575</xdr:rowOff>
        </xdr:from>
        <xdr:to>
          <xdr:col>1</xdr:col>
          <xdr:colOff>733425</xdr:colOff>
          <xdr:row>218</xdr:row>
          <xdr:rowOff>85725</xdr:rowOff>
        </xdr:to>
        <xdr:sp macro="" textlink="">
          <xdr:nvSpPr>
            <xdr:cNvPr id="1080" name="Button 56" descr="League of Legends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231</xdr:row>
          <xdr:rowOff>28575</xdr:rowOff>
        </xdr:from>
        <xdr:to>
          <xdr:col>1</xdr:col>
          <xdr:colOff>733425</xdr:colOff>
          <xdr:row>232</xdr:row>
          <xdr:rowOff>85725</xdr:rowOff>
        </xdr:to>
        <xdr:sp macro="" textlink="">
          <xdr:nvSpPr>
            <xdr:cNvPr id="1081" name="Button 57" descr="League of Legends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245</xdr:row>
          <xdr:rowOff>28575</xdr:rowOff>
        </xdr:from>
        <xdr:to>
          <xdr:col>1</xdr:col>
          <xdr:colOff>733425</xdr:colOff>
          <xdr:row>246</xdr:row>
          <xdr:rowOff>85725</xdr:rowOff>
        </xdr:to>
        <xdr:sp macro="" textlink="">
          <xdr:nvSpPr>
            <xdr:cNvPr id="1082" name="Button 58" descr="League of Legends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259</xdr:row>
          <xdr:rowOff>28575</xdr:rowOff>
        </xdr:from>
        <xdr:to>
          <xdr:col>1</xdr:col>
          <xdr:colOff>733425</xdr:colOff>
          <xdr:row>260</xdr:row>
          <xdr:rowOff>85725</xdr:rowOff>
        </xdr:to>
        <xdr:sp macro="" textlink="">
          <xdr:nvSpPr>
            <xdr:cNvPr id="1083" name="Button 59" descr="League of Legends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273</xdr:row>
          <xdr:rowOff>28575</xdr:rowOff>
        </xdr:from>
        <xdr:to>
          <xdr:col>1</xdr:col>
          <xdr:colOff>733425</xdr:colOff>
          <xdr:row>274</xdr:row>
          <xdr:rowOff>85725</xdr:rowOff>
        </xdr:to>
        <xdr:sp macro="" textlink="">
          <xdr:nvSpPr>
            <xdr:cNvPr id="1084" name="Button 60" descr="League of Legends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303</xdr:row>
          <xdr:rowOff>28575</xdr:rowOff>
        </xdr:from>
        <xdr:to>
          <xdr:col>1</xdr:col>
          <xdr:colOff>733425</xdr:colOff>
          <xdr:row>304</xdr:row>
          <xdr:rowOff>85725</xdr:rowOff>
        </xdr:to>
        <xdr:sp macro="" textlink="">
          <xdr:nvSpPr>
            <xdr:cNvPr id="1087" name="Button 63" descr="League of Legends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317</xdr:row>
          <xdr:rowOff>28575</xdr:rowOff>
        </xdr:from>
        <xdr:to>
          <xdr:col>1</xdr:col>
          <xdr:colOff>733425</xdr:colOff>
          <xdr:row>318</xdr:row>
          <xdr:rowOff>85725</xdr:rowOff>
        </xdr:to>
        <xdr:sp macro="" textlink="">
          <xdr:nvSpPr>
            <xdr:cNvPr id="1088" name="Button 64" descr="League of Legend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331</xdr:row>
          <xdr:rowOff>28575</xdr:rowOff>
        </xdr:from>
        <xdr:to>
          <xdr:col>1</xdr:col>
          <xdr:colOff>733425</xdr:colOff>
          <xdr:row>332</xdr:row>
          <xdr:rowOff>85725</xdr:rowOff>
        </xdr:to>
        <xdr:sp macro="" textlink="">
          <xdr:nvSpPr>
            <xdr:cNvPr id="1089" name="Button 65" descr="League of Legends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345</xdr:row>
          <xdr:rowOff>28575</xdr:rowOff>
        </xdr:from>
        <xdr:to>
          <xdr:col>1</xdr:col>
          <xdr:colOff>733425</xdr:colOff>
          <xdr:row>346</xdr:row>
          <xdr:rowOff>85725</xdr:rowOff>
        </xdr:to>
        <xdr:sp macro="" textlink="">
          <xdr:nvSpPr>
            <xdr:cNvPr id="1090" name="Button 66" descr="League of Legends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359</xdr:row>
          <xdr:rowOff>28575</xdr:rowOff>
        </xdr:from>
        <xdr:to>
          <xdr:col>1</xdr:col>
          <xdr:colOff>733425</xdr:colOff>
          <xdr:row>360</xdr:row>
          <xdr:rowOff>85725</xdr:rowOff>
        </xdr:to>
        <xdr:sp macro="" textlink="">
          <xdr:nvSpPr>
            <xdr:cNvPr id="1091" name="Button 67" descr="League of Legends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373</xdr:row>
          <xdr:rowOff>28575</xdr:rowOff>
        </xdr:from>
        <xdr:to>
          <xdr:col>1</xdr:col>
          <xdr:colOff>733425</xdr:colOff>
          <xdr:row>374</xdr:row>
          <xdr:rowOff>85725</xdr:rowOff>
        </xdr:to>
        <xdr:sp macro="" textlink="">
          <xdr:nvSpPr>
            <xdr:cNvPr id="1092" name="Button 68" descr="League of Legends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387</xdr:row>
          <xdr:rowOff>28575</xdr:rowOff>
        </xdr:from>
        <xdr:to>
          <xdr:col>1</xdr:col>
          <xdr:colOff>733425</xdr:colOff>
          <xdr:row>388</xdr:row>
          <xdr:rowOff>85725</xdr:rowOff>
        </xdr:to>
        <xdr:sp macro="" textlink="">
          <xdr:nvSpPr>
            <xdr:cNvPr id="1093" name="Button 69" descr="League of Legends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401</xdr:row>
          <xdr:rowOff>28575</xdr:rowOff>
        </xdr:from>
        <xdr:to>
          <xdr:col>1</xdr:col>
          <xdr:colOff>733425</xdr:colOff>
          <xdr:row>402</xdr:row>
          <xdr:rowOff>85725</xdr:rowOff>
        </xdr:to>
        <xdr:sp macro="" textlink="">
          <xdr:nvSpPr>
            <xdr:cNvPr id="1094" name="Button 70" descr="League of Legends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415</xdr:row>
          <xdr:rowOff>28575</xdr:rowOff>
        </xdr:from>
        <xdr:to>
          <xdr:col>1</xdr:col>
          <xdr:colOff>733425</xdr:colOff>
          <xdr:row>416</xdr:row>
          <xdr:rowOff>85725</xdr:rowOff>
        </xdr:to>
        <xdr:sp macro="" textlink="">
          <xdr:nvSpPr>
            <xdr:cNvPr id="1095" name="Button 71" descr="League of Legends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429</xdr:row>
          <xdr:rowOff>28575</xdr:rowOff>
        </xdr:from>
        <xdr:to>
          <xdr:col>1</xdr:col>
          <xdr:colOff>733425</xdr:colOff>
          <xdr:row>430</xdr:row>
          <xdr:rowOff>85725</xdr:rowOff>
        </xdr:to>
        <xdr:sp macro="" textlink="">
          <xdr:nvSpPr>
            <xdr:cNvPr id="1096" name="Button 72" descr="League of Legends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317</xdr:row>
          <xdr:rowOff>28575</xdr:rowOff>
        </xdr:from>
        <xdr:to>
          <xdr:col>1</xdr:col>
          <xdr:colOff>733425</xdr:colOff>
          <xdr:row>318</xdr:row>
          <xdr:rowOff>85725</xdr:rowOff>
        </xdr:to>
        <xdr:sp macro="" textlink="">
          <xdr:nvSpPr>
            <xdr:cNvPr id="1097" name="Button 73" descr="League of Legends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331</xdr:row>
          <xdr:rowOff>28575</xdr:rowOff>
        </xdr:from>
        <xdr:to>
          <xdr:col>1</xdr:col>
          <xdr:colOff>733425</xdr:colOff>
          <xdr:row>332</xdr:row>
          <xdr:rowOff>85725</xdr:rowOff>
        </xdr:to>
        <xdr:sp macro="" textlink="">
          <xdr:nvSpPr>
            <xdr:cNvPr id="1098" name="Button 74" descr="League of Legends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345</xdr:row>
          <xdr:rowOff>28575</xdr:rowOff>
        </xdr:from>
        <xdr:to>
          <xdr:col>1</xdr:col>
          <xdr:colOff>733425</xdr:colOff>
          <xdr:row>346</xdr:row>
          <xdr:rowOff>85725</xdr:rowOff>
        </xdr:to>
        <xdr:sp macro="" textlink="">
          <xdr:nvSpPr>
            <xdr:cNvPr id="1099" name="Button 75" descr="League of Legends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359</xdr:row>
          <xdr:rowOff>28575</xdr:rowOff>
        </xdr:from>
        <xdr:to>
          <xdr:col>1</xdr:col>
          <xdr:colOff>733425</xdr:colOff>
          <xdr:row>360</xdr:row>
          <xdr:rowOff>85725</xdr:rowOff>
        </xdr:to>
        <xdr:sp macro="" textlink="">
          <xdr:nvSpPr>
            <xdr:cNvPr id="1100" name="Button 76" descr="League of Legends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373</xdr:row>
          <xdr:rowOff>28575</xdr:rowOff>
        </xdr:from>
        <xdr:to>
          <xdr:col>1</xdr:col>
          <xdr:colOff>733425</xdr:colOff>
          <xdr:row>374</xdr:row>
          <xdr:rowOff>85725</xdr:rowOff>
        </xdr:to>
        <xdr:sp macro="" textlink="">
          <xdr:nvSpPr>
            <xdr:cNvPr id="1101" name="Button 77" descr="League of Legends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387</xdr:row>
          <xdr:rowOff>28575</xdr:rowOff>
        </xdr:from>
        <xdr:to>
          <xdr:col>1</xdr:col>
          <xdr:colOff>733425</xdr:colOff>
          <xdr:row>388</xdr:row>
          <xdr:rowOff>85725</xdr:rowOff>
        </xdr:to>
        <xdr:sp macro="" textlink="">
          <xdr:nvSpPr>
            <xdr:cNvPr id="1102" name="Button 78" descr="League of Legends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401</xdr:row>
          <xdr:rowOff>28575</xdr:rowOff>
        </xdr:from>
        <xdr:to>
          <xdr:col>1</xdr:col>
          <xdr:colOff>733425</xdr:colOff>
          <xdr:row>402</xdr:row>
          <xdr:rowOff>85725</xdr:rowOff>
        </xdr:to>
        <xdr:sp macro="" textlink="">
          <xdr:nvSpPr>
            <xdr:cNvPr id="1103" name="Button 79" descr="League of Legends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415</xdr:row>
          <xdr:rowOff>28575</xdr:rowOff>
        </xdr:from>
        <xdr:to>
          <xdr:col>1</xdr:col>
          <xdr:colOff>733425</xdr:colOff>
          <xdr:row>416</xdr:row>
          <xdr:rowOff>85725</xdr:rowOff>
        </xdr:to>
        <xdr:sp macro="" textlink="">
          <xdr:nvSpPr>
            <xdr:cNvPr id="1104" name="Button 80" descr="League of Legend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429</xdr:row>
          <xdr:rowOff>28575</xdr:rowOff>
        </xdr:from>
        <xdr:to>
          <xdr:col>1</xdr:col>
          <xdr:colOff>733425</xdr:colOff>
          <xdr:row>430</xdr:row>
          <xdr:rowOff>85725</xdr:rowOff>
        </xdr:to>
        <xdr:sp macro="" textlink="">
          <xdr:nvSpPr>
            <xdr:cNvPr id="1105" name="Button 81" descr="League of Legends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459</xdr:row>
          <xdr:rowOff>28575</xdr:rowOff>
        </xdr:from>
        <xdr:to>
          <xdr:col>1</xdr:col>
          <xdr:colOff>733425</xdr:colOff>
          <xdr:row>460</xdr:row>
          <xdr:rowOff>85725</xdr:rowOff>
        </xdr:to>
        <xdr:sp macro="" textlink="">
          <xdr:nvSpPr>
            <xdr:cNvPr id="1107" name="Button 64" descr="League of Legends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459</xdr:row>
          <xdr:rowOff>28575</xdr:rowOff>
        </xdr:from>
        <xdr:to>
          <xdr:col>1</xdr:col>
          <xdr:colOff>733425</xdr:colOff>
          <xdr:row>460</xdr:row>
          <xdr:rowOff>85725</xdr:rowOff>
        </xdr:to>
        <xdr:sp macro="" textlink="">
          <xdr:nvSpPr>
            <xdr:cNvPr id="1108" name="Button 73" descr="League of Legends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473</xdr:row>
          <xdr:rowOff>28575</xdr:rowOff>
        </xdr:from>
        <xdr:to>
          <xdr:col>1</xdr:col>
          <xdr:colOff>733425</xdr:colOff>
          <xdr:row>474</xdr:row>
          <xdr:rowOff>85725</xdr:rowOff>
        </xdr:to>
        <xdr:sp macro="" textlink="">
          <xdr:nvSpPr>
            <xdr:cNvPr id="1109" name="Button 85" descr="League of Legends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473</xdr:row>
          <xdr:rowOff>28575</xdr:rowOff>
        </xdr:from>
        <xdr:to>
          <xdr:col>1</xdr:col>
          <xdr:colOff>733425</xdr:colOff>
          <xdr:row>474</xdr:row>
          <xdr:rowOff>85725</xdr:rowOff>
        </xdr:to>
        <xdr:sp macro="" textlink="">
          <xdr:nvSpPr>
            <xdr:cNvPr id="1110" name="Button 86" descr="League of Legends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487</xdr:row>
          <xdr:rowOff>28575</xdr:rowOff>
        </xdr:from>
        <xdr:to>
          <xdr:col>1</xdr:col>
          <xdr:colOff>733425</xdr:colOff>
          <xdr:row>488</xdr:row>
          <xdr:rowOff>85725</xdr:rowOff>
        </xdr:to>
        <xdr:sp macro="" textlink="">
          <xdr:nvSpPr>
            <xdr:cNvPr id="1111" name="Button 87" descr="League of Legends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487</xdr:row>
          <xdr:rowOff>28575</xdr:rowOff>
        </xdr:from>
        <xdr:to>
          <xdr:col>1</xdr:col>
          <xdr:colOff>733425</xdr:colOff>
          <xdr:row>488</xdr:row>
          <xdr:rowOff>85725</xdr:rowOff>
        </xdr:to>
        <xdr:sp macro="" textlink="">
          <xdr:nvSpPr>
            <xdr:cNvPr id="1112" name="Button 88" descr="League of Legends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501</xdr:row>
          <xdr:rowOff>28575</xdr:rowOff>
        </xdr:from>
        <xdr:to>
          <xdr:col>1</xdr:col>
          <xdr:colOff>733425</xdr:colOff>
          <xdr:row>502</xdr:row>
          <xdr:rowOff>85725</xdr:rowOff>
        </xdr:to>
        <xdr:sp macro="" textlink="">
          <xdr:nvSpPr>
            <xdr:cNvPr id="1113" name="Button 89" descr="League of Legends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501</xdr:row>
          <xdr:rowOff>28575</xdr:rowOff>
        </xdr:from>
        <xdr:to>
          <xdr:col>1</xdr:col>
          <xdr:colOff>733425</xdr:colOff>
          <xdr:row>502</xdr:row>
          <xdr:rowOff>85725</xdr:rowOff>
        </xdr:to>
        <xdr:sp macro="" textlink="">
          <xdr:nvSpPr>
            <xdr:cNvPr id="1114" name="Button 90" descr="League of Legends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515</xdr:row>
          <xdr:rowOff>28575</xdr:rowOff>
        </xdr:from>
        <xdr:to>
          <xdr:col>1</xdr:col>
          <xdr:colOff>733425</xdr:colOff>
          <xdr:row>516</xdr:row>
          <xdr:rowOff>85725</xdr:rowOff>
        </xdr:to>
        <xdr:sp macro="" textlink="">
          <xdr:nvSpPr>
            <xdr:cNvPr id="1115" name="Button 91" descr="League of Legends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515</xdr:row>
          <xdr:rowOff>28575</xdr:rowOff>
        </xdr:from>
        <xdr:to>
          <xdr:col>1</xdr:col>
          <xdr:colOff>733425</xdr:colOff>
          <xdr:row>516</xdr:row>
          <xdr:rowOff>85725</xdr:rowOff>
        </xdr:to>
        <xdr:sp macro="" textlink="">
          <xdr:nvSpPr>
            <xdr:cNvPr id="1116" name="Button 92" descr="League of Legends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529</xdr:row>
          <xdr:rowOff>28575</xdr:rowOff>
        </xdr:from>
        <xdr:to>
          <xdr:col>1</xdr:col>
          <xdr:colOff>733425</xdr:colOff>
          <xdr:row>530</xdr:row>
          <xdr:rowOff>85725</xdr:rowOff>
        </xdr:to>
        <xdr:sp macro="" textlink="">
          <xdr:nvSpPr>
            <xdr:cNvPr id="1117" name="Button 93" descr="League of Legends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529</xdr:row>
          <xdr:rowOff>28575</xdr:rowOff>
        </xdr:from>
        <xdr:to>
          <xdr:col>1</xdr:col>
          <xdr:colOff>733425</xdr:colOff>
          <xdr:row>530</xdr:row>
          <xdr:rowOff>85725</xdr:rowOff>
        </xdr:to>
        <xdr:sp macro="" textlink="">
          <xdr:nvSpPr>
            <xdr:cNvPr id="1118" name="Button 94" descr="League of Legends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543</xdr:row>
          <xdr:rowOff>28575</xdr:rowOff>
        </xdr:from>
        <xdr:to>
          <xdr:col>1</xdr:col>
          <xdr:colOff>733425</xdr:colOff>
          <xdr:row>544</xdr:row>
          <xdr:rowOff>85725</xdr:rowOff>
        </xdr:to>
        <xdr:sp macro="" textlink="">
          <xdr:nvSpPr>
            <xdr:cNvPr id="1119" name="Button 95" descr="League of Legends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543</xdr:row>
          <xdr:rowOff>28575</xdr:rowOff>
        </xdr:from>
        <xdr:to>
          <xdr:col>1</xdr:col>
          <xdr:colOff>733425</xdr:colOff>
          <xdr:row>544</xdr:row>
          <xdr:rowOff>85725</xdr:rowOff>
        </xdr:to>
        <xdr:sp macro="" textlink="">
          <xdr:nvSpPr>
            <xdr:cNvPr id="1120" name="Button 96" descr="League of Legends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557</xdr:row>
          <xdr:rowOff>28575</xdr:rowOff>
        </xdr:from>
        <xdr:to>
          <xdr:col>1</xdr:col>
          <xdr:colOff>733425</xdr:colOff>
          <xdr:row>558</xdr:row>
          <xdr:rowOff>85725</xdr:rowOff>
        </xdr:to>
        <xdr:sp macro="" textlink="">
          <xdr:nvSpPr>
            <xdr:cNvPr id="1121" name="Button 97" descr="League of Legends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557</xdr:row>
          <xdr:rowOff>28575</xdr:rowOff>
        </xdr:from>
        <xdr:to>
          <xdr:col>1</xdr:col>
          <xdr:colOff>733425</xdr:colOff>
          <xdr:row>558</xdr:row>
          <xdr:rowOff>85725</xdr:rowOff>
        </xdr:to>
        <xdr:sp macro="" textlink="">
          <xdr:nvSpPr>
            <xdr:cNvPr id="1122" name="Button 98" descr="League of Legends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571</xdr:row>
          <xdr:rowOff>28575</xdr:rowOff>
        </xdr:from>
        <xdr:to>
          <xdr:col>1</xdr:col>
          <xdr:colOff>733425</xdr:colOff>
          <xdr:row>572</xdr:row>
          <xdr:rowOff>85725</xdr:rowOff>
        </xdr:to>
        <xdr:sp macro="" textlink="">
          <xdr:nvSpPr>
            <xdr:cNvPr id="1123" name="Button 99" descr="League of Legends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571</xdr:row>
          <xdr:rowOff>28575</xdr:rowOff>
        </xdr:from>
        <xdr:to>
          <xdr:col>1</xdr:col>
          <xdr:colOff>733425</xdr:colOff>
          <xdr:row>572</xdr:row>
          <xdr:rowOff>85725</xdr:rowOff>
        </xdr:to>
        <xdr:sp macro="" textlink="">
          <xdr:nvSpPr>
            <xdr:cNvPr id="1124" name="Button 100" descr="League of Legends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585</xdr:row>
          <xdr:rowOff>28575</xdr:rowOff>
        </xdr:from>
        <xdr:to>
          <xdr:col>1</xdr:col>
          <xdr:colOff>733425</xdr:colOff>
          <xdr:row>586</xdr:row>
          <xdr:rowOff>85725</xdr:rowOff>
        </xdr:to>
        <xdr:sp macro="" textlink="">
          <xdr:nvSpPr>
            <xdr:cNvPr id="1125" name="Button 101" descr="League of Legends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585</xdr:row>
          <xdr:rowOff>28575</xdr:rowOff>
        </xdr:from>
        <xdr:to>
          <xdr:col>1</xdr:col>
          <xdr:colOff>733425</xdr:colOff>
          <xdr:row>586</xdr:row>
          <xdr:rowOff>85725</xdr:rowOff>
        </xdr:to>
        <xdr:sp macro="" textlink="">
          <xdr:nvSpPr>
            <xdr:cNvPr id="1126" name="Button 102" descr="League of Legends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55</xdr:row>
          <xdr:rowOff>142875</xdr:rowOff>
        </xdr:from>
        <xdr:to>
          <xdr:col>2</xdr:col>
          <xdr:colOff>647700</xdr:colOff>
          <xdr:row>57</xdr:row>
          <xdr:rowOff>47625</xdr:rowOff>
        </xdr:to>
        <xdr:sp macro="" textlink="">
          <xdr:nvSpPr>
            <xdr:cNvPr id="1127" name="Button 6" descr="League of Legends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LMS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119</xdr:row>
          <xdr:rowOff>104775</xdr:rowOff>
        </xdr:from>
        <xdr:to>
          <xdr:col>3</xdr:col>
          <xdr:colOff>266700</xdr:colOff>
          <xdr:row>120</xdr:row>
          <xdr:rowOff>190500</xdr:rowOff>
        </xdr:to>
        <xdr:sp macro="" textlink="">
          <xdr:nvSpPr>
            <xdr:cNvPr id="1128" name="Button 29" descr="League of Legends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121</xdr:row>
          <xdr:rowOff>104775</xdr:rowOff>
        </xdr:from>
        <xdr:to>
          <xdr:col>3</xdr:col>
          <xdr:colOff>266700</xdr:colOff>
          <xdr:row>122</xdr:row>
          <xdr:rowOff>190500</xdr:rowOff>
        </xdr:to>
        <xdr:sp macro="" textlink="">
          <xdr:nvSpPr>
            <xdr:cNvPr id="1129" name="Button 30" descr="League of Legends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123</xdr:row>
          <xdr:rowOff>104775</xdr:rowOff>
        </xdr:from>
        <xdr:to>
          <xdr:col>3</xdr:col>
          <xdr:colOff>266700</xdr:colOff>
          <xdr:row>125</xdr:row>
          <xdr:rowOff>0</xdr:rowOff>
        </xdr:to>
        <xdr:sp macro="" textlink="">
          <xdr:nvSpPr>
            <xdr:cNvPr id="1130" name="Button 31" descr="League of Legends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119</xdr:row>
          <xdr:rowOff>104775</xdr:rowOff>
        </xdr:from>
        <xdr:to>
          <xdr:col>5</xdr:col>
          <xdr:colOff>228600</xdr:colOff>
          <xdr:row>120</xdr:row>
          <xdr:rowOff>190500</xdr:rowOff>
        </xdr:to>
        <xdr:sp macro="" textlink="">
          <xdr:nvSpPr>
            <xdr:cNvPr id="1131" name="Button 32" descr="League of Legends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121</xdr:row>
          <xdr:rowOff>104775</xdr:rowOff>
        </xdr:from>
        <xdr:to>
          <xdr:col>5</xdr:col>
          <xdr:colOff>228600</xdr:colOff>
          <xdr:row>122</xdr:row>
          <xdr:rowOff>190500</xdr:rowOff>
        </xdr:to>
        <xdr:sp macro="" textlink="">
          <xdr:nvSpPr>
            <xdr:cNvPr id="1132" name="Button 33" descr="League of Legends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123</xdr:row>
          <xdr:rowOff>104775</xdr:rowOff>
        </xdr:from>
        <xdr:to>
          <xdr:col>5</xdr:col>
          <xdr:colOff>228600</xdr:colOff>
          <xdr:row>125</xdr:row>
          <xdr:rowOff>0</xdr:rowOff>
        </xdr:to>
        <xdr:sp macro="" textlink="">
          <xdr:nvSpPr>
            <xdr:cNvPr id="1133" name="Button 34" descr="League of Legends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119</xdr:row>
          <xdr:rowOff>104775</xdr:rowOff>
        </xdr:from>
        <xdr:to>
          <xdr:col>8</xdr:col>
          <xdr:colOff>266700</xdr:colOff>
          <xdr:row>120</xdr:row>
          <xdr:rowOff>190500</xdr:rowOff>
        </xdr:to>
        <xdr:sp macro="" textlink="">
          <xdr:nvSpPr>
            <xdr:cNvPr id="1134" name="Button 35" descr="League of Legends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7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121</xdr:row>
          <xdr:rowOff>104775</xdr:rowOff>
        </xdr:from>
        <xdr:to>
          <xdr:col>8</xdr:col>
          <xdr:colOff>266700</xdr:colOff>
          <xdr:row>122</xdr:row>
          <xdr:rowOff>190500</xdr:rowOff>
        </xdr:to>
        <xdr:sp macro="" textlink="">
          <xdr:nvSpPr>
            <xdr:cNvPr id="1135" name="Button 36" descr="League of Legends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8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123</xdr:row>
          <xdr:rowOff>104775</xdr:rowOff>
        </xdr:from>
        <xdr:to>
          <xdr:col>8</xdr:col>
          <xdr:colOff>266700</xdr:colOff>
          <xdr:row>125</xdr:row>
          <xdr:rowOff>0</xdr:rowOff>
        </xdr:to>
        <xdr:sp macro="" textlink="">
          <xdr:nvSpPr>
            <xdr:cNvPr id="1136" name="Button 37" descr="League of Legends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9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119</xdr:row>
          <xdr:rowOff>104775</xdr:rowOff>
        </xdr:from>
        <xdr:to>
          <xdr:col>10</xdr:col>
          <xdr:colOff>276225</xdr:colOff>
          <xdr:row>121</xdr:row>
          <xdr:rowOff>0</xdr:rowOff>
        </xdr:to>
        <xdr:sp macro="" textlink="">
          <xdr:nvSpPr>
            <xdr:cNvPr id="1137" name="Button 38" descr="League of Legends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123</xdr:row>
          <xdr:rowOff>104775</xdr:rowOff>
        </xdr:from>
        <xdr:to>
          <xdr:col>10</xdr:col>
          <xdr:colOff>276225</xdr:colOff>
          <xdr:row>125</xdr:row>
          <xdr:rowOff>0</xdr:rowOff>
        </xdr:to>
        <xdr:sp macro="" textlink="">
          <xdr:nvSpPr>
            <xdr:cNvPr id="1138" name="Button 39" descr="League of Legends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615</xdr:row>
          <xdr:rowOff>28575</xdr:rowOff>
        </xdr:from>
        <xdr:to>
          <xdr:col>1</xdr:col>
          <xdr:colOff>733425</xdr:colOff>
          <xdr:row>616</xdr:row>
          <xdr:rowOff>85725</xdr:rowOff>
        </xdr:to>
        <xdr:sp macro="" textlink="">
          <xdr:nvSpPr>
            <xdr:cNvPr id="1139" name="Button 115" descr="League of Legends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615</xdr:row>
          <xdr:rowOff>28575</xdr:rowOff>
        </xdr:from>
        <xdr:to>
          <xdr:col>1</xdr:col>
          <xdr:colOff>733425</xdr:colOff>
          <xdr:row>616</xdr:row>
          <xdr:rowOff>85725</xdr:rowOff>
        </xdr:to>
        <xdr:sp macro="" textlink="">
          <xdr:nvSpPr>
            <xdr:cNvPr id="1140" name="Button 116" descr="League of Legends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629</xdr:row>
          <xdr:rowOff>28575</xdr:rowOff>
        </xdr:from>
        <xdr:to>
          <xdr:col>1</xdr:col>
          <xdr:colOff>733425</xdr:colOff>
          <xdr:row>630</xdr:row>
          <xdr:rowOff>85725</xdr:rowOff>
        </xdr:to>
        <xdr:sp macro="" textlink="">
          <xdr:nvSpPr>
            <xdr:cNvPr id="1141" name="Button 85" descr="League of Legends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629</xdr:row>
          <xdr:rowOff>28575</xdr:rowOff>
        </xdr:from>
        <xdr:to>
          <xdr:col>1</xdr:col>
          <xdr:colOff>733425</xdr:colOff>
          <xdr:row>630</xdr:row>
          <xdr:rowOff>85725</xdr:rowOff>
        </xdr:to>
        <xdr:sp macro="" textlink="">
          <xdr:nvSpPr>
            <xdr:cNvPr id="1142" name="Button 86" descr="League of Legends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643</xdr:row>
          <xdr:rowOff>28575</xdr:rowOff>
        </xdr:from>
        <xdr:to>
          <xdr:col>1</xdr:col>
          <xdr:colOff>733425</xdr:colOff>
          <xdr:row>644</xdr:row>
          <xdr:rowOff>85725</xdr:rowOff>
        </xdr:to>
        <xdr:sp macro="" textlink="">
          <xdr:nvSpPr>
            <xdr:cNvPr id="1143" name="Button 87" descr="League of Legends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643</xdr:row>
          <xdr:rowOff>28575</xdr:rowOff>
        </xdr:from>
        <xdr:to>
          <xdr:col>1</xdr:col>
          <xdr:colOff>733425</xdr:colOff>
          <xdr:row>644</xdr:row>
          <xdr:rowOff>85725</xdr:rowOff>
        </xdr:to>
        <xdr:sp macro="" textlink="">
          <xdr:nvSpPr>
            <xdr:cNvPr id="1144" name="Button 88" descr="League of Legends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657</xdr:row>
          <xdr:rowOff>28575</xdr:rowOff>
        </xdr:from>
        <xdr:to>
          <xdr:col>1</xdr:col>
          <xdr:colOff>733425</xdr:colOff>
          <xdr:row>658</xdr:row>
          <xdr:rowOff>85725</xdr:rowOff>
        </xdr:to>
        <xdr:sp macro="" textlink="">
          <xdr:nvSpPr>
            <xdr:cNvPr id="1145" name="Button 89" descr="League of Legends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657</xdr:row>
          <xdr:rowOff>28575</xdr:rowOff>
        </xdr:from>
        <xdr:to>
          <xdr:col>1</xdr:col>
          <xdr:colOff>733425</xdr:colOff>
          <xdr:row>658</xdr:row>
          <xdr:rowOff>85725</xdr:rowOff>
        </xdr:to>
        <xdr:sp macro="" textlink="">
          <xdr:nvSpPr>
            <xdr:cNvPr id="1146" name="Button 90" descr="League of Legends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671</xdr:row>
          <xdr:rowOff>28575</xdr:rowOff>
        </xdr:from>
        <xdr:to>
          <xdr:col>1</xdr:col>
          <xdr:colOff>733425</xdr:colOff>
          <xdr:row>672</xdr:row>
          <xdr:rowOff>85725</xdr:rowOff>
        </xdr:to>
        <xdr:sp macro="" textlink="">
          <xdr:nvSpPr>
            <xdr:cNvPr id="1147" name="Button 91" descr="League of Legends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671</xdr:row>
          <xdr:rowOff>28575</xdr:rowOff>
        </xdr:from>
        <xdr:to>
          <xdr:col>1</xdr:col>
          <xdr:colOff>733425</xdr:colOff>
          <xdr:row>672</xdr:row>
          <xdr:rowOff>85725</xdr:rowOff>
        </xdr:to>
        <xdr:sp macro="" textlink="">
          <xdr:nvSpPr>
            <xdr:cNvPr id="1148" name="Button 92" descr="League of Legends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685</xdr:row>
          <xdr:rowOff>28575</xdr:rowOff>
        </xdr:from>
        <xdr:to>
          <xdr:col>1</xdr:col>
          <xdr:colOff>733425</xdr:colOff>
          <xdr:row>686</xdr:row>
          <xdr:rowOff>85725</xdr:rowOff>
        </xdr:to>
        <xdr:sp macro="" textlink="">
          <xdr:nvSpPr>
            <xdr:cNvPr id="1149" name="Button 93" descr="League of Legends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685</xdr:row>
          <xdr:rowOff>28575</xdr:rowOff>
        </xdr:from>
        <xdr:to>
          <xdr:col>1</xdr:col>
          <xdr:colOff>733425</xdr:colOff>
          <xdr:row>686</xdr:row>
          <xdr:rowOff>85725</xdr:rowOff>
        </xdr:to>
        <xdr:sp macro="" textlink="">
          <xdr:nvSpPr>
            <xdr:cNvPr id="1150" name="Button 94" descr="League of Legends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699</xdr:row>
          <xdr:rowOff>28575</xdr:rowOff>
        </xdr:from>
        <xdr:to>
          <xdr:col>1</xdr:col>
          <xdr:colOff>733425</xdr:colOff>
          <xdr:row>700</xdr:row>
          <xdr:rowOff>85725</xdr:rowOff>
        </xdr:to>
        <xdr:sp macro="" textlink="">
          <xdr:nvSpPr>
            <xdr:cNvPr id="1151" name="Button 95" descr="League of Legends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699</xdr:row>
          <xdr:rowOff>28575</xdr:rowOff>
        </xdr:from>
        <xdr:to>
          <xdr:col>1</xdr:col>
          <xdr:colOff>733425</xdr:colOff>
          <xdr:row>700</xdr:row>
          <xdr:rowOff>85725</xdr:rowOff>
        </xdr:to>
        <xdr:sp macro="" textlink="">
          <xdr:nvSpPr>
            <xdr:cNvPr id="1152" name="Button 96" descr="League of Legends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713</xdr:row>
          <xdr:rowOff>28575</xdr:rowOff>
        </xdr:from>
        <xdr:to>
          <xdr:col>1</xdr:col>
          <xdr:colOff>733425</xdr:colOff>
          <xdr:row>714</xdr:row>
          <xdr:rowOff>85725</xdr:rowOff>
        </xdr:to>
        <xdr:sp macro="" textlink="">
          <xdr:nvSpPr>
            <xdr:cNvPr id="1153" name="Button 97" descr="League of Legends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713</xdr:row>
          <xdr:rowOff>28575</xdr:rowOff>
        </xdr:from>
        <xdr:to>
          <xdr:col>1</xdr:col>
          <xdr:colOff>733425</xdr:colOff>
          <xdr:row>714</xdr:row>
          <xdr:rowOff>85725</xdr:rowOff>
        </xdr:to>
        <xdr:sp macro="" textlink="">
          <xdr:nvSpPr>
            <xdr:cNvPr id="1154" name="Button 98" descr="League of Legends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727</xdr:row>
          <xdr:rowOff>28575</xdr:rowOff>
        </xdr:from>
        <xdr:to>
          <xdr:col>1</xdr:col>
          <xdr:colOff>733425</xdr:colOff>
          <xdr:row>728</xdr:row>
          <xdr:rowOff>85725</xdr:rowOff>
        </xdr:to>
        <xdr:sp macro="" textlink="">
          <xdr:nvSpPr>
            <xdr:cNvPr id="1155" name="Button 99" descr="League of Legends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727</xdr:row>
          <xdr:rowOff>28575</xdr:rowOff>
        </xdr:from>
        <xdr:to>
          <xdr:col>1</xdr:col>
          <xdr:colOff>733425</xdr:colOff>
          <xdr:row>728</xdr:row>
          <xdr:rowOff>85725</xdr:rowOff>
        </xdr:to>
        <xdr:sp macro="" textlink="">
          <xdr:nvSpPr>
            <xdr:cNvPr id="1156" name="Button 100" descr="League of Legends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741</xdr:row>
          <xdr:rowOff>28575</xdr:rowOff>
        </xdr:from>
        <xdr:to>
          <xdr:col>1</xdr:col>
          <xdr:colOff>733425</xdr:colOff>
          <xdr:row>742</xdr:row>
          <xdr:rowOff>85725</xdr:rowOff>
        </xdr:to>
        <xdr:sp macro="" textlink="">
          <xdr:nvSpPr>
            <xdr:cNvPr id="1157" name="Button 101" descr="League of Legends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741</xdr:row>
          <xdr:rowOff>28575</xdr:rowOff>
        </xdr:from>
        <xdr:to>
          <xdr:col>1</xdr:col>
          <xdr:colOff>733425</xdr:colOff>
          <xdr:row>742</xdr:row>
          <xdr:rowOff>85725</xdr:rowOff>
        </xdr:to>
        <xdr:sp macro="" textlink="">
          <xdr:nvSpPr>
            <xdr:cNvPr id="1158" name="Button 102" descr="League of Legends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781</xdr:row>
          <xdr:rowOff>28575</xdr:rowOff>
        </xdr:from>
        <xdr:to>
          <xdr:col>1</xdr:col>
          <xdr:colOff>733425</xdr:colOff>
          <xdr:row>782</xdr:row>
          <xdr:rowOff>85725</xdr:rowOff>
        </xdr:to>
        <xdr:sp macro="" textlink="">
          <xdr:nvSpPr>
            <xdr:cNvPr id="1159" name="Schaltfläche 51" descr="League of Legends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781</xdr:row>
          <xdr:rowOff>28575</xdr:rowOff>
        </xdr:from>
        <xdr:to>
          <xdr:col>1</xdr:col>
          <xdr:colOff>733425</xdr:colOff>
          <xdr:row>782</xdr:row>
          <xdr:rowOff>85725</xdr:rowOff>
        </xdr:to>
        <xdr:sp macro="" textlink="">
          <xdr:nvSpPr>
            <xdr:cNvPr id="1160" name="Button 101" descr="League of Legends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781</xdr:row>
          <xdr:rowOff>28575</xdr:rowOff>
        </xdr:from>
        <xdr:to>
          <xdr:col>1</xdr:col>
          <xdr:colOff>733425</xdr:colOff>
          <xdr:row>782</xdr:row>
          <xdr:rowOff>85725</xdr:rowOff>
        </xdr:to>
        <xdr:sp macro="" textlink="">
          <xdr:nvSpPr>
            <xdr:cNvPr id="1161" name="Button 102" descr="League of Legends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49</xdr:row>
          <xdr:rowOff>114300</xdr:rowOff>
        </xdr:from>
        <xdr:to>
          <xdr:col>3</xdr:col>
          <xdr:colOff>1628775</xdr:colOff>
          <xdr:row>51</xdr:row>
          <xdr:rowOff>0</xdr:rowOff>
        </xdr:to>
        <xdr:sp macro="" textlink="">
          <xdr:nvSpPr>
            <xdr:cNvPr id="1162" name="Button 4" descr="League of Legends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Rift Wars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792</xdr:row>
          <xdr:rowOff>28575</xdr:rowOff>
        </xdr:from>
        <xdr:to>
          <xdr:col>1</xdr:col>
          <xdr:colOff>733425</xdr:colOff>
          <xdr:row>793</xdr:row>
          <xdr:rowOff>85725</xdr:rowOff>
        </xdr:to>
        <xdr:sp macro="" textlink="">
          <xdr:nvSpPr>
            <xdr:cNvPr id="1163" name="Schaltfläche 51" descr="League of Legends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792</xdr:row>
          <xdr:rowOff>28575</xdr:rowOff>
        </xdr:from>
        <xdr:to>
          <xdr:col>1</xdr:col>
          <xdr:colOff>733425</xdr:colOff>
          <xdr:row>793</xdr:row>
          <xdr:rowOff>85725</xdr:rowOff>
        </xdr:to>
        <xdr:sp macro="" textlink="">
          <xdr:nvSpPr>
            <xdr:cNvPr id="1164" name="Button 101" descr="League of Legends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792</xdr:row>
          <xdr:rowOff>28575</xdr:rowOff>
        </xdr:from>
        <xdr:to>
          <xdr:col>1</xdr:col>
          <xdr:colOff>733425</xdr:colOff>
          <xdr:row>793</xdr:row>
          <xdr:rowOff>85725</xdr:rowOff>
        </xdr:to>
        <xdr:sp macro="" textlink="">
          <xdr:nvSpPr>
            <xdr:cNvPr id="1165" name="Button 102" descr="League of Legends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38100</xdr:rowOff>
        </xdr:from>
        <xdr:to>
          <xdr:col>3</xdr:col>
          <xdr:colOff>1419225</xdr:colOff>
          <xdr:row>3</xdr:row>
          <xdr:rowOff>152400</xdr:rowOff>
        </xdr:to>
        <xdr:sp macro="" textlink="">
          <xdr:nvSpPr>
            <xdr:cNvPr id="1166" name="cav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147</xdr:row>
          <xdr:rowOff>28575</xdr:rowOff>
        </xdr:from>
        <xdr:to>
          <xdr:col>1</xdr:col>
          <xdr:colOff>733425</xdr:colOff>
          <xdr:row>148</xdr:row>
          <xdr:rowOff>85725</xdr:rowOff>
        </xdr:to>
        <xdr:sp macro="" textlink="">
          <xdr:nvSpPr>
            <xdr:cNvPr id="1167" name="Button 52" descr="League of Legends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0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303</xdr:row>
          <xdr:rowOff>28575</xdr:rowOff>
        </xdr:from>
        <xdr:to>
          <xdr:col>1</xdr:col>
          <xdr:colOff>733425</xdr:colOff>
          <xdr:row>304</xdr:row>
          <xdr:rowOff>85725</xdr:rowOff>
        </xdr:to>
        <xdr:sp macro="" textlink="">
          <xdr:nvSpPr>
            <xdr:cNvPr id="1168" name="Button 63" descr="League of Legends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303</xdr:row>
          <xdr:rowOff>28575</xdr:rowOff>
        </xdr:from>
        <xdr:to>
          <xdr:col>1</xdr:col>
          <xdr:colOff>733425</xdr:colOff>
          <xdr:row>304</xdr:row>
          <xdr:rowOff>85725</xdr:rowOff>
        </xdr:to>
        <xdr:sp macro="" textlink="">
          <xdr:nvSpPr>
            <xdr:cNvPr id="1169" name="Button 145" descr="League of Legends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303</xdr:row>
          <xdr:rowOff>28575</xdr:rowOff>
        </xdr:from>
        <xdr:to>
          <xdr:col>1</xdr:col>
          <xdr:colOff>733425</xdr:colOff>
          <xdr:row>304</xdr:row>
          <xdr:rowOff>85725</xdr:rowOff>
        </xdr:to>
        <xdr:sp macro="" textlink="">
          <xdr:nvSpPr>
            <xdr:cNvPr id="1170" name="Button 146" descr="League of Legends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38100</xdr:rowOff>
        </xdr:from>
        <xdr:to>
          <xdr:col>3</xdr:col>
          <xdr:colOff>1419225</xdr:colOff>
          <xdr:row>2</xdr:row>
          <xdr:rowOff>19050</xdr:rowOff>
        </xdr:to>
        <xdr:sp macro="" textlink="">
          <xdr:nvSpPr>
            <xdr:cNvPr id="1171" name="Schaltfläche 1" descr="League of Legends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League of Legends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74</xdr:row>
          <xdr:rowOff>104775</xdr:rowOff>
        </xdr:from>
        <xdr:to>
          <xdr:col>5</xdr:col>
          <xdr:colOff>228600</xdr:colOff>
          <xdr:row>75</xdr:row>
          <xdr:rowOff>190500</xdr:rowOff>
        </xdr:to>
        <xdr:sp macro="" textlink="">
          <xdr:nvSpPr>
            <xdr:cNvPr id="1174" name="Schaltfläche 10" descr="League of Legends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76</xdr:row>
          <xdr:rowOff>104775</xdr:rowOff>
        </xdr:from>
        <xdr:to>
          <xdr:col>5</xdr:col>
          <xdr:colOff>228600</xdr:colOff>
          <xdr:row>77</xdr:row>
          <xdr:rowOff>190500</xdr:rowOff>
        </xdr:to>
        <xdr:sp macro="" textlink="">
          <xdr:nvSpPr>
            <xdr:cNvPr id="1175" name="Schaltfläche 11" descr="League of Legends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78</xdr:row>
          <xdr:rowOff>104775</xdr:rowOff>
        </xdr:from>
        <xdr:to>
          <xdr:col>5</xdr:col>
          <xdr:colOff>228600</xdr:colOff>
          <xdr:row>80</xdr:row>
          <xdr:rowOff>0</xdr:rowOff>
        </xdr:to>
        <xdr:sp macro="" textlink="">
          <xdr:nvSpPr>
            <xdr:cNvPr id="1176" name="Schaltfläche 12" descr="League of Legends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89</xdr:row>
          <xdr:rowOff>104775</xdr:rowOff>
        </xdr:from>
        <xdr:to>
          <xdr:col>5</xdr:col>
          <xdr:colOff>228600</xdr:colOff>
          <xdr:row>90</xdr:row>
          <xdr:rowOff>190500</xdr:rowOff>
        </xdr:to>
        <xdr:sp macro="" textlink="">
          <xdr:nvSpPr>
            <xdr:cNvPr id="1177" name="Button 21" descr="League of Legends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91</xdr:row>
          <xdr:rowOff>104775</xdr:rowOff>
        </xdr:from>
        <xdr:to>
          <xdr:col>5</xdr:col>
          <xdr:colOff>228600</xdr:colOff>
          <xdr:row>92</xdr:row>
          <xdr:rowOff>190500</xdr:rowOff>
        </xdr:to>
        <xdr:sp macro="" textlink="">
          <xdr:nvSpPr>
            <xdr:cNvPr id="1178" name="Button 22" descr="League of Legends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93</xdr:row>
          <xdr:rowOff>104775</xdr:rowOff>
        </xdr:from>
        <xdr:to>
          <xdr:col>5</xdr:col>
          <xdr:colOff>228600</xdr:colOff>
          <xdr:row>95</xdr:row>
          <xdr:rowOff>0</xdr:rowOff>
        </xdr:to>
        <xdr:sp macro="" textlink="">
          <xdr:nvSpPr>
            <xdr:cNvPr id="1179" name="Button 23" descr="League of Legends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0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104</xdr:row>
          <xdr:rowOff>104775</xdr:rowOff>
        </xdr:from>
        <xdr:to>
          <xdr:col>5</xdr:col>
          <xdr:colOff>228600</xdr:colOff>
          <xdr:row>105</xdr:row>
          <xdr:rowOff>190500</xdr:rowOff>
        </xdr:to>
        <xdr:sp macro="" textlink="">
          <xdr:nvSpPr>
            <xdr:cNvPr id="1180" name="Button 32" descr="League of Legends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0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106</xdr:row>
          <xdr:rowOff>104775</xdr:rowOff>
        </xdr:from>
        <xdr:to>
          <xdr:col>5</xdr:col>
          <xdr:colOff>228600</xdr:colOff>
          <xdr:row>107</xdr:row>
          <xdr:rowOff>190500</xdr:rowOff>
        </xdr:to>
        <xdr:sp macro="" textlink="">
          <xdr:nvSpPr>
            <xdr:cNvPr id="1181" name="Button 33" descr="League of Legends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0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108</xdr:row>
          <xdr:rowOff>104775</xdr:rowOff>
        </xdr:from>
        <xdr:to>
          <xdr:col>5</xdr:col>
          <xdr:colOff>228600</xdr:colOff>
          <xdr:row>110</xdr:row>
          <xdr:rowOff>0</xdr:rowOff>
        </xdr:to>
        <xdr:sp macro="" textlink="">
          <xdr:nvSpPr>
            <xdr:cNvPr id="1182" name="Button 34" descr="League of Legends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0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119</xdr:row>
          <xdr:rowOff>104775</xdr:rowOff>
        </xdr:from>
        <xdr:to>
          <xdr:col>5</xdr:col>
          <xdr:colOff>228600</xdr:colOff>
          <xdr:row>120</xdr:row>
          <xdr:rowOff>190500</xdr:rowOff>
        </xdr:to>
        <xdr:sp macro="" textlink="">
          <xdr:nvSpPr>
            <xdr:cNvPr id="1183" name="Button 159" descr="League of Legends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0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121</xdr:row>
          <xdr:rowOff>104775</xdr:rowOff>
        </xdr:from>
        <xdr:to>
          <xdr:col>5</xdr:col>
          <xdr:colOff>228600</xdr:colOff>
          <xdr:row>122</xdr:row>
          <xdr:rowOff>190500</xdr:rowOff>
        </xdr:to>
        <xdr:sp macro="" textlink="">
          <xdr:nvSpPr>
            <xdr:cNvPr id="1184" name="Button 160" descr="League of Legends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0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123</xdr:row>
          <xdr:rowOff>104775</xdr:rowOff>
        </xdr:from>
        <xdr:to>
          <xdr:col>5</xdr:col>
          <xdr:colOff>228600</xdr:colOff>
          <xdr:row>125</xdr:row>
          <xdr:rowOff>0</xdr:rowOff>
        </xdr:to>
        <xdr:sp macro="" textlink="">
          <xdr:nvSpPr>
            <xdr:cNvPr id="1185" name="Button 161" descr="League of Legends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0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49</xdr:row>
          <xdr:rowOff>114300</xdr:rowOff>
        </xdr:from>
        <xdr:to>
          <xdr:col>3</xdr:col>
          <xdr:colOff>1628775</xdr:colOff>
          <xdr:row>51</xdr:row>
          <xdr:rowOff>0</xdr:rowOff>
        </xdr:to>
        <xdr:sp macro="" textlink="">
          <xdr:nvSpPr>
            <xdr:cNvPr id="1186" name="Button 162" descr="League of Legends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0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Rift Wars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4</xdr:row>
          <xdr:rowOff>28575</xdr:rowOff>
        </xdr:from>
        <xdr:to>
          <xdr:col>3</xdr:col>
          <xdr:colOff>1419225</xdr:colOff>
          <xdr:row>5</xdr:row>
          <xdr:rowOff>123825</xdr:rowOff>
        </xdr:to>
        <xdr:sp macro="" textlink="">
          <xdr:nvSpPr>
            <xdr:cNvPr id="1187" name="Schaltfläche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0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Matches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7</xdr:row>
          <xdr:rowOff>114300</xdr:rowOff>
        </xdr:from>
        <xdr:to>
          <xdr:col>3</xdr:col>
          <xdr:colOff>142875</xdr:colOff>
          <xdr:row>9</xdr:row>
          <xdr:rowOff>19050</xdr:rowOff>
        </xdr:to>
        <xdr:sp macro="" textlink="">
          <xdr:nvSpPr>
            <xdr:cNvPr id="1188" name="Schaltfläche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0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Import Win%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5</xdr:row>
          <xdr:rowOff>161925</xdr:rowOff>
        </xdr:from>
        <xdr:to>
          <xdr:col>3</xdr:col>
          <xdr:colOff>142875</xdr:colOff>
          <xdr:row>7</xdr:row>
          <xdr:rowOff>66675</xdr:rowOff>
        </xdr:to>
        <xdr:sp macro="" textlink="">
          <xdr:nvSpPr>
            <xdr:cNvPr id="1189" name="Schaltfläche 165" descr="Clear Win%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0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Win%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7</xdr:row>
          <xdr:rowOff>114300</xdr:rowOff>
        </xdr:from>
        <xdr:to>
          <xdr:col>3</xdr:col>
          <xdr:colOff>1428750</xdr:colOff>
          <xdr:row>9</xdr:row>
          <xdr:rowOff>19050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0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Import Win% Weekly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38100</xdr:rowOff>
        </xdr:from>
        <xdr:to>
          <xdr:col>3</xdr:col>
          <xdr:colOff>9525</xdr:colOff>
          <xdr:row>3</xdr:row>
          <xdr:rowOff>152400</xdr:rowOff>
        </xdr:to>
        <xdr:sp macro="" textlink="">
          <xdr:nvSpPr>
            <xdr:cNvPr id="1194" name="jumpToInfo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000-0000A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5</xdr:row>
          <xdr:rowOff>161925</xdr:rowOff>
        </xdr:from>
        <xdr:to>
          <xdr:col>3</xdr:col>
          <xdr:colOff>1419225</xdr:colOff>
          <xdr:row>7</xdr:row>
          <xdr:rowOff>66675</xdr:rowOff>
        </xdr:to>
        <xdr:sp macro="" textlink="">
          <xdr:nvSpPr>
            <xdr:cNvPr id="1195" name="Schaltfläche 165" descr="Clear Win%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0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Week Info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ummerSplit2018_CompleteSeason_PINNAC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Übersicht"/>
    </sheetNames>
    <sheetDataSet>
      <sheetData sheetId="0">
        <row r="149">
          <cell r="G149">
            <v>1.6990000000000001</v>
          </cell>
          <cell r="H149">
            <v>2.1789999999999998</v>
          </cell>
          <cell r="K149" t="str">
            <v>T2</v>
          </cell>
          <cell r="L149">
            <v>0.15487000000000006</v>
          </cell>
          <cell r="M149">
            <v>56.25</v>
          </cell>
        </row>
        <row r="150">
          <cell r="G150">
            <v>2.35</v>
          </cell>
          <cell r="H150">
            <v>1.6060000000000001</v>
          </cell>
          <cell r="K150" t="str">
            <v>T1</v>
          </cell>
          <cell r="L150">
            <v>0.64500000000000002</v>
          </cell>
          <cell r="M150">
            <v>75</v>
          </cell>
        </row>
        <row r="151">
          <cell r="G151">
            <v>1.3169999999999999</v>
          </cell>
          <cell r="H151">
            <v>3.46</v>
          </cell>
          <cell r="K151" t="str">
            <v>T2</v>
          </cell>
          <cell r="L151">
            <v>0.24560000000000004</v>
          </cell>
          <cell r="M151">
            <v>56.25</v>
          </cell>
        </row>
        <row r="152">
          <cell r="G152">
            <v>1.7629999999999999</v>
          </cell>
          <cell r="H152">
            <v>2.08</v>
          </cell>
          <cell r="K152" t="str">
            <v>T1</v>
          </cell>
          <cell r="L152">
            <v>0.23409999999999975</v>
          </cell>
          <cell r="M152">
            <v>56.25</v>
          </cell>
        </row>
        <row r="153">
          <cell r="G153">
            <v>1.29</v>
          </cell>
          <cell r="H153">
            <v>3.66</v>
          </cell>
          <cell r="K153" t="str">
            <v>T2</v>
          </cell>
          <cell r="L153">
            <v>0.68359999999999999</v>
          </cell>
          <cell r="M153">
            <v>75</v>
          </cell>
        </row>
        <row r="154">
          <cell r="G154">
            <v>1.427</v>
          </cell>
          <cell r="H154">
            <v>2.88</v>
          </cell>
          <cell r="K154" t="str">
            <v>T2</v>
          </cell>
          <cell r="L154">
            <v>0.32479999999999976</v>
          </cell>
          <cell r="M154">
            <v>56.25</v>
          </cell>
        </row>
        <row r="155">
          <cell r="G155">
            <v>2.35</v>
          </cell>
          <cell r="H155">
            <v>1.6060000000000001</v>
          </cell>
          <cell r="K155" t="str">
            <v>T1</v>
          </cell>
          <cell r="L155">
            <v>0.36299999999999999</v>
          </cell>
          <cell r="M155">
            <v>56.25</v>
          </cell>
        </row>
        <row r="156">
          <cell r="G156">
            <v>1.1779999999999999</v>
          </cell>
          <cell r="H156">
            <v>5.0199999999999996</v>
          </cell>
          <cell r="K156" t="str">
            <v>T2</v>
          </cell>
          <cell r="L156">
            <v>0.35539999999999994</v>
          </cell>
          <cell r="M156">
            <v>56.25</v>
          </cell>
        </row>
        <row r="157">
          <cell r="G157">
            <v>1.8</v>
          </cell>
          <cell r="H157">
            <v>2.0299999999999998</v>
          </cell>
          <cell r="K157" t="str">
            <v>T2</v>
          </cell>
          <cell r="L157">
            <v>0.1774</v>
          </cell>
          <cell r="M157">
            <v>56.25</v>
          </cell>
        </row>
        <row r="158">
          <cell r="G158">
            <v>1.833</v>
          </cell>
          <cell r="H158">
            <v>1.99</v>
          </cell>
          <cell r="K158" t="str">
            <v>T1</v>
          </cell>
          <cell r="L158">
            <v>0.53971999999999998</v>
          </cell>
          <cell r="M158">
            <v>75</v>
          </cell>
        </row>
        <row r="163">
          <cell r="G163">
            <v>2.94</v>
          </cell>
          <cell r="H163">
            <v>1.413</v>
          </cell>
          <cell r="K163" t="str">
            <v>T1</v>
          </cell>
          <cell r="L163">
            <v>0.70519999999999983</v>
          </cell>
          <cell r="M163">
            <v>75</v>
          </cell>
        </row>
        <row r="164">
          <cell r="G164">
            <v>2.76</v>
          </cell>
          <cell r="H164">
            <v>1.458</v>
          </cell>
          <cell r="K164" t="str">
            <v>T2</v>
          </cell>
          <cell r="L164">
            <v>0.21013999999999999</v>
          </cell>
          <cell r="M164">
            <v>56.25</v>
          </cell>
        </row>
        <row r="165">
          <cell r="G165">
            <v>1.746</v>
          </cell>
          <cell r="H165">
            <v>2.11</v>
          </cell>
          <cell r="K165" t="str">
            <v>T1</v>
          </cell>
          <cell r="L165">
            <v>0.36187999999999998</v>
          </cell>
          <cell r="M165">
            <v>56.25</v>
          </cell>
        </row>
        <row r="166">
          <cell r="G166">
            <v>1.641</v>
          </cell>
          <cell r="H166">
            <v>2.29</v>
          </cell>
          <cell r="K166" t="str">
            <v>T2</v>
          </cell>
          <cell r="L166">
            <v>0.16789999999999994</v>
          </cell>
          <cell r="M166">
            <v>56.25</v>
          </cell>
        </row>
        <row r="167">
          <cell r="G167">
            <v>1.1419999999999999</v>
          </cell>
          <cell r="H167">
            <v>5.81</v>
          </cell>
          <cell r="K167" t="str">
            <v>T2</v>
          </cell>
          <cell r="L167">
            <v>1.3820999999999999</v>
          </cell>
          <cell r="M167">
            <v>187.5</v>
          </cell>
        </row>
        <row r="168">
          <cell r="G168">
            <v>1.4339999999999999</v>
          </cell>
          <cell r="H168">
            <v>2.85</v>
          </cell>
          <cell r="K168" t="str">
            <v>T2</v>
          </cell>
          <cell r="L168">
            <v>0.33949999999999991</v>
          </cell>
          <cell r="M168">
            <v>56.25</v>
          </cell>
        </row>
        <row r="169">
          <cell r="G169">
            <v>1.609</v>
          </cell>
          <cell r="H169">
            <v>2.35</v>
          </cell>
          <cell r="K169" t="str">
            <v>T2</v>
          </cell>
          <cell r="L169">
            <v>0.15149999999999997</v>
          </cell>
          <cell r="M169">
            <v>56.25</v>
          </cell>
        </row>
        <row r="170">
          <cell r="G170">
            <v>1.446</v>
          </cell>
          <cell r="H170">
            <v>2.81</v>
          </cell>
          <cell r="K170" t="str">
            <v>T2</v>
          </cell>
          <cell r="L170">
            <v>0.40500000000000003</v>
          </cell>
          <cell r="M170">
            <v>56.25</v>
          </cell>
        </row>
        <row r="171">
          <cell r="G171">
            <v>1.952</v>
          </cell>
          <cell r="H171">
            <v>1.869</v>
          </cell>
          <cell r="K171" t="str">
            <v>T1</v>
          </cell>
          <cell r="L171" t="str">
            <v>NO BET</v>
          </cell>
          <cell r="M171" t="str">
            <v>NO BET</v>
          </cell>
        </row>
        <row r="172">
          <cell r="G172">
            <v>5.14</v>
          </cell>
          <cell r="H172">
            <v>1.1719999999999999</v>
          </cell>
          <cell r="K172" t="str">
            <v>T1</v>
          </cell>
          <cell r="L172">
            <v>1.4157999999999995</v>
          </cell>
          <cell r="M172">
            <v>187.5</v>
          </cell>
        </row>
        <row r="177">
          <cell r="G177">
            <v>1.423</v>
          </cell>
          <cell r="H177">
            <v>2.9</v>
          </cell>
          <cell r="K177" t="str">
            <v>T2</v>
          </cell>
          <cell r="L177">
            <v>0.36299999999999999</v>
          </cell>
          <cell r="M177">
            <v>56.25</v>
          </cell>
        </row>
        <row r="178">
          <cell r="G178">
            <v>2.31</v>
          </cell>
          <cell r="H178">
            <v>1.625</v>
          </cell>
          <cell r="K178" t="str">
            <v>T1</v>
          </cell>
          <cell r="L178">
            <v>0.13189999999999991</v>
          </cell>
          <cell r="M178">
            <v>56.25</v>
          </cell>
        </row>
        <row r="179">
          <cell r="G179">
            <v>1.7629999999999999</v>
          </cell>
          <cell r="H179">
            <v>2.08</v>
          </cell>
          <cell r="K179" t="str">
            <v>T2</v>
          </cell>
          <cell r="L179" t="str">
            <v>NO BET</v>
          </cell>
          <cell r="M179" t="str">
            <v>NO BET</v>
          </cell>
        </row>
        <row r="180">
          <cell r="G180">
            <v>4.07</v>
          </cell>
          <cell r="H180">
            <v>1.246</v>
          </cell>
          <cell r="K180" t="str">
            <v>T1</v>
          </cell>
          <cell r="L180">
            <v>0.91290000000000004</v>
          </cell>
          <cell r="M180">
            <v>93.75</v>
          </cell>
        </row>
        <row r="181">
          <cell r="G181">
            <v>1.7689999999999999</v>
          </cell>
          <cell r="H181">
            <v>2.0699999999999998</v>
          </cell>
          <cell r="K181" t="str">
            <v>T2</v>
          </cell>
          <cell r="L181">
            <v>1.4299999999999979E-2</v>
          </cell>
          <cell r="M181">
            <v>56.25</v>
          </cell>
        </row>
        <row r="182">
          <cell r="G182">
            <v>6.95</v>
          </cell>
          <cell r="H182">
            <v>1.1060000000000001</v>
          </cell>
          <cell r="K182" t="str">
            <v>T1</v>
          </cell>
          <cell r="L182">
            <v>2.2664999999999997</v>
          </cell>
          <cell r="M182">
            <v>300</v>
          </cell>
        </row>
        <row r="183">
          <cell r="K183" t="str">
            <v>T2</v>
          </cell>
          <cell r="L183" t="str">
            <v>NO BET</v>
          </cell>
          <cell r="M183" t="str">
            <v>NO BET</v>
          </cell>
        </row>
        <row r="184">
          <cell r="K184" t="str">
            <v>T2</v>
          </cell>
          <cell r="L184" t="str">
            <v>NO BET</v>
          </cell>
          <cell r="M184" t="str">
            <v>NO BET</v>
          </cell>
        </row>
        <row r="185">
          <cell r="K185" t="str">
            <v>T2</v>
          </cell>
          <cell r="L185" t="str">
            <v>NO BET</v>
          </cell>
          <cell r="M185" t="str">
            <v>NO BET</v>
          </cell>
        </row>
        <row r="186">
          <cell r="K186" t="str">
            <v>T2</v>
          </cell>
          <cell r="L186" t="str">
            <v>NO BET</v>
          </cell>
          <cell r="M186" t="str">
            <v>NO BET</v>
          </cell>
        </row>
        <row r="191">
          <cell r="K191" t="str">
            <v>T2</v>
          </cell>
          <cell r="L191" t="str">
            <v>NO BET</v>
          </cell>
          <cell r="M191" t="str">
            <v>NO BET</v>
          </cell>
        </row>
        <row r="192">
          <cell r="K192" t="str">
            <v>T2</v>
          </cell>
          <cell r="L192" t="str">
            <v>NO BET</v>
          </cell>
          <cell r="M192" t="str">
            <v>NO BET</v>
          </cell>
        </row>
        <row r="193">
          <cell r="K193" t="str">
            <v>T2</v>
          </cell>
          <cell r="L193" t="str">
            <v>NO BET</v>
          </cell>
          <cell r="M193" t="str">
            <v>NO BET</v>
          </cell>
        </row>
        <row r="194">
          <cell r="K194" t="str">
            <v>T2</v>
          </cell>
          <cell r="L194" t="str">
            <v>NO BET</v>
          </cell>
          <cell r="M194" t="str">
            <v>NO BET</v>
          </cell>
        </row>
        <row r="195">
          <cell r="K195" t="str">
            <v>T2</v>
          </cell>
          <cell r="L195" t="str">
            <v>NO BET</v>
          </cell>
          <cell r="M195" t="str">
            <v>NO BET</v>
          </cell>
        </row>
        <row r="196">
          <cell r="K196" t="str">
            <v>T2</v>
          </cell>
          <cell r="L196" t="str">
            <v>NO BET</v>
          </cell>
          <cell r="M196" t="str">
            <v>NO BET</v>
          </cell>
        </row>
        <row r="197">
          <cell r="K197" t="str">
            <v>T2</v>
          </cell>
          <cell r="L197" t="str">
            <v>NO BET</v>
          </cell>
          <cell r="M197" t="str">
            <v>NO BET</v>
          </cell>
        </row>
        <row r="198">
          <cell r="K198" t="str">
            <v>T2</v>
          </cell>
          <cell r="L198" t="str">
            <v>NO BET</v>
          </cell>
          <cell r="M198" t="str">
            <v>NO BET</v>
          </cell>
        </row>
        <row r="199">
          <cell r="K199" t="str">
            <v>T2</v>
          </cell>
          <cell r="L199" t="str">
            <v>NO BET</v>
          </cell>
          <cell r="M199" t="str">
            <v>NO BET</v>
          </cell>
        </row>
        <row r="200">
          <cell r="K200" t="str">
            <v>T2</v>
          </cell>
          <cell r="L200" t="str">
            <v>NO BET</v>
          </cell>
          <cell r="M200" t="str">
            <v>NO BET</v>
          </cell>
        </row>
        <row r="205">
          <cell r="K205" t="str">
            <v>T2</v>
          </cell>
          <cell r="L205" t="str">
            <v>NO BET</v>
          </cell>
          <cell r="M205" t="str">
            <v>NO BET</v>
          </cell>
        </row>
        <row r="206">
          <cell r="K206" t="str">
            <v>T2</v>
          </cell>
          <cell r="L206" t="str">
            <v>NO BET</v>
          </cell>
          <cell r="M206" t="str">
            <v>NO BET</v>
          </cell>
        </row>
        <row r="207">
          <cell r="K207" t="str">
            <v>T2</v>
          </cell>
          <cell r="L207" t="str">
            <v>NO BET</v>
          </cell>
          <cell r="M207" t="str">
            <v>NO BET</v>
          </cell>
        </row>
        <row r="208">
          <cell r="K208" t="str">
            <v>T2</v>
          </cell>
          <cell r="L208" t="str">
            <v>NO BET</v>
          </cell>
          <cell r="M208" t="str">
            <v>NO BET</v>
          </cell>
        </row>
        <row r="209">
          <cell r="K209" t="str">
            <v>T2</v>
          </cell>
          <cell r="L209" t="str">
            <v>NO BET</v>
          </cell>
          <cell r="M209" t="str">
            <v>NO BET</v>
          </cell>
        </row>
        <row r="210">
          <cell r="K210" t="str">
            <v>T2</v>
          </cell>
          <cell r="L210" t="str">
            <v>NO BET</v>
          </cell>
          <cell r="M210" t="str">
            <v>NO BET</v>
          </cell>
        </row>
        <row r="211">
          <cell r="K211" t="str">
            <v>T2</v>
          </cell>
          <cell r="L211" t="str">
            <v>NO BET</v>
          </cell>
          <cell r="M211" t="str">
            <v>NO BET</v>
          </cell>
        </row>
        <row r="212">
          <cell r="K212" t="str">
            <v>T2</v>
          </cell>
          <cell r="L212" t="str">
            <v>NO BET</v>
          </cell>
          <cell r="M212" t="str">
            <v>NO BET</v>
          </cell>
        </row>
        <row r="213">
          <cell r="K213" t="str">
            <v>T2</v>
          </cell>
          <cell r="L213" t="str">
            <v>NO BET</v>
          </cell>
          <cell r="M213" t="str">
            <v>NO BET</v>
          </cell>
        </row>
        <row r="214">
          <cell r="K214" t="str">
            <v>T2</v>
          </cell>
          <cell r="L214" t="str">
            <v>NO BET</v>
          </cell>
          <cell r="M214" t="str">
            <v>NO BET</v>
          </cell>
        </row>
        <row r="219">
          <cell r="K219" t="str">
            <v>T2</v>
          </cell>
          <cell r="L219" t="str">
            <v>NO BET</v>
          </cell>
          <cell r="M219" t="str">
            <v>NO BET</v>
          </cell>
        </row>
        <row r="220">
          <cell r="K220" t="str">
            <v>T2</v>
          </cell>
          <cell r="L220" t="str">
            <v>NO BET</v>
          </cell>
          <cell r="M220" t="str">
            <v>NO BET</v>
          </cell>
        </row>
        <row r="221">
          <cell r="K221" t="str">
            <v>T2</v>
          </cell>
          <cell r="L221" t="str">
            <v>NO BET</v>
          </cell>
          <cell r="M221" t="str">
            <v>NO BET</v>
          </cell>
        </row>
        <row r="222">
          <cell r="K222" t="str">
            <v>T2</v>
          </cell>
          <cell r="L222" t="str">
            <v>NO BET</v>
          </cell>
          <cell r="M222" t="str">
            <v>NO BET</v>
          </cell>
        </row>
        <row r="223">
          <cell r="K223" t="str">
            <v>T2</v>
          </cell>
          <cell r="L223" t="str">
            <v>NO BET</v>
          </cell>
          <cell r="M223" t="str">
            <v>NO BET</v>
          </cell>
        </row>
        <row r="224">
          <cell r="K224" t="str">
            <v>T2</v>
          </cell>
          <cell r="L224" t="str">
            <v>NO BET</v>
          </cell>
          <cell r="M224" t="str">
            <v>NO BET</v>
          </cell>
        </row>
        <row r="225">
          <cell r="K225" t="str">
            <v>T2</v>
          </cell>
          <cell r="L225" t="str">
            <v>NO BET</v>
          </cell>
          <cell r="M225" t="str">
            <v>NO BET</v>
          </cell>
        </row>
        <row r="226">
          <cell r="K226" t="str">
            <v>T2</v>
          </cell>
          <cell r="L226" t="str">
            <v>NO BET</v>
          </cell>
          <cell r="M226" t="str">
            <v>NO BET</v>
          </cell>
        </row>
        <row r="227">
          <cell r="K227" t="str">
            <v>T2</v>
          </cell>
          <cell r="L227" t="str">
            <v>NO BET</v>
          </cell>
          <cell r="M227" t="str">
            <v>NO BET</v>
          </cell>
        </row>
        <row r="228">
          <cell r="K228" t="str">
            <v>T2</v>
          </cell>
          <cell r="L228" t="str">
            <v>NO BET</v>
          </cell>
          <cell r="M228" t="str">
            <v>NO BET</v>
          </cell>
        </row>
        <row r="233">
          <cell r="K233" t="str">
            <v>T2</v>
          </cell>
          <cell r="L233" t="str">
            <v>NO BET</v>
          </cell>
          <cell r="M233" t="str">
            <v>NO BET</v>
          </cell>
        </row>
        <row r="234">
          <cell r="K234" t="str">
            <v>T2</v>
          </cell>
          <cell r="L234" t="str">
            <v>NO BET</v>
          </cell>
          <cell r="M234" t="str">
            <v>NO BET</v>
          </cell>
        </row>
        <row r="235">
          <cell r="K235" t="str">
            <v>T2</v>
          </cell>
          <cell r="L235" t="str">
            <v>NO BET</v>
          </cell>
          <cell r="M235" t="str">
            <v>NO BET</v>
          </cell>
        </row>
        <row r="236">
          <cell r="K236" t="str">
            <v>T2</v>
          </cell>
          <cell r="L236" t="str">
            <v>NO BET</v>
          </cell>
          <cell r="M236" t="str">
            <v>NO BET</v>
          </cell>
        </row>
        <row r="237">
          <cell r="K237" t="str">
            <v>T2</v>
          </cell>
          <cell r="L237" t="str">
            <v>NO BET</v>
          </cell>
          <cell r="M237" t="str">
            <v>NO BET</v>
          </cell>
        </row>
        <row r="238">
          <cell r="K238" t="str">
            <v>T2</v>
          </cell>
          <cell r="L238" t="str">
            <v>NO BET</v>
          </cell>
          <cell r="M238" t="str">
            <v>NO BET</v>
          </cell>
        </row>
        <row r="239">
          <cell r="K239" t="str">
            <v>T2</v>
          </cell>
          <cell r="L239" t="str">
            <v>NO BET</v>
          </cell>
          <cell r="M239" t="str">
            <v>NO BET</v>
          </cell>
        </row>
        <row r="240">
          <cell r="K240" t="str">
            <v>T2</v>
          </cell>
          <cell r="L240" t="str">
            <v>NO BET</v>
          </cell>
          <cell r="M240" t="str">
            <v>NO BET</v>
          </cell>
        </row>
        <row r="241">
          <cell r="K241" t="str">
            <v>T2</v>
          </cell>
          <cell r="L241" t="str">
            <v>NO BET</v>
          </cell>
          <cell r="M241" t="str">
            <v>NO BET</v>
          </cell>
        </row>
        <row r="242">
          <cell r="K242" t="str">
            <v>T2</v>
          </cell>
          <cell r="L242" t="str">
            <v>NO BET</v>
          </cell>
          <cell r="M242" t="str">
            <v>NO BET</v>
          </cell>
        </row>
        <row r="247">
          <cell r="K247" t="str">
            <v>T2</v>
          </cell>
          <cell r="L247" t="str">
            <v>NO BET</v>
          </cell>
          <cell r="M247" t="str">
            <v>NO BET</v>
          </cell>
        </row>
        <row r="248">
          <cell r="K248" t="str">
            <v>T2</v>
          </cell>
          <cell r="L248" t="str">
            <v>NO BET</v>
          </cell>
          <cell r="M248" t="str">
            <v>NO BET</v>
          </cell>
        </row>
        <row r="249">
          <cell r="K249" t="str">
            <v>T2</v>
          </cell>
          <cell r="L249" t="str">
            <v>NO BET</v>
          </cell>
          <cell r="M249" t="str">
            <v>NO BET</v>
          </cell>
        </row>
        <row r="250">
          <cell r="K250" t="str">
            <v>T2</v>
          </cell>
          <cell r="L250" t="str">
            <v>NO BET</v>
          </cell>
          <cell r="M250" t="str">
            <v>NO BET</v>
          </cell>
        </row>
        <row r="251">
          <cell r="K251" t="str">
            <v>T2</v>
          </cell>
          <cell r="L251" t="str">
            <v>NO BET</v>
          </cell>
          <cell r="M251" t="str">
            <v>NO BET</v>
          </cell>
        </row>
        <row r="252">
          <cell r="K252" t="str">
            <v>T2</v>
          </cell>
          <cell r="L252" t="str">
            <v>NO BET</v>
          </cell>
          <cell r="M252" t="str">
            <v>NO BET</v>
          </cell>
        </row>
        <row r="253">
          <cell r="K253" t="str">
            <v>T2</v>
          </cell>
          <cell r="L253" t="str">
            <v>NO BET</v>
          </cell>
          <cell r="M253" t="str">
            <v>NO BET</v>
          </cell>
        </row>
        <row r="254">
          <cell r="K254" t="str">
            <v>T2</v>
          </cell>
          <cell r="L254" t="str">
            <v>NO BET</v>
          </cell>
          <cell r="M254" t="str">
            <v>NO BET</v>
          </cell>
        </row>
        <row r="255">
          <cell r="K255" t="str">
            <v>T2</v>
          </cell>
          <cell r="L255" t="str">
            <v>NO BET</v>
          </cell>
          <cell r="M255" t="str">
            <v>NO BET</v>
          </cell>
        </row>
        <row r="256">
          <cell r="K256" t="str">
            <v>T2</v>
          </cell>
          <cell r="L256" t="str">
            <v>NO BET</v>
          </cell>
          <cell r="M256" t="str">
            <v>NO BET</v>
          </cell>
        </row>
        <row r="261">
          <cell r="K261" t="str">
            <v>T2</v>
          </cell>
          <cell r="L261" t="str">
            <v>NO BET</v>
          </cell>
          <cell r="M261" t="str">
            <v>NO BET</v>
          </cell>
        </row>
        <row r="262">
          <cell r="K262" t="str">
            <v>T2</v>
          </cell>
          <cell r="L262" t="str">
            <v>NO BET</v>
          </cell>
          <cell r="M262" t="str">
            <v>NO BET</v>
          </cell>
        </row>
        <row r="263">
          <cell r="K263" t="str">
            <v>T2</v>
          </cell>
          <cell r="L263" t="str">
            <v>NO BET</v>
          </cell>
          <cell r="M263" t="str">
            <v>NO BET</v>
          </cell>
        </row>
        <row r="264">
          <cell r="K264" t="str">
            <v>T2</v>
          </cell>
          <cell r="L264" t="str">
            <v>NO BET</v>
          </cell>
          <cell r="M264" t="str">
            <v>NO BET</v>
          </cell>
        </row>
        <row r="265">
          <cell r="K265" t="str">
            <v>T2</v>
          </cell>
          <cell r="L265" t="str">
            <v>NO BET</v>
          </cell>
          <cell r="M265" t="str">
            <v>NO BET</v>
          </cell>
        </row>
        <row r="266">
          <cell r="K266" t="str">
            <v>T2</v>
          </cell>
          <cell r="L266" t="str">
            <v>NO BET</v>
          </cell>
          <cell r="M266" t="str">
            <v>NO BET</v>
          </cell>
        </row>
        <row r="267">
          <cell r="K267" t="str">
            <v>T2</v>
          </cell>
          <cell r="L267" t="str">
            <v>NO BET</v>
          </cell>
          <cell r="M267" t="str">
            <v>NO BET</v>
          </cell>
        </row>
        <row r="268">
          <cell r="K268" t="str">
            <v>T2</v>
          </cell>
          <cell r="L268" t="str">
            <v>NO BET</v>
          </cell>
          <cell r="M268" t="str">
            <v>NO BET</v>
          </cell>
        </row>
        <row r="269">
          <cell r="K269" t="str">
            <v>T2</v>
          </cell>
          <cell r="L269" t="str">
            <v>NO BET</v>
          </cell>
          <cell r="M269" t="str">
            <v>NO BET</v>
          </cell>
        </row>
        <row r="270">
          <cell r="K270" t="str">
            <v>T2</v>
          </cell>
          <cell r="L270" t="str">
            <v>NO BET</v>
          </cell>
          <cell r="M270" t="str">
            <v>NO BET</v>
          </cell>
        </row>
        <row r="275">
          <cell r="K275" t="str">
            <v>T2</v>
          </cell>
          <cell r="L275" t="str">
            <v>NO BET</v>
          </cell>
          <cell r="M275" t="str">
            <v>NO BET</v>
          </cell>
        </row>
        <row r="276">
          <cell r="K276" t="str">
            <v>T2</v>
          </cell>
          <cell r="L276" t="str">
            <v>NO BET</v>
          </cell>
          <cell r="M276" t="str">
            <v>NO BET</v>
          </cell>
        </row>
        <row r="277">
          <cell r="K277" t="str">
            <v>T2</v>
          </cell>
          <cell r="L277" t="str">
            <v>NO BET</v>
          </cell>
          <cell r="M277" t="str">
            <v>NO BET</v>
          </cell>
        </row>
        <row r="278">
          <cell r="K278" t="str">
            <v>T2</v>
          </cell>
          <cell r="L278" t="str">
            <v>NO BET</v>
          </cell>
          <cell r="M278" t="str">
            <v>NO BET</v>
          </cell>
        </row>
        <row r="279">
          <cell r="K279" t="str">
            <v>T2</v>
          </cell>
          <cell r="L279" t="str">
            <v>NO BET</v>
          </cell>
          <cell r="M279" t="str">
            <v>NO BET</v>
          </cell>
        </row>
        <row r="280">
          <cell r="K280" t="str">
            <v>T2</v>
          </cell>
          <cell r="L280" t="str">
            <v>NO BET</v>
          </cell>
          <cell r="M280" t="str">
            <v>NO BET</v>
          </cell>
        </row>
        <row r="281">
          <cell r="K281" t="str">
            <v>T2</v>
          </cell>
          <cell r="L281" t="str">
            <v>NO BET</v>
          </cell>
          <cell r="M281" t="str">
            <v>NO BET</v>
          </cell>
        </row>
        <row r="282">
          <cell r="K282" t="str">
            <v>T2</v>
          </cell>
          <cell r="L282" t="str">
            <v>NO BET</v>
          </cell>
          <cell r="M282" t="str">
            <v>NO BET</v>
          </cell>
        </row>
        <row r="283">
          <cell r="K283" t="str">
            <v>T2</v>
          </cell>
          <cell r="L283" t="str">
            <v>NO BET</v>
          </cell>
          <cell r="M283" t="str">
            <v>NO BET</v>
          </cell>
        </row>
        <row r="284">
          <cell r="K284" t="str">
            <v>T2</v>
          </cell>
          <cell r="L284" t="str">
            <v>NO BET</v>
          </cell>
          <cell r="M284" t="str">
            <v>NO BET</v>
          </cell>
        </row>
        <row r="305">
          <cell r="G305">
            <v>2.5499999999999998</v>
          </cell>
          <cell r="H305">
            <v>1.526</v>
          </cell>
          <cell r="K305" t="str">
            <v>T1</v>
          </cell>
          <cell r="L305">
            <v>0.35659999999999981</v>
          </cell>
          <cell r="M305">
            <v>56.25</v>
          </cell>
        </row>
        <row r="306">
          <cell r="G306">
            <v>2.5499999999999998</v>
          </cell>
          <cell r="H306">
            <v>1.526</v>
          </cell>
          <cell r="K306" t="str">
            <v>T1</v>
          </cell>
          <cell r="L306">
            <v>0.16279999999999983</v>
          </cell>
          <cell r="M306">
            <v>56.25</v>
          </cell>
        </row>
        <row r="307">
          <cell r="G307">
            <v>2.37</v>
          </cell>
          <cell r="H307">
            <v>1.5980000000000001</v>
          </cell>
          <cell r="K307" t="str">
            <v>T1</v>
          </cell>
          <cell r="L307">
            <v>0.12575000000000003</v>
          </cell>
          <cell r="M307">
            <v>56.25</v>
          </cell>
        </row>
        <row r="308">
          <cell r="G308">
            <v>1.4179999999999999</v>
          </cell>
          <cell r="H308">
            <v>2.92</v>
          </cell>
          <cell r="K308" t="str">
            <v>T2</v>
          </cell>
          <cell r="L308">
            <v>8.1860000000000044E-2</v>
          </cell>
          <cell r="M308">
            <v>56.25</v>
          </cell>
        </row>
        <row r="309">
          <cell r="G309">
            <v>1.448</v>
          </cell>
          <cell r="H309">
            <v>2.8</v>
          </cell>
          <cell r="K309" t="str">
            <v>T2</v>
          </cell>
          <cell r="L309">
            <v>0.19699999999999984</v>
          </cell>
          <cell r="M309">
            <v>56.25</v>
          </cell>
        </row>
        <row r="310">
          <cell r="G310">
            <v>2.0499999999999998</v>
          </cell>
          <cell r="H310">
            <v>1.7869999999999999</v>
          </cell>
          <cell r="K310" t="str">
            <v>T1</v>
          </cell>
          <cell r="L310" t="str">
            <v>NO BET</v>
          </cell>
          <cell r="M310" t="str">
            <v>NO BET</v>
          </cell>
        </row>
        <row r="311">
          <cell r="G311">
            <v>1.54</v>
          </cell>
          <cell r="H311">
            <v>2.5099999999999998</v>
          </cell>
          <cell r="K311" t="str">
            <v>T2</v>
          </cell>
          <cell r="L311">
            <v>7.3024999999999674E-2</v>
          </cell>
          <cell r="M311">
            <v>56.25</v>
          </cell>
        </row>
        <row r="312">
          <cell r="G312">
            <v>2.56</v>
          </cell>
          <cell r="H312">
            <v>1.52</v>
          </cell>
          <cell r="K312" t="str">
            <v>T1</v>
          </cell>
          <cell r="L312">
            <v>0.21599999999999997</v>
          </cell>
          <cell r="M312">
            <v>56.25</v>
          </cell>
        </row>
        <row r="313">
          <cell r="G313">
            <v>2.6789999999999998</v>
          </cell>
          <cell r="H313">
            <v>1.48</v>
          </cell>
          <cell r="K313" t="str">
            <v>T1</v>
          </cell>
          <cell r="L313">
            <v>0.11982199999999987</v>
          </cell>
          <cell r="M313">
            <v>56.25</v>
          </cell>
        </row>
        <row r="314">
          <cell r="G314">
            <v>2.65</v>
          </cell>
          <cell r="H314">
            <v>1.492</v>
          </cell>
          <cell r="K314" t="str">
            <v>T1</v>
          </cell>
          <cell r="L314">
            <v>0.20839999999999992</v>
          </cell>
          <cell r="M314">
            <v>56.25</v>
          </cell>
        </row>
        <row r="319">
          <cell r="K319" t="str">
            <v>T2</v>
          </cell>
          <cell r="L319" t="str">
            <v>NO BET</v>
          </cell>
          <cell r="M319" t="str">
            <v>NO BET</v>
          </cell>
        </row>
        <row r="320">
          <cell r="K320" t="str">
            <v>T2</v>
          </cell>
          <cell r="L320" t="str">
            <v>NO BET</v>
          </cell>
          <cell r="M320" t="str">
            <v>NO BET</v>
          </cell>
        </row>
        <row r="321">
          <cell r="K321" t="str">
            <v>T2</v>
          </cell>
          <cell r="L321" t="str">
            <v>NO BET</v>
          </cell>
          <cell r="M321" t="str">
            <v>NO BET</v>
          </cell>
        </row>
        <row r="322">
          <cell r="K322" t="str">
            <v>T2</v>
          </cell>
          <cell r="L322" t="str">
            <v>NO BET</v>
          </cell>
          <cell r="M322" t="str">
            <v>NO BET</v>
          </cell>
        </row>
        <row r="323">
          <cell r="K323" t="str">
            <v>T2</v>
          </cell>
          <cell r="L323" t="str">
            <v>NO BET</v>
          </cell>
          <cell r="M323" t="str">
            <v>NO BET</v>
          </cell>
        </row>
        <row r="324">
          <cell r="K324" t="str">
            <v>T2</v>
          </cell>
          <cell r="L324" t="str">
            <v>NO BET</v>
          </cell>
          <cell r="M324" t="str">
            <v>NO BET</v>
          </cell>
        </row>
        <row r="325">
          <cell r="K325" t="str">
            <v>T2</v>
          </cell>
          <cell r="L325" t="str">
            <v>NO BET</v>
          </cell>
          <cell r="M325" t="str">
            <v>NO BET</v>
          </cell>
        </row>
        <row r="326">
          <cell r="K326" t="str">
            <v>T2</v>
          </cell>
          <cell r="L326" t="str">
            <v>NO BET</v>
          </cell>
          <cell r="M326" t="str">
            <v>NO BET</v>
          </cell>
        </row>
        <row r="327">
          <cell r="K327" t="str">
            <v>T2</v>
          </cell>
          <cell r="L327" t="str">
            <v>NO BET</v>
          </cell>
          <cell r="M327" t="str">
            <v>NO BET</v>
          </cell>
        </row>
        <row r="328">
          <cell r="K328" t="str">
            <v>T2</v>
          </cell>
          <cell r="L328" t="str">
            <v>NO BET</v>
          </cell>
          <cell r="M328" t="str">
            <v>NO BET</v>
          </cell>
        </row>
        <row r="333">
          <cell r="K333" t="str">
            <v>T2</v>
          </cell>
          <cell r="L333" t="str">
            <v>NO BET</v>
          </cell>
          <cell r="M333" t="str">
            <v>NO BET</v>
          </cell>
        </row>
        <row r="334">
          <cell r="K334" t="str">
            <v>T2</v>
          </cell>
          <cell r="L334" t="str">
            <v>NO BET</v>
          </cell>
          <cell r="M334" t="str">
            <v>NO BET</v>
          </cell>
        </row>
        <row r="335">
          <cell r="K335" t="str">
            <v>T2</v>
          </cell>
          <cell r="L335" t="str">
            <v>NO BET</v>
          </cell>
          <cell r="M335" t="str">
            <v>NO BET</v>
          </cell>
        </row>
        <row r="336">
          <cell r="K336" t="str">
            <v>T2</v>
          </cell>
          <cell r="L336" t="str">
            <v>NO BET</v>
          </cell>
          <cell r="M336" t="str">
            <v>NO BET</v>
          </cell>
        </row>
        <row r="337">
          <cell r="K337" t="str">
            <v>T2</v>
          </cell>
          <cell r="L337" t="str">
            <v>NO BET</v>
          </cell>
          <cell r="M337" t="str">
            <v>NO BET</v>
          </cell>
        </row>
        <row r="338">
          <cell r="K338" t="str">
            <v>T2</v>
          </cell>
          <cell r="L338" t="str">
            <v>NO BET</v>
          </cell>
          <cell r="M338" t="str">
            <v>NO BET</v>
          </cell>
        </row>
        <row r="339">
          <cell r="K339" t="str">
            <v>T2</v>
          </cell>
          <cell r="L339" t="str">
            <v>NO BET</v>
          </cell>
          <cell r="M339" t="str">
            <v>NO BET</v>
          </cell>
        </row>
        <row r="340">
          <cell r="K340" t="str">
            <v>T2</v>
          </cell>
          <cell r="L340" t="str">
            <v>NO BET</v>
          </cell>
          <cell r="M340" t="str">
            <v>NO BET</v>
          </cell>
        </row>
        <row r="341">
          <cell r="K341" t="str">
            <v>T2</v>
          </cell>
          <cell r="L341" t="str">
            <v>NO BET</v>
          </cell>
          <cell r="M341" t="str">
            <v>NO BET</v>
          </cell>
        </row>
        <row r="342">
          <cell r="K342" t="str">
            <v>T2</v>
          </cell>
          <cell r="L342" t="str">
            <v>NO BET</v>
          </cell>
          <cell r="M342" t="str">
            <v>NO BET</v>
          </cell>
        </row>
        <row r="347">
          <cell r="K347" t="str">
            <v>T2</v>
          </cell>
          <cell r="L347" t="str">
            <v>NO BET</v>
          </cell>
          <cell r="M347" t="str">
            <v>NO BET</v>
          </cell>
        </row>
        <row r="348">
          <cell r="K348" t="str">
            <v>T2</v>
          </cell>
          <cell r="L348" t="str">
            <v>NO BET</v>
          </cell>
          <cell r="M348" t="str">
            <v>NO BET</v>
          </cell>
        </row>
        <row r="349">
          <cell r="K349" t="str">
            <v>T2</v>
          </cell>
          <cell r="L349" t="str">
            <v>NO BET</v>
          </cell>
          <cell r="M349" t="str">
            <v>NO BET</v>
          </cell>
        </row>
        <row r="350">
          <cell r="K350" t="str">
            <v>T2</v>
          </cell>
          <cell r="L350" t="str">
            <v>NO BET</v>
          </cell>
          <cell r="M350" t="str">
            <v>NO BET</v>
          </cell>
        </row>
        <row r="351">
          <cell r="K351" t="str">
            <v>T2</v>
          </cell>
          <cell r="L351" t="str">
            <v>NO BET</v>
          </cell>
          <cell r="M351" t="str">
            <v>NO BET</v>
          </cell>
        </row>
        <row r="352">
          <cell r="K352" t="str">
            <v>T2</v>
          </cell>
          <cell r="L352" t="str">
            <v>NO BET</v>
          </cell>
          <cell r="M352" t="str">
            <v>NO BET</v>
          </cell>
        </row>
        <row r="353">
          <cell r="K353" t="str">
            <v>T2</v>
          </cell>
          <cell r="L353" t="str">
            <v>NO BET</v>
          </cell>
          <cell r="M353" t="str">
            <v>NO BET</v>
          </cell>
        </row>
        <row r="354">
          <cell r="K354" t="str">
            <v>T2</v>
          </cell>
          <cell r="L354" t="str">
            <v>NO BET</v>
          </cell>
          <cell r="M354" t="str">
            <v>NO BET</v>
          </cell>
        </row>
        <row r="355">
          <cell r="K355" t="str">
            <v>T2</v>
          </cell>
          <cell r="L355" t="str">
            <v>NO BET</v>
          </cell>
          <cell r="M355" t="str">
            <v>NO BET</v>
          </cell>
        </row>
        <row r="356">
          <cell r="K356" t="str">
            <v>T2</v>
          </cell>
          <cell r="L356" t="str">
            <v>NO BET</v>
          </cell>
          <cell r="M356" t="str">
            <v>NO BET</v>
          </cell>
        </row>
        <row r="361">
          <cell r="K361" t="str">
            <v>T2</v>
          </cell>
          <cell r="L361" t="str">
            <v>NO BET</v>
          </cell>
          <cell r="M361" t="str">
            <v>NO BET</v>
          </cell>
        </row>
        <row r="362">
          <cell r="K362" t="str">
            <v>T2</v>
          </cell>
          <cell r="L362" t="str">
            <v>NO BET</v>
          </cell>
          <cell r="M362" t="str">
            <v>NO BET</v>
          </cell>
        </row>
        <row r="363">
          <cell r="K363" t="str">
            <v>T2</v>
          </cell>
          <cell r="L363" t="str">
            <v>NO BET</v>
          </cell>
          <cell r="M363" t="str">
            <v>NO BET</v>
          </cell>
        </row>
        <row r="364">
          <cell r="K364" t="str">
            <v>T2</v>
          </cell>
          <cell r="L364" t="str">
            <v>NO BET</v>
          </cell>
          <cell r="M364" t="str">
            <v>NO BET</v>
          </cell>
        </row>
        <row r="365">
          <cell r="K365" t="str">
            <v>T2</v>
          </cell>
          <cell r="L365" t="str">
            <v>NO BET</v>
          </cell>
          <cell r="M365" t="str">
            <v>NO BET</v>
          </cell>
        </row>
        <row r="366">
          <cell r="K366" t="str">
            <v>T2</v>
          </cell>
          <cell r="L366" t="str">
            <v>NO BET</v>
          </cell>
          <cell r="M366" t="str">
            <v>NO BET</v>
          </cell>
        </row>
        <row r="367">
          <cell r="K367" t="str">
            <v>T2</v>
          </cell>
          <cell r="L367" t="str">
            <v>NO BET</v>
          </cell>
          <cell r="M367" t="str">
            <v>NO BET</v>
          </cell>
        </row>
        <row r="368">
          <cell r="K368" t="str">
            <v>T2</v>
          </cell>
          <cell r="L368" t="str">
            <v>NO BET</v>
          </cell>
          <cell r="M368" t="str">
            <v>NO BET</v>
          </cell>
        </row>
        <row r="369">
          <cell r="K369" t="str">
            <v>T2</v>
          </cell>
          <cell r="L369" t="str">
            <v>NO BET</v>
          </cell>
          <cell r="M369" t="str">
            <v>NO BET</v>
          </cell>
        </row>
        <row r="370">
          <cell r="K370" t="str">
            <v>T2</v>
          </cell>
          <cell r="L370" t="str">
            <v>NO BET</v>
          </cell>
          <cell r="M370" t="str">
            <v>NO BET</v>
          </cell>
        </row>
        <row r="375">
          <cell r="K375" t="str">
            <v>T2</v>
          </cell>
          <cell r="L375" t="str">
            <v>NO BET</v>
          </cell>
          <cell r="M375" t="str">
            <v>NO BET</v>
          </cell>
        </row>
        <row r="376">
          <cell r="K376" t="str">
            <v>T2</v>
          </cell>
          <cell r="L376" t="str">
            <v>NO BET</v>
          </cell>
          <cell r="M376" t="str">
            <v>NO BET</v>
          </cell>
        </row>
        <row r="377">
          <cell r="K377" t="str">
            <v>T2</v>
          </cell>
          <cell r="L377" t="str">
            <v>NO BET</v>
          </cell>
          <cell r="M377" t="str">
            <v>NO BET</v>
          </cell>
        </row>
        <row r="378">
          <cell r="K378" t="str">
            <v>T2</v>
          </cell>
          <cell r="L378" t="str">
            <v>NO BET</v>
          </cell>
          <cell r="M378" t="str">
            <v>NO BET</v>
          </cell>
        </row>
        <row r="379">
          <cell r="K379" t="str">
            <v>T2</v>
          </cell>
          <cell r="L379" t="str">
            <v>NO BET</v>
          </cell>
          <cell r="M379" t="str">
            <v>NO BET</v>
          </cell>
        </row>
        <row r="380">
          <cell r="K380" t="str">
            <v>T2</v>
          </cell>
          <cell r="L380" t="str">
            <v>NO BET</v>
          </cell>
          <cell r="M380" t="str">
            <v>NO BET</v>
          </cell>
        </row>
        <row r="381">
          <cell r="K381" t="str">
            <v>T2</v>
          </cell>
          <cell r="L381" t="str">
            <v>NO BET</v>
          </cell>
          <cell r="M381" t="str">
            <v>NO BET</v>
          </cell>
        </row>
        <row r="382">
          <cell r="K382" t="str">
            <v>T2</v>
          </cell>
          <cell r="L382" t="str">
            <v>NO BET</v>
          </cell>
          <cell r="M382" t="str">
            <v>NO BET</v>
          </cell>
        </row>
        <row r="383">
          <cell r="K383" t="str">
            <v>T2</v>
          </cell>
          <cell r="L383" t="str">
            <v>NO BET</v>
          </cell>
          <cell r="M383" t="str">
            <v>NO BET</v>
          </cell>
        </row>
        <row r="384">
          <cell r="K384" t="str">
            <v>T2</v>
          </cell>
          <cell r="L384" t="str">
            <v>NO BET</v>
          </cell>
          <cell r="M384" t="str">
            <v>NO BET</v>
          </cell>
        </row>
        <row r="389">
          <cell r="K389" t="str">
            <v>T2</v>
          </cell>
          <cell r="L389" t="str">
            <v>NO BET</v>
          </cell>
          <cell r="M389" t="str">
            <v>NO BET</v>
          </cell>
        </row>
        <row r="390">
          <cell r="K390" t="str">
            <v>T2</v>
          </cell>
          <cell r="L390" t="str">
            <v>NO BET</v>
          </cell>
          <cell r="M390" t="str">
            <v>NO BET</v>
          </cell>
        </row>
        <row r="391">
          <cell r="K391" t="str">
            <v>T2</v>
          </cell>
          <cell r="L391" t="str">
            <v>NO BET</v>
          </cell>
          <cell r="M391" t="str">
            <v>NO BET</v>
          </cell>
        </row>
        <row r="392">
          <cell r="K392" t="str">
            <v>T2</v>
          </cell>
          <cell r="L392" t="str">
            <v>NO BET</v>
          </cell>
          <cell r="M392" t="str">
            <v>NO BET</v>
          </cell>
        </row>
        <row r="393">
          <cell r="K393" t="str">
            <v>T2</v>
          </cell>
          <cell r="L393" t="str">
            <v>NO BET</v>
          </cell>
          <cell r="M393" t="str">
            <v>NO BET</v>
          </cell>
        </row>
        <row r="394">
          <cell r="K394" t="str">
            <v>T2</v>
          </cell>
          <cell r="L394" t="str">
            <v>NO BET</v>
          </cell>
          <cell r="M394" t="str">
            <v>NO BET</v>
          </cell>
        </row>
        <row r="395">
          <cell r="K395" t="str">
            <v>T2</v>
          </cell>
          <cell r="L395" t="str">
            <v>NO BET</v>
          </cell>
          <cell r="M395" t="str">
            <v>NO BET</v>
          </cell>
        </row>
        <row r="396">
          <cell r="K396" t="str">
            <v>T2</v>
          </cell>
          <cell r="L396" t="str">
            <v>NO BET</v>
          </cell>
          <cell r="M396" t="str">
            <v>NO BET</v>
          </cell>
        </row>
        <row r="397">
          <cell r="K397" t="str">
            <v>T2</v>
          </cell>
          <cell r="L397" t="str">
            <v>NO BET</v>
          </cell>
          <cell r="M397" t="str">
            <v>NO BET</v>
          </cell>
        </row>
        <row r="398">
          <cell r="K398" t="str">
            <v>T2</v>
          </cell>
          <cell r="L398" t="str">
            <v>NO BET</v>
          </cell>
          <cell r="M398" t="str">
            <v>NO BET</v>
          </cell>
        </row>
        <row r="403">
          <cell r="K403" t="str">
            <v>T2</v>
          </cell>
          <cell r="L403" t="str">
            <v>NO BET</v>
          </cell>
          <cell r="M403" t="str">
            <v>NO BET</v>
          </cell>
        </row>
        <row r="404">
          <cell r="K404" t="str">
            <v>T2</v>
          </cell>
          <cell r="L404" t="str">
            <v>NO BET</v>
          </cell>
          <cell r="M404" t="str">
            <v>NO BET</v>
          </cell>
        </row>
        <row r="405">
          <cell r="K405" t="str">
            <v>T2</v>
          </cell>
          <cell r="L405" t="str">
            <v>NO BET</v>
          </cell>
          <cell r="M405" t="str">
            <v>NO BET</v>
          </cell>
        </row>
        <row r="406">
          <cell r="K406" t="str">
            <v>T2</v>
          </cell>
          <cell r="L406" t="str">
            <v>NO BET</v>
          </cell>
          <cell r="M406" t="str">
            <v>NO BET</v>
          </cell>
        </row>
        <row r="407">
          <cell r="K407" t="str">
            <v>T2</v>
          </cell>
          <cell r="L407" t="str">
            <v>NO BET</v>
          </cell>
          <cell r="M407" t="str">
            <v>NO BET</v>
          </cell>
        </row>
        <row r="408">
          <cell r="K408" t="str">
            <v>T2</v>
          </cell>
          <cell r="L408" t="str">
            <v>NO BET</v>
          </cell>
          <cell r="M408" t="str">
            <v>NO BET</v>
          </cell>
        </row>
        <row r="409">
          <cell r="K409" t="str">
            <v>T2</v>
          </cell>
          <cell r="L409" t="str">
            <v>NO BET</v>
          </cell>
          <cell r="M409" t="str">
            <v>NO BET</v>
          </cell>
        </row>
        <row r="410">
          <cell r="K410" t="str">
            <v>T2</v>
          </cell>
          <cell r="L410" t="str">
            <v>NO BET</v>
          </cell>
          <cell r="M410" t="str">
            <v>NO BET</v>
          </cell>
        </row>
        <row r="411">
          <cell r="K411" t="str">
            <v>T2</v>
          </cell>
          <cell r="L411" t="str">
            <v>NO BET</v>
          </cell>
          <cell r="M411" t="str">
            <v>NO BET</v>
          </cell>
        </row>
        <row r="412">
          <cell r="K412" t="str">
            <v>T2</v>
          </cell>
          <cell r="L412" t="str">
            <v>NO BET</v>
          </cell>
          <cell r="M412" t="str">
            <v>NO BET</v>
          </cell>
        </row>
        <row r="417">
          <cell r="K417" t="str">
            <v>T2</v>
          </cell>
          <cell r="L417" t="str">
            <v>NO BET</v>
          </cell>
          <cell r="M417" t="str">
            <v>NO BET</v>
          </cell>
        </row>
        <row r="418">
          <cell r="K418" t="str">
            <v>T2</v>
          </cell>
          <cell r="L418" t="str">
            <v>NO BET</v>
          </cell>
          <cell r="M418" t="str">
            <v>NO BET</v>
          </cell>
        </row>
        <row r="419">
          <cell r="K419" t="str">
            <v>T2</v>
          </cell>
          <cell r="L419" t="str">
            <v>NO BET</v>
          </cell>
          <cell r="M419" t="str">
            <v>NO BET</v>
          </cell>
        </row>
        <row r="420">
          <cell r="K420" t="str">
            <v>T2</v>
          </cell>
          <cell r="L420" t="str">
            <v>NO BET</v>
          </cell>
          <cell r="M420" t="str">
            <v>NO BET</v>
          </cell>
        </row>
        <row r="421">
          <cell r="K421" t="str">
            <v>T2</v>
          </cell>
          <cell r="L421" t="str">
            <v>NO BET</v>
          </cell>
          <cell r="M421" t="str">
            <v>NO BET</v>
          </cell>
        </row>
        <row r="422">
          <cell r="K422" t="str">
            <v>T2</v>
          </cell>
          <cell r="L422" t="str">
            <v>NO BET</v>
          </cell>
          <cell r="M422" t="str">
            <v>NO BET</v>
          </cell>
        </row>
        <row r="423">
          <cell r="K423" t="str">
            <v>T2</v>
          </cell>
          <cell r="L423" t="str">
            <v>NO BET</v>
          </cell>
          <cell r="M423" t="str">
            <v>NO BET</v>
          </cell>
        </row>
        <row r="424">
          <cell r="K424" t="str">
            <v>T2</v>
          </cell>
          <cell r="L424" t="str">
            <v>NO BET</v>
          </cell>
          <cell r="M424" t="str">
            <v>NO BET</v>
          </cell>
        </row>
        <row r="425">
          <cell r="K425" t="str">
            <v>T2</v>
          </cell>
          <cell r="L425" t="str">
            <v>NO BET</v>
          </cell>
          <cell r="M425" t="str">
            <v>NO BET</v>
          </cell>
        </row>
        <row r="426">
          <cell r="K426" t="str">
            <v>T2</v>
          </cell>
          <cell r="L426" t="str">
            <v>NO BET</v>
          </cell>
          <cell r="M426" t="str">
            <v>NO BET</v>
          </cell>
        </row>
        <row r="431">
          <cell r="K431" t="str">
            <v>T2</v>
          </cell>
          <cell r="L431" t="str">
            <v>NO BET</v>
          </cell>
          <cell r="M431" t="str">
            <v>NO BET</v>
          </cell>
        </row>
        <row r="432">
          <cell r="K432" t="str">
            <v>T2</v>
          </cell>
          <cell r="L432" t="str">
            <v>NO BET</v>
          </cell>
          <cell r="M432" t="str">
            <v>NO BET</v>
          </cell>
        </row>
        <row r="433">
          <cell r="K433" t="str">
            <v>T2</v>
          </cell>
          <cell r="L433" t="str">
            <v>NO BET</v>
          </cell>
          <cell r="M433" t="str">
            <v>NO BET</v>
          </cell>
        </row>
        <row r="434">
          <cell r="K434" t="str">
            <v>T2</v>
          </cell>
          <cell r="L434" t="str">
            <v>NO BET</v>
          </cell>
          <cell r="M434" t="str">
            <v>NO BET</v>
          </cell>
        </row>
        <row r="435">
          <cell r="K435" t="str">
            <v>T2</v>
          </cell>
          <cell r="L435" t="str">
            <v>NO BET</v>
          </cell>
          <cell r="M435" t="str">
            <v>NO BET</v>
          </cell>
        </row>
        <row r="436">
          <cell r="K436" t="str">
            <v>T2</v>
          </cell>
          <cell r="L436" t="str">
            <v>NO BET</v>
          </cell>
          <cell r="M436" t="str">
            <v>NO BET</v>
          </cell>
        </row>
        <row r="437">
          <cell r="K437" t="str">
            <v>T2</v>
          </cell>
          <cell r="L437" t="str">
            <v>NO BET</v>
          </cell>
          <cell r="M437" t="str">
            <v>NO BET</v>
          </cell>
        </row>
        <row r="438">
          <cell r="K438" t="str">
            <v>T2</v>
          </cell>
          <cell r="L438" t="str">
            <v>NO BET</v>
          </cell>
          <cell r="M438" t="str">
            <v>NO BET</v>
          </cell>
        </row>
        <row r="439">
          <cell r="K439" t="str">
            <v>T2</v>
          </cell>
          <cell r="L439" t="str">
            <v>NO BET</v>
          </cell>
          <cell r="M439" t="str">
            <v>NO BET</v>
          </cell>
        </row>
        <row r="440">
          <cell r="K440" t="str">
            <v>T2</v>
          </cell>
          <cell r="L440" t="str">
            <v>NO BET</v>
          </cell>
          <cell r="M440" t="str">
            <v>NO BET</v>
          </cell>
        </row>
        <row r="461">
          <cell r="G461">
            <v>2.2599999999999998</v>
          </cell>
          <cell r="H461">
            <v>1.649</v>
          </cell>
          <cell r="K461" t="str">
            <v>T1</v>
          </cell>
          <cell r="L461">
            <v>0.15937999999999986</v>
          </cell>
          <cell r="M461">
            <v>56.25</v>
          </cell>
        </row>
        <row r="462">
          <cell r="G462">
            <v>1.581</v>
          </cell>
          <cell r="H462">
            <v>2.41</v>
          </cell>
          <cell r="K462" t="str">
            <v>T1</v>
          </cell>
          <cell r="L462" t="str">
            <v>NO BET</v>
          </cell>
          <cell r="M462" t="str">
            <v>NO BET</v>
          </cell>
        </row>
        <row r="463">
          <cell r="G463">
            <v>1.7809999999999999</v>
          </cell>
          <cell r="H463">
            <v>2.06</v>
          </cell>
          <cell r="K463" t="str">
            <v>T2</v>
          </cell>
          <cell r="L463" t="str">
            <v>NO BET</v>
          </cell>
          <cell r="M463" t="str">
            <v>NO BET</v>
          </cell>
        </row>
        <row r="464">
          <cell r="G464">
            <v>3.25</v>
          </cell>
          <cell r="H464">
            <v>1.35</v>
          </cell>
          <cell r="K464" t="str">
            <v>T1</v>
          </cell>
          <cell r="L464">
            <v>0.23499999999999988</v>
          </cell>
          <cell r="M464">
            <v>56.25</v>
          </cell>
        </row>
        <row r="465">
          <cell r="G465">
            <v>1.357</v>
          </cell>
          <cell r="H465">
            <v>3.22</v>
          </cell>
          <cell r="K465" t="str">
            <v>T2</v>
          </cell>
          <cell r="L465">
            <v>0.1930099999999999</v>
          </cell>
          <cell r="M465">
            <v>56.25</v>
          </cell>
        </row>
        <row r="466">
          <cell r="G466">
            <v>2.0699999999999998</v>
          </cell>
          <cell r="H466">
            <v>1.7689999999999999</v>
          </cell>
          <cell r="K466" t="str">
            <v>T2</v>
          </cell>
          <cell r="L466" t="str">
            <v>NO BET</v>
          </cell>
          <cell r="M466" t="str">
            <v>NO BET</v>
          </cell>
        </row>
        <row r="467">
          <cell r="G467">
            <v>1.357</v>
          </cell>
          <cell r="H467">
            <v>4.18</v>
          </cell>
          <cell r="K467" t="str">
            <v>T2</v>
          </cell>
          <cell r="L467">
            <v>0.58839999999999981</v>
          </cell>
          <cell r="M467">
            <v>75</v>
          </cell>
        </row>
        <row r="468">
          <cell r="G468">
            <v>2.41</v>
          </cell>
          <cell r="H468">
            <v>1.5780000000000001</v>
          </cell>
          <cell r="K468" t="str">
            <v>T1</v>
          </cell>
          <cell r="L468">
            <v>7.6065000000000049E-2</v>
          </cell>
          <cell r="M468">
            <v>56.25</v>
          </cell>
        </row>
        <row r="469">
          <cell r="G469">
            <v>2.38</v>
          </cell>
          <cell r="H469">
            <v>1.591</v>
          </cell>
          <cell r="K469" t="str">
            <v>T1</v>
          </cell>
          <cell r="L469">
            <v>0.13049999999999984</v>
          </cell>
          <cell r="M469">
            <v>56.25</v>
          </cell>
        </row>
        <row r="470">
          <cell r="G470">
            <v>1.6279999999999999</v>
          </cell>
          <cell r="H470">
            <v>2.31</v>
          </cell>
          <cell r="K470" t="str">
            <v>T2</v>
          </cell>
          <cell r="L470">
            <v>7.5304999999999955E-2</v>
          </cell>
          <cell r="M470">
            <v>56.25</v>
          </cell>
        </row>
        <row r="475">
          <cell r="K475" t="str">
            <v>T2</v>
          </cell>
          <cell r="L475" t="str">
            <v>NO BET</v>
          </cell>
          <cell r="M475" t="str">
            <v>NO BET</v>
          </cell>
        </row>
        <row r="476">
          <cell r="K476" t="str">
            <v>T2</v>
          </cell>
          <cell r="L476" t="str">
            <v>NO BET</v>
          </cell>
          <cell r="M476" t="str">
            <v>NO BET</v>
          </cell>
        </row>
        <row r="477">
          <cell r="K477" t="str">
            <v>T2</v>
          </cell>
          <cell r="L477" t="str">
            <v>NO BET</v>
          </cell>
          <cell r="M477" t="str">
            <v>NO BET</v>
          </cell>
        </row>
        <row r="478">
          <cell r="K478" t="str">
            <v>T2</v>
          </cell>
          <cell r="L478" t="str">
            <v>NO BET</v>
          </cell>
          <cell r="M478" t="str">
            <v>NO BET</v>
          </cell>
        </row>
        <row r="479">
          <cell r="K479" t="str">
            <v>T2</v>
          </cell>
          <cell r="L479" t="str">
            <v>NO BET</v>
          </cell>
          <cell r="M479" t="str">
            <v>NO BET</v>
          </cell>
        </row>
        <row r="480">
          <cell r="K480" t="str">
            <v>T2</v>
          </cell>
          <cell r="L480" t="str">
            <v>NO BET</v>
          </cell>
          <cell r="M480" t="str">
            <v>NO BET</v>
          </cell>
        </row>
        <row r="481">
          <cell r="K481" t="str">
            <v>T2</v>
          </cell>
          <cell r="L481" t="str">
            <v>NO BET</v>
          </cell>
          <cell r="M481" t="str">
            <v>NO BET</v>
          </cell>
        </row>
        <row r="482">
          <cell r="K482" t="str">
            <v>T2</v>
          </cell>
          <cell r="L482" t="str">
            <v>NO BET</v>
          </cell>
          <cell r="M482" t="str">
            <v>NO BET</v>
          </cell>
        </row>
        <row r="483">
          <cell r="K483" t="str">
            <v>T2</v>
          </cell>
          <cell r="L483" t="str">
            <v>NO BET</v>
          </cell>
          <cell r="M483" t="str">
            <v>NO BET</v>
          </cell>
        </row>
        <row r="484">
          <cell r="K484" t="str">
            <v>T2</v>
          </cell>
          <cell r="L484" t="str">
            <v>NO BET</v>
          </cell>
          <cell r="M484" t="str">
            <v>NO BET</v>
          </cell>
        </row>
        <row r="489">
          <cell r="K489" t="str">
            <v>T2</v>
          </cell>
          <cell r="L489" t="str">
            <v>NO BET</v>
          </cell>
          <cell r="M489" t="str">
            <v>NO BET</v>
          </cell>
        </row>
        <row r="490">
          <cell r="K490" t="str">
            <v>T2</v>
          </cell>
          <cell r="L490" t="str">
            <v>NO BET</v>
          </cell>
          <cell r="M490" t="str">
            <v>NO BET</v>
          </cell>
        </row>
        <row r="491">
          <cell r="K491" t="str">
            <v>T2</v>
          </cell>
          <cell r="L491" t="str">
            <v>NO BET</v>
          </cell>
          <cell r="M491" t="str">
            <v>NO BET</v>
          </cell>
        </row>
        <row r="492">
          <cell r="K492" t="str">
            <v>T2</v>
          </cell>
          <cell r="L492" t="str">
            <v>NO BET</v>
          </cell>
          <cell r="M492" t="str">
            <v>NO BET</v>
          </cell>
        </row>
        <row r="493">
          <cell r="K493" t="str">
            <v>T2</v>
          </cell>
          <cell r="L493" t="str">
            <v>NO BET</v>
          </cell>
          <cell r="M493" t="str">
            <v>NO BET</v>
          </cell>
        </row>
        <row r="494">
          <cell r="K494" t="str">
            <v>T2</v>
          </cell>
          <cell r="L494" t="str">
            <v>NO BET</v>
          </cell>
          <cell r="M494" t="str">
            <v>NO BET</v>
          </cell>
        </row>
        <row r="495">
          <cell r="K495" t="str">
            <v>T2</v>
          </cell>
          <cell r="L495" t="str">
            <v>NO BET</v>
          </cell>
          <cell r="M495" t="str">
            <v>NO BET</v>
          </cell>
        </row>
        <row r="496">
          <cell r="K496" t="str">
            <v>T2</v>
          </cell>
          <cell r="L496" t="str">
            <v>NO BET</v>
          </cell>
          <cell r="M496" t="str">
            <v>NO BET</v>
          </cell>
        </row>
        <row r="497">
          <cell r="K497" t="str">
            <v>T2</v>
          </cell>
          <cell r="L497" t="str">
            <v>NO BET</v>
          </cell>
          <cell r="M497" t="str">
            <v>NO BET</v>
          </cell>
        </row>
        <row r="498">
          <cell r="K498" t="str">
            <v>T2</v>
          </cell>
          <cell r="L498" t="str">
            <v>NO BET</v>
          </cell>
          <cell r="M498" t="str">
            <v>NO BET</v>
          </cell>
        </row>
        <row r="503">
          <cell r="K503" t="str">
            <v>T2</v>
          </cell>
          <cell r="L503" t="str">
            <v>NO BET</v>
          </cell>
          <cell r="M503" t="str">
            <v>NO BET</v>
          </cell>
        </row>
        <row r="504">
          <cell r="K504" t="str">
            <v>T2</v>
          </cell>
          <cell r="L504" t="str">
            <v>NO BET</v>
          </cell>
          <cell r="M504" t="str">
            <v>NO BET</v>
          </cell>
        </row>
        <row r="505">
          <cell r="K505" t="str">
            <v>T2</v>
          </cell>
          <cell r="L505" t="str">
            <v>NO BET</v>
          </cell>
          <cell r="M505" t="str">
            <v>NO BET</v>
          </cell>
        </row>
        <row r="506">
          <cell r="K506" t="str">
            <v>T2</v>
          </cell>
          <cell r="L506" t="str">
            <v>NO BET</v>
          </cell>
          <cell r="M506" t="str">
            <v>NO BET</v>
          </cell>
        </row>
        <row r="507">
          <cell r="K507" t="str">
            <v>T2</v>
          </cell>
          <cell r="L507" t="str">
            <v>NO BET</v>
          </cell>
          <cell r="M507" t="str">
            <v>NO BET</v>
          </cell>
        </row>
        <row r="508">
          <cell r="K508" t="str">
            <v>T2</v>
          </cell>
          <cell r="L508" t="str">
            <v>NO BET</v>
          </cell>
          <cell r="M508" t="str">
            <v>NO BET</v>
          </cell>
        </row>
        <row r="509">
          <cell r="K509" t="str">
            <v>T2</v>
          </cell>
          <cell r="L509" t="str">
            <v>NO BET</v>
          </cell>
          <cell r="M509" t="str">
            <v>NO BET</v>
          </cell>
        </row>
        <row r="510">
          <cell r="K510" t="str">
            <v>T2</v>
          </cell>
          <cell r="L510" t="str">
            <v>NO BET</v>
          </cell>
          <cell r="M510" t="str">
            <v>NO BET</v>
          </cell>
        </row>
        <row r="511">
          <cell r="K511" t="str">
            <v>T2</v>
          </cell>
          <cell r="L511" t="str">
            <v>NO BET</v>
          </cell>
          <cell r="M511" t="str">
            <v>NO BET</v>
          </cell>
        </row>
        <row r="512">
          <cell r="K512" t="str">
            <v>T2</v>
          </cell>
          <cell r="L512" t="str">
            <v>NO BET</v>
          </cell>
          <cell r="M512" t="str">
            <v>NO BET</v>
          </cell>
        </row>
        <row r="517">
          <cell r="K517" t="str">
            <v>T2</v>
          </cell>
          <cell r="L517" t="str">
            <v>NO BET</v>
          </cell>
          <cell r="M517" t="str">
            <v>NO BET</v>
          </cell>
        </row>
        <row r="518">
          <cell r="K518" t="str">
            <v>T2</v>
          </cell>
          <cell r="L518" t="str">
            <v>NO BET</v>
          </cell>
          <cell r="M518" t="str">
            <v>NO BET</v>
          </cell>
        </row>
        <row r="519">
          <cell r="K519" t="str">
            <v>T2</v>
          </cell>
          <cell r="L519" t="str">
            <v>NO BET</v>
          </cell>
          <cell r="M519" t="str">
            <v>NO BET</v>
          </cell>
        </row>
        <row r="520">
          <cell r="K520" t="str">
            <v>T2</v>
          </cell>
          <cell r="L520" t="str">
            <v>NO BET</v>
          </cell>
          <cell r="M520" t="str">
            <v>NO BET</v>
          </cell>
        </row>
        <row r="521">
          <cell r="K521" t="str">
            <v>T2</v>
          </cell>
          <cell r="L521" t="str">
            <v>NO BET</v>
          </cell>
          <cell r="M521" t="str">
            <v>NO BET</v>
          </cell>
        </row>
        <row r="522">
          <cell r="K522" t="str">
            <v>T2</v>
          </cell>
          <cell r="L522" t="str">
            <v>NO BET</v>
          </cell>
          <cell r="M522" t="str">
            <v>NO BET</v>
          </cell>
        </row>
        <row r="523">
          <cell r="K523" t="str">
            <v>T2</v>
          </cell>
          <cell r="L523" t="str">
            <v>NO BET</v>
          </cell>
          <cell r="M523" t="str">
            <v>NO BET</v>
          </cell>
        </row>
        <row r="524">
          <cell r="K524" t="str">
            <v>T2</v>
          </cell>
          <cell r="L524" t="str">
            <v>NO BET</v>
          </cell>
          <cell r="M524" t="str">
            <v>NO BET</v>
          </cell>
        </row>
        <row r="525">
          <cell r="K525" t="str">
            <v>T2</v>
          </cell>
          <cell r="L525" t="str">
            <v>NO BET</v>
          </cell>
          <cell r="M525" t="str">
            <v>NO BET</v>
          </cell>
        </row>
        <row r="526">
          <cell r="K526" t="str">
            <v>T2</v>
          </cell>
          <cell r="L526" t="str">
            <v>NO BET</v>
          </cell>
          <cell r="M526" t="str">
            <v>NO BET</v>
          </cell>
        </row>
        <row r="531">
          <cell r="K531" t="str">
            <v>T2</v>
          </cell>
          <cell r="L531" t="str">
            <v>NO BET</v>
          </cell>
          <cell r="M531" t="str">
            <v>NO BET</v>
          </cell>
        </row>
        <row r="532">
          <cell r="K532" t="str">
            <v>T2</v>
          </cell>
          <cell r="L532" t="str">
            <v>NO BET</v>
          </cell>
          <cell r="M532" t="str">
            <v>NO BET</v>
          </cell>
        </row>
        <row r="533">
          <cell r="K533" t="str">
            <v>T2</v>
          </cell>
          <cell r="L533" t="str">
            <v>NO BET</v>
          </cell>
          <cell r="M533" t="str">
            <v>NO BET</v>
          </cell>
        </row>
        <row r="534">
          <cell r="K534" t="str">
            <v>T2</v>
          </cell>
          <cell r="L534" t="str">
            <v>NO BET</v>
          </cell>
          <cell r="M534" t="str">
            <v>NO BET</v>
          </cell>
        </row>
        <row r="535">
          <cell r="K535" t="str">
            <v>T2</v>
          </cell>
          <cell r="L535" t="str">
            <v>NO BET</v>
          </cell>
          <cell r="M535" t="str">
            <v>NO BET</v>
          </cell>
        </row>
        <row r="536">
          <cell r="K536" t="str">
            <v>T2</v>
          </cell>
          <cell r="L536" t="str">
            <v>NO BET</v>
          </cell>
          <cell r="M536" t="str">
            <v>NO BET</v>
          </cell>
        </row>
        <row r="537">
          <cell r="K537" t="str">
            <v>T2</v>
          </cell>
          <cell r="L537" t="str">
            <v>NO BET</v>
          </cell>
          <cell r="M537" t="str">
            <v>NO BET</v>
          </cell>
        </row>
        <row r="538">
          <cell r="K538" t="str">
            <v>T2</v>
          </cell>
          <cell r="L538" t="str">
            <v>NO BET</v>
          </cell>
          <cell r="M538" t="str">
            <v>NO BET</v>
          </cell>
        </row>
        <row r="539">
          <cell r="K539" t="str">
            <v>T2</v>
          </cell>
          <cell r="L539" t="str">
            <v>NO BET</v>
          </cell>
          <cell r="M539" t="str">
            <v>NO BET</v>
          </cell>
        </row>
        <row r="540">
          <cell r="K540" t="str">
            <v>T2</v>
          </cell>
          <cell r="L540" t="str">
            <v>NO BET</v>
          </cell>
          <cell r="M540" t="str">
            <v>NO BET</v>
          </cell>
        </row>
        <row r="545">
          <cell r="K545" t="str">
            <v>T2</v>
          </cell>
          <cell r="L545" t="str">
            <v>NO BET</v>
          </cell>
          <cell r="M545" t="str">
            <v>NO BET</v>
          </cell>
        </row>
        <row r="546">
          <cell r="K546" t="str">
            <v>T2</v>
          </cell>
          <cell r="L546" t="str">
            <v>NO BET</v>
          </cell>
          <cell r="M546" t="str">
            <v>NO BET</v>
          </cell>
        </row>
        <row r="547">
          <cell r="K547" t="str">
            <v>T2</v>
          </cell>
          <cell r="L547" t="str">
            <v>NO BET</v>
          </cell>
          <cell r="M547" t="str">
            <v>NO BET</v>
          </cell>
        </row>
        <row r="548">
          <cell r="K548" t="str">
            <v>T2</v>
          </cell>
          <cell r="L548" t="str">
            <v>NO BET</v>
          </cell>
          <cell r="M548" t="str">
            <v>NO BET</v>
          </cell>
        </row>
        <row r="549">
          <cell r="K549" t="str">
            <v>T2</v>
          </cell>
          <cell r="L549" t="str">
            <v>NO BET</v>
          </cell>
          <cell r="M549" t="str">
            <v>NO BET</v>
          </cell>
        </row>
        <row r="550">
          <cell r="K550" t="str">
            <v>T2</v>
          </cell>
          <cell r="L550" t="str">
            <v>NO BET</v>
          </cell>
          <cell r="M550" t="str">
            <v>NO BET</v>
          </cell>
        </row>
        <row r="551">
          <cell r="K551" t="str">
            <v>T2</v>
          </cell>
          <cell r="L551" t="str">
            <v>NO BET</v>
          </cell>
          <cell r="M551" t="str">
            <v>NO BET</v>
          </cell>
        </row>
        <row r="552">
          <cell r="K552" t="str">
            <v>T2</v>
          </cell>
          <cell r="L552" t="str">
            <v>NO BET</v>
          </cell>
          <cell r="M552" t="str">
            <v>NO BET</v>
          </cell>
        </row>
        <row r="553">
          <cell r="K553" t="str">
            <v>T2</v>
          </cell>
          <cell r="L553" t="str">
            <v>NO BET</v>
          </cell>
          <cell r="M553" t="str">
            <v>NO BET</v>
          </cell>
        </row>
        <row r="554">
          <cell r="K554" t="str">
            <v>T2</v>
          </cell>
          <cell r="L554" t="str">
            <v>NO BET</v>
          </cell>
          <cell r="M554" t="str">
            <v>NO BET</v>
          </cell>
        </row>
        <row r="559">
          <cell r="K559" t="str">
            <v>T2</v>
          </cell>
          <cell r="L559" t="str">
            <v>NO BET</v>
          </cell>
          <cell r="M559" t="str">
            <v>NO BET</v>
          </cell>
        </row>
        <row r="560">
          <cell r="K560" t="str">
            <v>T2</v>
          </cell>
          <cell r="L560" t="str">
            <v>NO BET</v>
          </cell>
          <cell r="M560" t="str">
            <v>NO BET</v>
          </cell>
        </row>
        <row r="561">
          <cell r="K561" t="str">
            <v>T2</v>
          </cell>
          <cell r="L561" t="str">
            <v>NO BET</v>
          </cell>
          <cell r="M561" t="str">
            <v>NO BET</v>
          </cell>
        </row>
        <row r="562">
          <cell r="K562" t="str">
            <v>T2</v>
          </cell>
          <cell r="L562" t="str">
            <v>NO BET</v>
          </cell>
          <cell r="M562" t="str">
            <v>NO BET</v>
          </cell>
        </row>
        <row r="563">
          <cell r="K563" t="str">
            <v>T2</v>
          </cell>
          <cell r="L563" t="str">
            <v>NO BET</v>
          </cell>
          <cell r="M563" t="str">
            <v>NO BET</v>
          </cell>
        </row>
        <row r="564">
          <cell r="K564" t="str">
            <v>T2</v>
          </cell>
          <cell r="L564" t="str">
            <v>NO BET</v>
          </cell>
          <cell r="M564" t="str">
            <v>NO BET</v>
          </cell>
        </row>
        <row r="565">
          <cell r="K565" t="str">
            <v>T2</v>
          </cell>
          <cell r="L565" t="str">
            <v>NO BET</v>
          </cell>
          <cell r="M565" t="str">
            <v>NO BET</v>
          </cell>
        </row>
        <row r="566">
          <cell r="K566" t="str">
            <v>T2</v>
          </cell>
          <cell r="L566" t="str">
            <v>NO BET</v>
          </cell>
          <cell r="M566" t="str">
            <v>NO BET</v>
          </cell>
        </row>
        <row r="567">
          <cell r="K567" t="str">
            <v>T2</v>
          </cell>
          <cell r="L567" t="str">
            <v>NO BET</v>
          </cell>
          <cell r="M567" t="str">
            <v>NO BET</v>
          </cell>
        </row>
        <row r="568">
          <cell r="K568" t="str">
            <v>T2</v>
          </cell>
          <cell r="L568" t="str">
            <v>NO BET</v>
          </cell>
          <cell r="M568" t="str">
            <v>NO BET</v>
          </cell>
        </row>
        <row r="573">
          <cell r="K573" t="str">
            <v>T2</v>
          </cell>
          <cell r="L573" t="str">
            <v>NO BET</v>
          </cell>
          <cell r="M573" t="str">
            <v>NO BET</v>
          </cell>
        </row>
        <row r="574">
          <cell r="K574" t="str">
            <v>T2</v>
          </cell>
          <cell r="L574" t="str">
            <v>NO BET</v>
          </cell>
          <cell r="M574" t="str">
            <v>NO BET</v>
          </cell>
        </row>
        <row r="575">
          <cell r="K575" t="str">
            <v>T2</v>
          </cell>
          <cell r="L575" t="str">
            <v>NO BET</v>
          </cell>
          <cell r="M575" t="str">
            <v>NO BET</v>
          </cell>
        </row>
        <row r="576">
          <cell r="K576" t="str">
            <v>T2</v>
          </cell>
          <cell r="L576" t="str">
            <v>NO BET</v>
          </cell>
          <cell r="M576" t="str">
            <v>NO BET</v>
          </cell>
        </row>
        <row r="577">
          <cell r="K577" t="str">
            <v>T2</v>
          </cell>
          <cell r="L577" t="str">
            <v>NO BET</v>
          </cell>
          <cell r="M577" t="str">
            <v>NO BET</v>
          </cell>
        </row>
        <row r="578">
          <cell r="K578" t="str">
            <v>T2</v>
          </cell>
          <cell r="L578" t="str">
            <v>NO BET</v>
          </cell>
          <cell r="M578" t="str">
            <v>NO BET</v>
          </cell>
        </row>
        <row r="579">
          <cell r="K579" t="str">
            <v>T2</v>
          </cell>
          <cell r="L579" t="str">
            <v>NO BET</v>
          </cell>
          <cell r="M579" t="str">
            <v>NO BET</v>
          </cell>
        </row>
        <row r="580">
          <cell r="K580" t="str">
            <v>T2</v>
          </cell>
          <cell r="L580" t="str">
            <v>NO BET</v>
          </cell>
          <cell r="M580" t="str">
            <v>NO BET</v>
          </cell>
        </row>
        <row r="581">
          <cell r="K581" t="str">
            <v>T2</v>
          </cell>
          <cell r="L581" t="str">
            <v>NO BET</v>
          </cell>
          <cell r="M581" t="str">
            <v>NO BET</v>
          </cell>
        </row>
        <row r="582">
          <cell r="K582" t="str">
            <v>T2</v>
          </cell>
          <cell r="L582" t="str">
            <v>NO BET</v>
          </cell>
          <cell r="M582" t="str">
            <v>NO BET</v>
          </cell>
        </row>
        <row r="587">
          <cell r="K587" t="str">
            <v>T2</v>
          </cell>
          <cell r="L587" t="str">
            <v>NO BET</v>
          </cell>
          <cell r="M587" t="str">
            <v>NO BET</v>
          </cell>
        </row>
        <row r="588">
          <cell r="K588" t="str">
            <v>T2</v>
          </cell>
          <cell r="L588" t="str">
            <v>NO BET</v>
          </cell>
          <cell r="M588" t="str">
            <v>NO BET</v>
          </cell>
        </row>
        <row r="589">
          <cell r="K589" t="str">
            <v>T2</v>
          </cell>
          <cell r="L589" t="str">
            <v>NO BET</v>
          </cell>
          <cell r="M589" t="str">
            <v>NO BET</v>
          </cell>
        </row>
        <row r="590">
          <cell r="K590" t="str">
            <v>T2</v>
          </cell>
          <cell r="L590" t="str">
            <v>NO BET</v>
          </cell>
          <cell r="M590" t="str">
            <v>NO BET</v>
          </cell>
        </row>
        <row r="591">
          <cell r="K591" t="str">
            <v>T2</v>
          </cell>
          <cell r="L591" t="str">
            <v>NO BET</v>
          </cell>
          <cell r="M591" t="str">
            <v>NO BET</v>
          </cell>
        </row>
        <row r="592">
          <cell r="K592" t="str">
            <v>T2</v>
          </cell>
          <cell r="L592" t="str">
            <v>NO BET</v>
          </cell>
          <cell r="M592" t="str">
            <v>NO BET</v>
          </cell>
        </row>
        <row r="593">
          <cell r="K593" t="str">
            <v>T2</v>
          </cell>
          <cell r="L593" t="str">
            <v>NO BET</v>
          </cell>
          <cell r="M593" t="str">
            <v>NO BET</v>
          </cell>
        </row>
        <row r="594">
          <cell r="K594" t="str">
            <v>T2</v>
          </cell>
          <cell r="L594" t="str">
            <v>NO BET</v>
          </cell>
          <cell r="M594" t="str">
            <v>NO BET</v>
          </cell>
        </row>
        <row r="595">
          <cell r="K595" t="str">
            <v>T2</v>
          </cell>
          <cell r="L595" t="str">
            <v>NO BET</v>
          </cell>
          <cell r="M595" t="str">
            <v>NO BET</v>
          </cell>
        </row>
        <row r="596">
          <cell r="K596" t="str">
            <v>T2</v>
          </cell>
          <cell r="L596" t="str">
            <v>NO BET</v>
          </cell>
          <cell r="M596" t="str">
            <v>NO BET</v>
          </cell>
        </row>
        <row r="617">
          <cell r="K617" t="str">
            <v/>
          </cell>
          <cell r="L617" t="str">
            <v/>
          </cell>
        </row>
        <row r="618">
          <cell r="K618" t="str">
            <v/>
          </cell>
          <cell r="L618" t="str">
            <v/>
          </cell>
        </row>
        <row r="619">
          <cell r="K619" t="str">
            <v/>
          </cell>
          <cell r="L619" t="str">
            <v/>
          </cell>
        </row>
        <row r="620">
          <cell r="K620" t="str">
            <v/>
          </cell>
          <cell r="L620" t="str">
            <v/>
          </cell>
        </row>
        <row r="621">
          <cell r="K621" t="str">
            <v/>
          </cell>
          <cell r="L621" t="str">
            <v/>
          </cell>
        </row>
        <row r="622">
          <cell r="K622" t="str">
            <v/>
          </cell>
          <cell r="L622" t="str">
            <v/>
          </cell>
        </row>
        <row r="623">
          <cell r="K623" t="str">
            <v/>
          </cell>
          <cell r="L623" t="str">
            <v/>
          </cell>
        </row>
        <row r="624">
          <cell r="K624" t="str">
            <v/>
          </cell>
          <cell r="L624" t="str">
            <v/>
          </cell>
        </row>
        <row r="625">
          <cell r="K625" t="str">
            <v/>
          </cell>
          <cell r="L625" t="str">
            <v/>
          </cell>
        </row>
        <row r="626">
          <cell r="K626" t="str">
            <v/>
          </cell>
          <cell r="L626" t="str">
            <v/>
          </cell>
        </row>
      </sheetData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0.xml"/><Relationship Id="rId21" Type="http://schemas.openxmlformats.org/officeDocument/2006/relationships/ctrlProp" Target="../ctrlProps/ctrlProp14.xml"/><Relationship Id="rId42" Type="http://schemas.openxmlformats.org/officeDocument/2006/relationships/ctrlProp" Target="../ctrlProps/ctrlProp35.xml"/><Relationship Id="rId63" Type="http://schemas.openxmlformats.org/officeDocument/2006/relationships/ctrlProp" Target="../ctrlProps/ctrlProp56.xml"/><Relationship Id="rId84" Type="http://schemas.openxmlformats.org/officeDocument/2006/relationships/ctrlProp" Target="../ctrlProps/ctrlProp77.xml"/><Relationship Id="rId138" Type="http://schemas.openxmlformats.org/officeDocument/2006/relationships/ctrlProp" Target="../ctrlProps/ctrlProp131.xml"/><Relationship Id="rId107" Type="http://schemas.openxmlformats.org/officeDocument/2006/relationships/ctrlProp" Target="../ctrlProps/ctrlProp100.xml"/><Relationship Id="rId11" Type="http://schemas.openxmlformats.org/officeDocument/2006/relationships/ctrlProp" Target="../ctrlProps/ctrlProp4.xml"/><Relationship Id="rId32" Type="http://schemas.openxmlformats.org/officeDocument/2006/relationships/ctrlProp" Target="../ctrlProps/ctrlProp25.xml"/><Relationship Id="rId53" Type="http://schemas.openxmlformats.org/officeDocument/2006/relationships/ctrlProp" Target="../ctrlProps/ctrlProp46.xml"/><Relationship Id="rId74" Type="http://schemas.openxmlformats.org/officeDocument/2006/relationships/ctrlProp" Target="../ctrlProps/ctrlProp67.xml"/><Relationship Id="rId128" Type="http://schemas.openxmlformats.org/officeDocument/2006/relationships/ctrlProp" Target="../ctrlProps/ctrlProp121.xml"/><Relationship Id="rId149" Type="http://schemas.openxmlformats.org/officeDocument/2006/relationships/ctrlProp" Target="../ctrlProps/ctrlProp142.xml"/><Relationship Id="rId5" Type="http://schemas.openxmlformats.org/officeDocument/2006/relationships/image" Target="../media/image1.emf"/><Relationship Id="rId95" Type="http://schemas.openxmlformats.org/officeDocument/2006/relationships/ctrlProp" Target="../ctrlProps/ctrlProp88.xml"/><Relationship Id="rId22" Type="http://schemas.openxmlformats.org/officeDocument/2006/relationships/ctrlProp" Target="../ctrlProps/ctrlProp15.xml"/><Relationship Id="rId27" Type="http://schemas.openxmlformats.org/officeDocument/2006/relationships/ctrlProp" Target="../ctrlProps/ctrlProp20.xml"/><Relationship Id="rId43" Type="http://schemas.openxmlformats.org/officeDocument/2006/relationships/ctrlProp" Target="../ctrlProps/ctrlProp36.xml"/><Relationship Id="rId48" Type="http://schemas.openxmlformats.org/officeDocument/2006/relationships/ctrlProp" Target="../ctrlProps/ctrlProp41.xml"/><Relationship Id="rId64" Type="http://schemas.openxmlformats.org/officeDocument/2006/relationships/ctrlProp" Target="../ctrlProps/ctrlProp57.xml"/><Relationship Id="rId69" Type="http://schemas.openxmlformats.org/officeDocument/2006/relationships/ctrlProp" Target="../ctrlProps/ctrlProp62.xml"/><Relationship Id="rId113" Type="http://schemas.openxmlformats.org/officeDocument/2006/relationships/ctrlProp" Target="../ctrlProps/ctrlProp106.xml"/><Relationship Id="rId118" Type="http://schemas.openxmlformats.org/officeDocument/2006/relationships/ctrlProp" Target="../ctrlProps/ctrlProp111.xml"/><Relationship Id="rId134" Type="http://schemas.openxmlformats.org/officeDocument/2006/relationships/ctrlProp" Target="../ctrlProps/ctrlProp127.xml"/><Relationship Id="rId139" Type="http://schemas.openxmlformats.org/officeDocument/2006/relationships/ctrlProp" Target="../ctrlProps/ctrlProp132.xml"/><Relationship Id="rId80" Type="http://schemas.openxmlformats.org/officeDocument/2006/relationships/ctrlProp" Target="../ctrlProps/ctrlProp73.xml"/><Relationship Id="rId85" Type="http://schemas.openxmlformats.org/officeDocument/2006/relationships/ctrlProp" Target="../ctrlProps/ctrlProp78.xml"/><Relationship Id="rId150" Type="http://schemas.openxmlformats.org/officeDocument/2006/relationships/ctrlProp" Target="../ctrlProps/ctrlProp143.xml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33" Type="http://schemas.openxmlformats.org/officeDocument/2006/relationships/ctrlProp" Target="../ctrlProps/ctrlProp26.xml"/><Relationship Id="rId38" Type="http://schemas.openxmlformats.org/officeDocument/2006/relationships/ctrlProp" Target="../ctrlProps/ctrlProp31.xml"/><Relationship Id="rId59" Type="http://schemas.openxmlformats.org/officeDocument/2006/relationships/ctrlProp" Target="../ctrlProps/ctrlProp52.xml"/><Relationship Id="rId103" Type="http://schemas.openxmlformats.org/officeDocument/2006/relationships/ctrlProp" Target="../ctrlProps/ctrlProp96.xml"/><Relationship Id="rId108" Type="http://schemas.openxmlformats.org/officeDocument/2006/relationships/ctrlProp" Target="../ctrlProps/ctrlProp101.xml"/><Relationship Id="rId124" Type="http://schemas.openxmlformats.org/officeDocument/2006/relationships/ctrlProp" Target="../ctrlProps/ctrlProp117.xml"/><Relationship Id="rId129" Type="http://schemas.openxmlformats.org/officeDocument/2006/relationships/ctrlProp" Target="../ctrlProps/ctrlProp122.xml"/><Relationship Id="rId54" Type="http://schemas.openxmlformats.org/officeDocument/2006/relationships/ctrlProp" Target="../ctrlProps/ctrlProp47.xml"/><Relationship Id="rId70" Type="http://schemas.openxmlformats.org/officeDocument/2006/relationships/ctrlProp" Target="../ctrlProps/ctrlProp63.xml"/><Relationship Id="rId75" Type="http://schemas.openxmlformats.org/officeDocument/2006/relationships/ctrlProp" Target="../ctrlProps/ctrlProp68.xml"/><Relationship Id="rId91" Type="http://schemas.openxmlformats.org/officeDocument/2006/relationships/ctrlProp" Target="../ctrlProps/ctrlProp84.xml"/><Relationship Id="rId96" Type="http://schemas.openxmlformats.org/officeDocument/2006/relationships/ctrlProp" Target="../ctrlProps/ctrlProp89.xml"/><Relationship Id="rId140" Type="http://schemas.openxmlformats.org/officeDocument/2006/relationships/ctrlProp" Target="../ctrlProps/ctrlProp133.xml"/><Relationship Id="rId145" Type="http://schemas.openxmlformats.org/officeDocument/2006/relationships/ctrlProp" Target="../ctrlProps/ctrlProp138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ctrlProp" Target="../ctrlProps/ctrlProp16.xml"/><Relationship Id="rId28" Type="http://schemas.openxmlformats.org/officeDocument/2006/relationships/ctrlProp" Target="../ctrlProps/ctrlProp21.xml"/><Relationship Id="rId49" Type="http://schemas.openxmlformats.org/officeDocument/2006/relationships/ctrlProp" Target="../ctrlProps/ctrlProp42.xml"/><Relationship Id="rId114" Type="http://schemas.openxmlformats.org/officeDocument/2006/relationships/ctrlProp" Target="../ctrlProps/ctrlProp107.xml"/><Relationship Id="rId119" Type="http://schemas.openxmlformats.org/officeDocument/2006/relationships/ctrlProp" Target="../ctrlProps/ctrlProp112.xml"/><Relationship Id="rId44" Type="http://schemas.openxmlformats.org/officeDocument/2006/relationships/ctrlProp" Target="../ctrlProps/ctrlProp37.xml"/><Relationship Id="rId60" Type="http://schemas.openxmlformats.org/officeDocument/2006/relationships/ctrlProp" Target="../ctrlProps/ctrlProp53.xml"/><Relationship Id="rId65" Type="http://schemas.openxmlformats.org/officeDocument/2006/relationships/ctrlProp" Target="../ctrlProps/ctrlProp58.xml"/><Relationship Id="rId81" Type="http://schemas.openxmlformats.org/officeDocument/2006/relationships/ctrlProp" Target="../ctrlProps/ctrlProp74.xml"/><Relationship Id="rId86" Type="http://schemas.openxmlformats.org/officeDocument/2006/relationships/ctrlProp" Target="../ctrlProps/ctrlProp79.xml"/><Relationship Id="rId130" Type="http://schemas.openxmlformats.org/officeDocument/2006/relationships/ctrlProp" Target="../ctrlProps/ctrlProp123.xml"/><Relationship Id="rId135" Type="http://schemas.openxmlformats.org/officeDocument/2006/relationships/ctrlProp" Target="../ctrlProps/ctrlProp128.xml"/><Relationship Id="rId151" Type="http://schemas.openxmlformats.org/officeDocument/2006/relationships/ctrlProp" Target="../ctrlProps/ctrlProp144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9" Type="http://schemas.openxmlformats.org/officeDocument/2006/relationships/ctrlProp" Target="../ctrlProps/ctrlProp32.xml"/><Relationship Id="rId109" Type="http://schemas.openxmlformats.org/officeDocument/2006/relationships/ctrlProp" Target="../ctrlProps/ctrlProp102.xml"/><Relationship Id="rId34" Type="http://schemas.openxmlformats.org/officeDocument/2006/relationships/ctrlProp" Target="../ctrlProps/ctrlProp27.xml"/><Relationship Id="rId50" Type="http://schemas.openxmlformats.org/officeDocument/2006/relationships/ctrlProp" Target="../ctrlProps/ctrlProp43.xml"/><Relationship Id="rId55" Type="http://schemas.openxmlformats.org/officeDocument/2006/relationships/ctrlProp" Target="../ctrlProps/ctrlProp48.xml"/><Relationship Id="rId76" Type="http://schemas.openxmlformats.org/officeDocument/2006/relationships/ctrlProp" Target="../ctrlProps/ctrlProp69.xml"/><Relationship Id="rId97" Type="http://schemas.openxmlformats.org/officeDocument/2006/relationships/ctrlProp" Target="../ctrlProps/ctrlProp90.xml"/><Relationship Id="rId104" Type="http://schemas.openxmlformats.org/officeDocument/2006/relationships/ctrlProp" Target="../ctrlProps/ctrlProp97.xml"/><Relationship Id="rId120" Type="http://schemas.openxmlformats.org/officeDocument/2006/relationships/ctrlProp" Target="../ctrlProps/ctrlProp113.xml"/><Relationship Id="rId125" Type="http://schemas.openxmlformats.org/officeDocument/2006/relationships/ctrlProp" Target="../ctrlProps/ctrlProp118.xml"/><Relationship Id="rId141" Type="http://schemas.openxmlformats.org/officeDocument/2006/relationships/ctrlProp" Target="../ctrlProps/ctrlProp134.xml"/><Relationship Id="rId146" Type="http://schemas.openxmlformats.org/officeDocument/2006/relationships/ctrlProp" Target="../ctrlProps/ctrlProp139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64.xml"/><Relationship Id="rId92" Type="http://schemas.openxmlformats.org/officeDocument/2006/relationships/ctrlProp" Target="../ctrlProps/ctrlProp85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2.xml"/><Relationship Id="rId24" Type="http://schemas.openxmlformats.org/officeDocument/2006/relationships/ctrlProp" Target="../ctrlProps/ctrlProp17.xml"/><Relationship Id="rId40" Type="http://schemas.openxmlformats.org/officeDocument/2006/relationships/ctrlProp" Target="../ctrlProps/ctrlProp33.xml"/><Relationship Id="rId45" Type="http://schemas.openxmlformats.org/officeDocument/2006/relationships/ctrlProp" Target="../ctrlProps/ctrlProp38.xml"/><Relationship Id="rId66" Type="http://schemas.openxmlformats.org/officeDocument/2006/relationships/ctrlProp" Target="../ctrlProps/ctrlProp59.xml"/><Relationship Id="rId87" Type="http://schemas.openxmlformats.org/officeDocument/2006/relationships/ctrlProp" Target="../ctrlProps/ctrlProp80.xml"/><Relationship Id="rId110" Type="http://schemas.openxmlformats.org/officeDocument/2006/relationships/ctrlProp" Target="../ctrlProps/ctrlProp103.xml"/><Relationship Id="rId115" Type="http://schemas.openxmlformats.org/officeDocument/2006/relationships/ctrlProp" Target="../ctrlProps/ctrlProp108.xml"/><Relationship Id="rId131" Type="http://schemas.openxmlformats.org/officeDocument/2006/relationships/ctrlProp" Target="../ctrlProps/ctrlProp124.xml"/><Relationship Id="rId136" Type="http://schemas.openxmlformats.org/officeDocument/2006/relationships/ctrlProp" Target="../ctrlProps/ctrlProp129.xml"/><Relationship Id="rId61" Type="http://schemas.openxmlformats.org/officeDocument/2006/relationships/ctrlProp" Target="../ctrlProps/ctrlProp54.xml"/><Relationship Id="rId82" Type="http://schemas.openxmlformats.org/officeDocument/2006/relationships/ctrlProp" Target="../ctrlProps/ctrlProp75.xml"/><Relationship Id="rId152" Type="http://schemas.openxmlformats.org/officeDocument/2006/relationships/ctrlProp" Target="../ctrlProps/ctrlProp145.xml"/><Relationship Id="rId19" Type="http://schemas.openxmlformats.org/officeDocument/2006/relationships/ctrlProp" Target="../ctrlProps/ctrlProp12.xml"/><Relationship Id="rId14" Type="http://schemas.openxmlformats.org/officeDocument/2006/relationships/ctrlProp" Target="../ctrlProps/ctrlProp7.xml"/><Relationship Id="rId30" Type="http://schemas.openxmlformats.org/officeDocument/2006/relationships/ctrlProp" Target="../ctrlProps/ctrlProp23.xml"/><Relationship Id="rId35" Type="http://schemas.openxmlformats.org/officeDocument/2006/relationships/ctrlProp" Target="../ctrlProps/ctrlProp28.xml"/><Relationship Id="rId56" Type="http://schemas.openxmlformats.org/officeDocument/2006/relationships/ctrlProp" Target="../ctrlProps/ctrlProp49.xml"/><Relationship Id="rId77" Type="http://schemas.openxmlformats.org/officeDocument/2006/relationships/ctrlProp" Target="../ctrlProps/ctrlProp70.xml"/><Relationship Id="rId100" Type="http://schemas.openxmlformats.org/officeDocument/2006/relationships/ctrlProp" Target="../ctrlProps/ctrlProp93.xml"/><Relationship Id="rId105" Type="http://schemas.openxmlformats.org/officeDocument/2006/relationships/ctrlProp" Target="../ctrlProps/ctrlProp98.xml"/><Relationship Id="rId126" Type="http://schemas.openxmlformats.org/officeDocument/2006/relationships/ctrlProp" Target="../ctrlProps/ctrlProp119.xml"/><Relationship Id="rId147" Type="http://schemas.openxmlformats.org/officeDocument/2006/relationships/ctrlProp" Target="../ctrlProps/ctrlProp140.xml"/><Relationship Id="rId8" Type="http://schemas.openxmlformats.org/officeDocument/2006/relationships/ctrlProp" Target="../ctrlProps/ctrlProp1.xml"/><Relationship Id="rId51" Type="http://schemas.openxmlformats.org/officeDocument/2006/relationships/ctrlProp" Target="../ctrlProps/ctrlProp44.xml"/><Relationship Id="rId72" Type="http://schemas.openxmlformats.org/officeDocument/2006/relationships/ctrlProp" Target="../ctrlProps/ctrlProp65.xml"/><Relationship Id="rId93" Type="http://schemas.openxmlformats.org/officeDocument/2006/relationships/ctrlProp" Target="../ctrlProps/ctrlProp86.xml"/><Relationship Id="rId98" Type="http://schemas.openxmlformats.org/officeDocument/2006/relationships/ctrlProp" Target="../ctrlProps/ctrlProp91.xml"/><Relationship Id="rId121" Type="http://schemas.openxmlformats.org/officeDocument/2006/relationships/ctrlProp" Target="../ctrlProps/ctrlProp114.xml"/><Relationship Id="rId142" Type="http://schemas.openxmlformats.org/officeDocument/2006/relationships/ctrlProp" Target="../ctrlProps/ctrlProp135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18.xml"/><Relationship Id="rId46" Type="http://schemas.openxmlformats.org/officeDocument/2006/relationships/ctrlProp" Target="../ctrlProps/ctrlProp39.xml"/><Relationship Id="rId67" Type="http://schemas.openxmlformats.org/officeDocument/2006/relationships/ctrlProp" Target="../ctrlProps/ctrlProp60.xml"/><Relationship Id="rId116" Type="http://schemas.openxmlformats.org/officeDocument/2006/relationships/ctrlProp" Target="../ctrlProps/ctrlProp109.xml"/><Relationship Id="rId137" Type="http://schemas.openxmlformats.org/officeDocument/2006/relationships/ctrlProp" Target="../ctrlProps/ctrlProp130.xml"/><Relationship Id="rId20" Type="http://schemas.openxmlformats.org/officeDocument/2006/relationships/ctrlProp" Target="../ctrlProps/ctrlProp13.xml"/><Relationship Id="rId41" Type="http://schemas.openxmlformats.org/officeDocument/2006/relationships/ctrlProp" Target="../ctrlProps/ctrlProp34.xml"/><Relationship Id="rId62" Type="http://schemas.openxmlformats.org/officeDocument/2006/relationships/ctrlProp" Target="../ctrlProps/ctrlProp55.xml"/><Relationship Id="rId83" Type="http://schemas.openxmlformats.org/officeDocument/2006/relationships/ctrlProp" Target="../ctrlProps/ctrlProp76.xml"/><Relationship Id="rId88" Type="http://schemas.openxmlformats.org/officeDocument/2006/relationships/ctrlProp" Target="../ctrlProps/ctrlProp81.xml"/><Relationship Id="rId111" Type="http://schemas.openxmlformats.org/officeDocument/2006/relationships/ctrlProp" Target="../ctrlProps/ctrlProp104.xml"/><Relationship Id="rId132" Type="http://schemas.openxmlformats.org/officeDocument/2006/relationships/ctrlProp" Target="../ctrlProps/ctrlProp125.xml"/><Relationship Id="rId153" Type="http://schemas.openxmlformats.org/officeDocument/2006/relationships/ctrlProp" Target="../ctrlProps/ctrlProp146.xml"/><Relationship Id="rId15" Type="http://schemas.openxmlformats.org/officeDocument/2006/relationships/ctrlProp" Target="../ctrlProps/ctrlProp8.xml"/><Relationship Id="rId36" Type="http://schemas.openxmlformats.org/officeDocument/2006/relationships/ctrlProp" Target="../ctrlProps/ctrlProp29.xml"/><Relationship Id="rId57" Type="http://schemas.openxmlformats.org/officeDocument/2006/relationships/ctrlProp" Target="../ctrlProps/ctrlProp50.xml"/><Relationship Id="rId106" Type="http://schemas.openxmlformats.org/officeDocument/2006/relationships/ctrlProp" Target="../ctrlProps/ctrlProp99.xml"/><Relationship Id="rId127" Type="http://schemas.openxmlformats.org/officeDocument/2006/relationships/ctrlProp" Target="../ctrlProps/ctrlProp120.xml"/><Relationship Id="rId10" Type="http://schemas.openxmlformats.org/officeDocument/2006/relationships/ctrlProp" Target="../ctrlProps/ctrlProp3.xml"/><Relationship Id="rId31" Type="http://schemas.openxmlformats.org/officeDocument/2006/relationships/ctrlProp" Target="../ctrlProps/ctrlProp24.xml"/><Relationship Id="rId52" Type="http://schemas.openxmlformats.org/officeDocument/2006/relationships/ctrlProp" Target="../ctrlProps/ctrlProp45.xml"/><Relationship Id="rId73" Type="http://schemas.openxmlformats.org/officeDocument/2006/relationships/ctrlProp" Target="../ctrlProps/ctrlProp66.xml"/><Relationship Id="rId78" Type="http://schemas.openxmlformats.org/officeDocument/2006/relationships/ctrlProp" Target="../ctrlProps/ctrlProp71.xml"/><Relationship Id="rId94" Type="http://schemas.openxmlformats.org/officeDocument/2006/relationships/ctrlProp" Target="../ctrlProps/ctrlProp87.xml"/><Relationship Id="rId99" Type="http://schemas.openxmlformats.org/officeDocument/2006/relationships/ctrlProp" Target="../ctrlProps/ctrlProp92.xml"/><Relationship Id="rId101" Type="http://schemas.openxmlformats.org/officeDocument/2006/relationships/ctrlProp" Target="../ctrlProps/ctrlProp94.xml"/><Relationship Id="rId122" Type="http://schemas.openxmlformats.org/officeDocument/2006/relationships/ctrlProp" Target="../ctrlProps/ctrlProp115.xml"/><Relationship Id="rId143" Type="http://schemas.openxmlformats.org/officeDocument/2006/relationships/ctrlProp" Target="../ctrlProps/ctrlProp136.xml"/><Relationship Id="rId148" Type="http://schemas.openxmlformats.org/officeDocument/2006/relationships/ctrlProp" Target="../ctrlProps/ctrlProp141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Relationship Id="rId26" Type="http://schemas.openxmlformats.org/officeDocument/2006/relationships/ctrlProp" Target="../ctrlProps/ctrlProp19.xml"/><Relationship Id="rId47" Type="http://schemas.openxmlformats.org/officeDocument/2006/relationships/ctrlProp" Target="../ctrlProps/ctrlProp40.xml"/><Relationship Id="rId68" Type="http://schemas.openxmlformats.org/officeDocument/2006/relationships/ctrlProp" Target="../ctrlProps/ctrlProp61.xml"/><Relationship Id="rId89" Type="http://schemas.openxmlformats.org/officeDocument/2006/relationships/ctrlProp" Target="../ctrlProps/ctrlProp82.xml"/><Relationship Id="rId112" Type="http://schemas.openxmlformats.org/officeDocument/2006/relationships/ctrlProp" Target="../ctrlProps/ctrlProp105.xml"/><Relationship Id="rId133" Type="http://schemas.openxmlformats.org/officeDocument/2006/relationships/ctrlProp" Target="../ctrlProps/ctrlProp126.xml"/><Relationship Id="rId16" Type="http://schemas.openxmlformats.org/officeDocument/2006/relationships/ctrlProp" Target="../ctrlProps/ctrlProp9.xml"/><Relationship Id="rId37" Type="http://schemas.openxmlformats.org/officeDocument/2006/relationships/ctrlProp" Target="../ctrlProps/ctrlProp30.xml"/><Relationship Id="rId58" Type="http://schemas.openxmlformats.org/officeDocument/2006/relationships/ctrlProp" Target="../ctrlProps/ctrlProp51.xml"/><Relationship Id="rId79" Type="http://schemas.openxmlformats.org/officeDocument/2006/relationships/ctrlProp" Target="../ctrlProps/ctrlProp72.xml"/><Relationship Id="rId102" Type="http://schemas.openxmlformats.org/officeDocument/2006/relationships/ctrlProp" Target="../ctrlProps/ctrlProp95.xml"/><Relationship Id="rId123" Type="http://schemas.openxmlformats.org/officeDocument/2006/relationships/ctrlProp" Target="../ctrlProps/ctrlProp116.xml"/><Relationship Id="rId144" Type="http://schemas.openxmlformats.org/officeDocument/2006/relationships/ctrlProp" Target="../ctrlProps/ctrlProp137.xml"/><Relationship Id="rId90" Type="http://schemas.openxmlformats.org/officeDocument/2006/relationships/ctrlProp" Target="../ctrlProps/ctrlProp8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C803"/>
  <sheetViews>
    <sheetView tabSelected="1" zoomScaleNormal="100" zoomScalePageLayoutView="170" workbookViewId="0">
      <pane ySplit="10" topLeftCell="A155" activePane="bottomLeft" state="frozen"/>
      <selection activeCell="D1" sqref="D1"/>
      <selection pane="bottomLeft" activeCell="O174" sqref="C174:O174"/>
    </sheetView>
  </sheetViews>
  <sheetFormatPr baseColWidth="10" defaultColWidth="10.85546875" defaultRowHeight="15" x14ac:dyDescent="0.2"/>
  <cols>
    <col min="1" max="1" width="3.28515625" style="6" customWidth="1"/>
    <col min="2" max="2" width="2.85546875" style="6" customWidth="1"/>
    <col min="3" max="3" width="11.42578125" style="13" bestFit="1" customWidth="1"/>
    <col min="4" max="4" width="21.85546875" style="6" customWidth="1"/>
    <col min="5" max="5" width="21.5703125" style="6" customWidth="1"/>
    <col min="6" max="7" width="13.42578125" style="6" customWidth="1"/>
    <col min="8" max="8" width="13.140625" style="6" customWidth="1"/>
    <col min="9" max="10" width="17.5703125" style="6" bestFit="1" customWidth="1"/>
    <col min="11" max="11" width="10.42578125" style="6" customWidth="1"/>
    <col min="12" max="12" width="16.28515625" style="6" customWidth="1"/>
    <col min="13" max="13" width="18.42578125" style="6" customWidth="1"/>
    <col min="14" max="14" width="14.140625" style="6" customWidth="1"/>
    <col min="15" max="15" width="11.85546875" style="6" customWidth="1"/>
    <col min="16" max="16" width="12.7109375" style="6" customWidth="1"/>
    <col min="17" max="17" width="1.7109375" style="6" customWidth="1"/>
    <col min="18" max="18" width="8.28515625" style="12" customWidth="1"/>
    <col min="19" max="19" width="1.7109375" style="6" customWidth="1"/>
    <col min="20" max="20" width="35.140625" style="13" customWidth="1"/>
    <col min="21" max="25" width="10.85546875" style="6"/>
    <col min="26" max="26" width="7.85546875" style="6" customWidth="1"/>
    <col min="27" max="16384" width="10.85546875" style="6"/>
  </cols>
  <sheetData>
    <row r="1" spans="1:29" ht="15" customHeight="1" thickBot="1" x14ac:dyDescent="0.25">
      <c r="A1" s="233" t="s">
        <v>0</v>
      </c>
      <c r="B1" s="233"/>
      <c r="C1" s="141"/>
      <c r="D1" s="99"/>
      <c r="E1" s="1" t="s">
        <v>4</v>
      </c>
      <c r="F1" s="200" t="s">
        <v>30</v>
      </c>
      <c r="G1" s="206"/>
      <c r="H1" s="201"/>
      <c r="I1" s="200" t="s">
        <v>37</v>
      </c>
      <c r="J1" s="201"/>
      <c r="K1" s="200" t="s">
        <v>36</v>
      </c>
      <c r="L1" s="201"/>
      <c r="M1" s="33" t="s">
        <v>69</v>
      </c>
      <c r="N1" s="173" t="s">
        <v>80</v>
      </c>
      <c r="O1" s="174"/>
      <c r="P1" s="174"/>
      <c r="Q1" s="174"/>
      <c r="R1" s="174"/>
      <c r="S1" s="174"/>
      <c r="T1" s="174"/>
      <c r="U1" s="175"/>
      <c r="V1" s="2"/>
      <c r="W1" s="2"/>
      <c r="X1" s="2"/>
      <c r="Y1" s="2"/>
      <c r="Z1" s="2"/>
      <c r="AA1" s="5"/>
      <c r="AB1" s="5"/>
      <c r="AC1" s="5"/>
    </row>
    <row r="2" spans="1:29" ht="15" customHeight="1" x14ac:dyDescent="0.2">
      <c r="A2" s="233"/>
      <c r="B2" s="233"/>
      <c r="C2" s="142"/>
      <c r="D2" s="100"/>
      <c r="E2" s="222">
        <f>10000+E8</f>
        <v>9839.7156250000007</v>
      </c>
      <c r="F2" s="207">
        <v>15</v>
      </c>
      <c r="G2" s="208"/>
      <c r="H2" s="209"/>
      <c r="I2" s="227">
        <v>0</v>
      </c>
      <c r="J2" s="228"/>
      <c r="K2" s="202">
        <v>75</v>
      </c>
      <c r="L2" s="203"/>
      <c r="M2" s="125">
        <v>0.75</v>
      </c>
      <c r="N2" s="176"/>
      <c r="O2" s="177"/>
      <c r="P2" s="177"/>
      <c r="Q2" s="177"/>
      <c r="R2" s="177"/>
      <c r="S2" s="177"/>
      <c r="T2" s="177"/>
      <c r="U2" s="178"/>
      <c r="V2" s="2"/>
      <c r="W2" s="2"/>
      <c r="X2" s="2"/>
      <c r="Y2" s="2"/>
      <c r="Z2" s="2"/>
      <c r="AA2" s="5"/>
      <c r="AB2" s="5"/>
      <c r="AC2" s="5"/>
    </row>
    <row r="3" spans="1:29" ht="15" customHeight="1" thickBot="1" x14ac:dyDescent="0.25">
      <c r="A3" s="233"/>
      <c r="B3" s="233"/>
      <c r="C3" s="142"/>
      <c r="D3" s="100"/>
      <c r="E3" s="222"/>
      <c r="F3" s="210"/>
      <c r="G3" s="211"/>
      <c r="H3" s="212"/>
      <c r="I3" s="231"/>
      <c r="J3" s="232"/>
      <c r="K3" s="204"/>
      <c r="L3" s="205"/>
      <c r="M3" s="125">
        <v>1</v>
      </c>
      <c r="N3" s="176"/>
      <c r="O3" s="177"/>
      <c r="P3" s="177"/>
      <c r="Q3" s="177"/>
      <c r="R3" s="177"/>
      <c r="S3" s="177"/>
      <c r="T3" s="177"/>
      <c r="U3" s="178"/>
      <c r="V3" s="2"/>
      <c r="W3" s="2"/>
      <c r="X3" s="2"/>
      <c r="Y3" s="2"/>
      <c r="Z3" s="2"/>
      <c r="AA3" s="5"/>
      <c r="AB3" s="5"/>
      <c r="AC3" s="5"/>
    </row>
    <row r="4" spans="1:29" ht="15" customHeight="1" thickBot="1" x14ac:dyDescent="0.25">
      <c r="A4" s="233"/>
      <c r="B4" s="233"/>
      <c r="C4" s="142"/>
      <c r="D4" s="100"/>
      <c r="E4" s="94">
        <f>K2*M2</f>
        <v>56.25</v>
      </c>
      <c r="F4" s="94">
        <f>K2*M3</f>
        <v>75</v>
      </c>
      <c r="G4" s="94">
        <f>K2*M4</f>
        <v>93.75</v>
      </c>
      <c r="H4" s="94">
        <f>K2*M5</f>
        <v>131.25</v>
      </c>
      <c r="I4" s="95">
        <f>M6*K2</f>
        <v>187.5</v>
      </c>
      <c r="J4" s="94">
        <f>K2*M7</f>
        <v>243.75</v>
      </c>
      <c r="K4" s="95">
        <f>K2*M8</f>
        <v>300</v>
      </c>
      <c r="L4" s="120">
        <f>K2*M9</f>
        <v>375</v>
      </c>
      <c r="M4" s="125">
        <v>1.25</v>
      </c>
      <c r="N4" s="176"/>
      <c r="O4" s="177"/>
      <c r="P4" s="177"/>
      <c r="Q4" s="177"/>
      <c r="R4" s="177"/>
      <c r="S4" s="177"/>
      <c r="T4" s="177"/>
      <c r="U4" s="178"/>
      <c r="V4" s="2"/>
      <c r="W4" s="2"/>
      <c r="X4" s="2"/>
      <c r="Y4" s="2"/>
      <c r="Z4" s="2"/>
      <c r="AA4" s="5"/>
      <c r="AB4" s="5"/>
      <c r="AC4" s="5"/>
    </row>
    <row r="5" spans="1:29" ht="15" customHeight="1" x14ac:dyDescent="0.2">
      <c r="A5" s="233"/>
      <c r="B5" s="233"/>
      <c r="C5" s="143"/>
      <c r="D5" s="104"/>
      <c r="E5" s="107" t="s">
        <v>94</v>
      </c>
      <c r="F5" s="108" t="s">
        <v>95</v>
      </c>
      <c r="G5" s="108" t="s">
        <v>78</v>
      </c>
      <c r="H5" s="108" t="s">
        <v>78</v>
      </c>
      <c r="I5" s="109" t="s">
        <v>78</v>
      </c>
      <c r="J5" s="108" t="s">
        <v>78</v>
      </c>
      <c r="K5" s="109" t="s">
        <v>78</v>
      </c>
      <c r="L5" s="121" t="s">
        <v>78</v>
      </c>
      <c r="M5" s="126">
        <v>1.75</v>
      </c>
      <c r="N5" s="176"/>
      <c r="O5" s="177"/>
      <c r="P5" s="177"/>
      <c r="Q5" s="177"/>
      <c r="R5" s="177"/>
      <c r="S5" s="177"/>
      <c r="T5" s="177"/>
      <c r="U5" s="178"/>
      <c r="V5" s="2"/>
      <c r="W5" s="2"/>
      <c r="X5" s="2"/>
      <c r="Y5" s="2"/>
      <c r="Z5" s="2"/>
      <c r="AA5" s="5"/>
      <c r="AB5" s="5"/>
      <c r="AC5" s="5"/>
    </row>
    <row r="6" spans="1:29" ht="15" customHeight="1" thickBot="1" x14ac:dyDescent="0.25">
      <c r="A6" s="233"/>
      <c r="B6" s="233"/>
      <c r="C6" s="144"/>
      <c r="D6" s="101"/>
      <c r="E6" s="110">
        <v>-909.15937499999995</v>
      </c>
      <c r="F6" s="111">
        <v>19.875</v>
      </c>
      <c r="G6" s="111">
        <v>0</v>
      </c>
      <c r="H6" s="111">
        <v>0</v>
      </c>
      <c r="I6" s="75">
        <v>0</v>
      </c>
      <c r="J6" s="112">
        <v>0</v>
      </c>
      <c r="K6" s="113">
        <v>0</v>
      </c>
      <c r="L6" s="122">
        <v>0</v>
      </c>
      <c r="M6" s="126">
        <v>2.5</v>
      </c>
      <c r="N6" s="176"/>
      <c r="O6" s="177"/>
      <c r="P6" s="177"/>
      <c r="Q6" s="177"/>
      <c r="R6" s="177"/>
      <c r="S6" s="177"/>
      <c r="T6" s="177"/>
      <c r="U6" s="178"/>
      <c r="V6" s="2"/>
      <c r="W6" s="2"/>
      <c r="X6" s="2"/>
      <c r="Y6" s="2"/>
      <c r="Z6" s="2"/>
      <c r="AA6" s="5"/>
      <c r="AB6" s="5"/>
      <c r="AC6" s="5"/>
    </row>
    <row r="7" spans="1:29" ht="15" customHeight="1" thickBot="1" x14ac:dyDescent="0.25">
      <c r="A7" s="233"/>
      <c r="B7" s="233"/>
      <c r="C7" s="144"/>
      <c r="D7" s="101"/>
      <c r="E7" s="96" t="s">
        <v>2</v>
      </c>
      <c r="F7" s="213" t="s">
        <v>32</v>
      </c>
      <c r="G7" s="214"/>
      <c r="H7" s="215"/>
      <c r="I7" s="225" t="s">
        <v>68</v>
      </c>
      <c r="J7" s="226"/>
      <c r="K7" s="225" t="s">
        <v>67</v>
      </c>
      <c r="L7" s="253"/>
      <c r="M7" s="125">
        <v>3.25</v>
      </c>
      <c r="N7" s="176"/>
      <c r="O7" s="177"/>
      <c r="P7" s="177"/>
      <c r="Q7" s="177"/>
      <c r="R7" s="177"/>
      <c r="S7" s="177"/>
      <c r="T7" s="177"/>
      <c r="U7" s="178"/>
      <c r="V7" s="2"/>
      <c r="W7" s="2"/>
      <c r="X7" s="2"/>
      <c r="Y7" s="2"/>
      <c r="Z7" s="2"/>
      <c r="AA7" s="5"/>
      <c r="AB7" s="5"/>
      <c r="AC7" s="5"/>
    </row>
    <row r="8" spans="1:29" ht="15" customHeight="1" x14ac:dyDescent="0.2">
      <c r="A8" s="233"/>
      <c r="B8" s="233"/>
      <c r="C8" s="145"/>
      <c r="D8" s="102"/>
      <c r="E8" s="223">
        <f>N94+N109+N79+N124</f>
        <v>-160.28437500000001</v>
      </c>
      <c r="F8" s="216" t="s">
        <v>93</v>
      </c>
      <c r="G8" s="217"/>
      <c r="H8" s="218"/>
      <c r="I8" s="227">
        <v>-507.0750000000001</v>
      </c>
      <c r="J8" s="228"/>
      <c r="K8" s="254">
        <v>-337.83750000000003</v>
      </c>
      <c r="L8" s="203"/>
      <c r="M8" s="127">
        <v>4</v>
      </c>
      <c r="N8" s="176"/>
      <c r="O8" s="177"/>
      <c r="P8" s="177"/>
      <c r="Q8" s="177"/>
      <c r="R8" s="177"/>
      <c r="S8" s="177"/>
      <c r="T8" s="177"/>
      <c r="U8" s="178"/>
      <c r="V8" s="2"/>
      <c r="W8" s="2"/>
      <c r="X8" s="2"/>
      <c r="Y8" s="2"/>
      <c r="Z8" s="2"/>
      <c r="AA8" s="5"/>
      <c r="AB8" s="5"/>
    </row>
    <row r="9" spans="1:29" ht="15" customHeight="1" thickBot="1" x14ac:dyDescent="0.25">
      <c r="A9" s="233"/>
      <c r="B9" s="233"/>
      <c r="C9" s="145"/>
      <c r="D9" s="102"/>
      <c r="E9" s="224"/>
      <c r="F9" s="219"/>
      <c r="G9" s="220"/>
      <c r="H9" s="221"/>
      <c r="I9" s="229"/>
      <c r="J9" s="230"/>
      <c r="K9" s="255"/>
      <c r="L9" s="256"/>
      <c r="M9" s="127">
        <v>5</v>
      </c>
      <c r="N9" s="176"/>
      <c r="O9" s="177"/>
      <c r="P9" s="177"/>
      <c r="Q9" s="177"/>
      <c r="R9" s="177"/>
      <c r="S9" s="177"/>
      <c r="T9" s="177"/>
      <c r="U9" s="178"/>
      <c r="V9" s="2"/>
      <c r="W9" s="2"/>
      <c r="X9" s="2"/>
      <c r="Y9" s="2"/>
      <c r="Z9" s="2"/>
      <c r="AA9" s="5"/>
      <c r="AB9" s="5"/>
    </row>
    <row r="10" spans="1:29" ht="14.25" customHeight="1" thickBot="1" x14ac:dyDescent="0.3">
      <c r="A10" s="233"/>
      <c r="B10" s="233"/>
      <c r="C10" s="146"/>
      <c r="D10" s="103"/>
      <c r="E10" s="114" t="s">
        <v>70</v>
      </c>
      <c r="F10" s="190" t="s">
        <v>96</v>
      </c>
      <c r="G10" s="191"/>
      <c r="H10" s="192"/>
      <c r="I10" s="193" t="s">
        <v>81</v>
      </c>
      <c r="J10" s="194"/>
      <c r="K10" s="194"/>
      <c r="L10" s="194"/>
      <c r="M10" s="195"/>
      <c r="N10" s="179"/>
      <c r="O10" s="180"/>
      <c r="P10" s="180"/>
      <c r="Q10" s="180"/>
      <c r="R10" s="180"/>
      <c r="S10" s="180"/>
      <c r="T10" s="180"/>
      <c r="U10" s="181"/>
      <c r="V10" s="2"/>
      <c r="W10" s="2"/>
      <c r="X10" s="2"/>
      <c r="Y10" s="2"/>
      <c r="Z10" s="2"/>
      <c r="AA10" s="5"/>
      <c r="AB10" s="5"/>
    </row>
    <row r="11" spans="1:29" ht="14.25" customHeight="1" thickBot="1" x14ac:dyDescent="0.25">
      <c r="A11" s="2"/>
      <c r="B11" s="2"/>
      <c r="C11" s="4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3"/>
      <c r="S11" s="2"/>
      <c r="T11" s="4"/>
      <c r="U11" s="2"/>
      <c r="V11" s="5"/>
      <c r="W11" s="5"/>
      <c r="X11" s="5"/>
      <c r="Y11" s="5"/>
      <c r="Z11" s="5"/>
      <c r="AA11" s="5"/>
      <c r="AB11" s="5"/>
    </row>
    <row r="12" spans="1:29" ht="15.75" customHeight="1" x14ac:dyDescent="0.2">
      <c r="A12" s="2"/>
      <c r="B12" s="105"/>
      <c r="C12" s="147" t="s">
        <v>72</v>
      </c>
      <c r="D12" s="123" t="s">
        <v>71</v>
      </c>
      <c r="E12" s="123" t="s">
        <v>76</v>
      </c>
      <c r="F12" s="186" t="s">
        <v>70</v>
      </c>
      <c r="G12" s="186"/>
      <c r="H12" s="186" t="s">
        <v>73</v>
      </c>
      <c r="I12" s="186"/>
      <c r="J12" s="186" t="s">
        <v>75</v>
      </c>
      <c r="K12" s="186"/>
      <c r="L12" s="186" t="s">
        <v>74</v>
      </c>
      <c r="M12" s="186"/>
      <c r="N12" s="186" t="s">
        <v>79</v>
      </c>
      <c r="O12" s="187"/>
      <c r="P12" s="98"/>
      <c r="Q12" s="98"/>
      <c r="R12" s="116"/>
      <c r="S12" s="2"/>
      <c r="T12" s="4"/>
      <c r="U12" s="2"/>
      <c r="V12" s="5"/>
      <c r="W12" s="5"/>
      <c r="X12" s="5"/>
      <c r="Y12" s="5"/>
      <c r="Z12" s="5"/>
      <c r="AA12" s="5"/>
      <c r="AB12" s="5"/>
    </row>
    <row r="13" spans="1:29" ht="24.95" customHeight="1" x14ac:dyDescent="0.2">
      <c r="A13" s="2"/>
      <c r="B13" s="105"/>
      <c r="C13" s="148">
        <v>1</v>
      </c>
      <c r="D13" s="117"/>
      <c r="E13" s="117"/>
      <c r="F13" s="198" t="s">
        <v>77</v>
      </c>
      <c r="G13" s="198"/>
      <c r="H13" s="198" t="s">
        <v>77</v>
      </c>
      <c r="I13" s="198"/>
      <c r="J13" s="182"/>
      <c r="K13" s="182"/>
      <c r="L13" s="182"/>
      <c r="M13" s="182"/>
      <c r="N13" s="182"/>
      <c r="O13" s="183"/>
      <c r="P13" s="97"/>
      <c r="Q13" s="97"/>
      <c r="R13" s="115"/>
      <c r="S13" s="2"/>
      <c r="T13" s="4"/>
      <c r="U13" s="2"/>
      <c r="V13" s="5"/>
      <c r="W13" s="5"/>
      <c r="X13" s="5"/>
      <c r="Y13" s="5"/>
      <c r="Z13" s="5"/>
      <c r="AA13" s="5"/>
      <c r="AB13" s="5"/>
    </row>
    <row r="14" spans="1:29" ht="24.95" customHeight="1" x14ac:dyDescent="0.2">
      <c r="A14" s="2"/>
      <c r="B14" s="105"/>
      <c r="C14" s="149">
        <v>2</v>
      </c>
      <c r="D14" s="118"/>
      <c r="E14" s="118"/>
      <c r="F14" s="197" t="s">
        <v>77</v>
      </c>
      <c r="G14" s="197"/>
      <c r="H14" s="197" t="s">
        <v>77</v>
      </c>
      <c r="I14" s="197"/>
      <c r="J14" s="188"/>
      <c r="K14" s="188"/>
      <c r="L14" s="188"/>
      <c r="M14" s="188"/>
      <c r="N14" s="188"/>
      <c r="O14" s="189"/>
      <c r="P14" s="97"/>
      <c r="Q14" s="97"/>
      <c r="R14" s="115"/>
      <c r="S14" s="2"/>
      <c r="T14" s="4"/>
      <c r="U14" s="2"/>
      <c r="V14" s="5"/>
      <c r="W14" s="5"/>
      <c r="X14" s="5"/>
      <c r="Y14" s="5"/>
      <c r="Z14" s="5"/>
      <c r="AA14" s="5"/>
      <c r="AB14" s="5"/>
    </row>
    <row r="15" spans="1:29" ht="24.95" customHeight="1" x14ac:dyDescent="0.2">
      <c r="A15" s="2"/>
      <c r="B15" s="105"/>
      <c r="C15" s="148">
        <v>3</v>
      </c>
      <c r="D15" s="117"/>
      <c r="E15" s="117"/>
      <c r="F15" s="198" t="s">
        <v>77</v>
      </c>
      <c r="G15" s="198"/>
      <c r="H15" s="198" t="s">
        <v>77</v>
      </c>
      <c r="I15" s="198"/>
      <c r="J15" s="182"/>
      <c r="K15" s="182"/>
      <c r="L15" s="182"/>
      <c r="M15" s="182"/>
      <c r="N15" s="182"/>
      <c r="O15" s="183"/>
      <c r="P15" s="97"/>
      <c r="Q15" s="97"/>
      <c r="R15" s="115"/>
      <c r="S15" s="2"/>
      <c r="T15" s="4"/>
      <c r="U15" s="2"/>
      <c r="V15" s="5"/>
      <c r="W15" s="5"/>
      <c r="X15" s="5"/>
      <c r="Y15" s="5"/>
      <c r="Z15" s="5"/>
      <c r="AA15" s="5"/>
      <c r="AB15" s="5"/>
    </row>
    <row r="16" spans="1:29" ht="24.95" customHeight="1" x14ac:dyDescent="0.2">
      <c r="A16" s="2"/>
      <c r="B16" s="105"/>
      <c r="C16" s="149">
        <v>4</v>
      </c>
      <c r="D16" s="118"/>
      <c r="E16" s="118"/>
      <c r="F16" s="197" t="s">
        <v>77</v>
      </c>
      <c r="G16" s="197"/>
      <c r="H16" s="197" t="s">
        <v>77</v>
      </c>
      <c r="I16" s="197"/>
      <c r="J16" s="188"/>
      <c r="K16" s="188"/>
      <c r="L16" s="188"/>
      <c r="M16" s="188"/>
      <c r="N16" s="188"/>
      <c r="O16" s="189"/>
      <c r="P16" s="97"/>
      <c r="Q16" s="97"/>
      <c r="R16" s="115"/>
      <c r="S16" s="2"/>
      <c r="T16" s="4"/>
      <c r="U16" s="2"/>
      <c r="V16" s="5"/>
      <c r="W16" s="5"/>
      <c r="X16" s="5"/>
      <c r="Y16" s="5"/>
      <c r="Z16" s="5"/>
      <c r="AA16" s="5"/>
      <c r="AB16" s="5"/>
    </row>
    <row r="17" spans="1:28" ht="24.95" customHeight="1" x14ac:dyDescent="0.2">
      <c r="A17" s="2"/>
      <c r="B17" s="105"/>
      <c r="C17" s="148">
        <v>5</v>
      </c>
      <c r="D17" s="117"/>
      <c r="E17" s="117"/>
      <c r="F17" s="198" t="s">
        <v>77</v>
      </c>
      <c r="G17" s="198"/>
      <c r="H17" s="198" t="s">
        <v>77</v>
      </c>
      <c r="I17" s="198"/>
      <c r="J17" s="182"/>
      <c r="K17" s="182"/>
      <c r="L17" s="182"/>
      <c r="M17" s="182"/>
      <c r="N17" s="182"/>
      <c r="O17" s="183"/>
      <c r="P17" s="97"/>
      <c r="Q17" s="97"/>
      <c r="R17" s="115"/>
      <c r="S17" s="2"/>
      <c r="T17" s="4"/>
      <c r="U17" s="2"/>
      <c r="V17" s="5"/>
      <c r="W17" s="5"/>
      <c r="X17" s="5"/>
      <c r="Y17" s="5"/>
      <c r="Z17" s="5"/>
      <c r="AA17" s="5"/>
      <c r="AB17" s="5"/>
    </row>
    <row r="18" spans="1:28" ht="24.95" customHeight="1" x14ac:dyDescent="0.2">
      <c r="A18" s="2"/>
      <c r="B18" s="105"/>
      <c r="C18" s="149">
        <v>6</v>
      </c>
      <c r="D18" s="118"/>
      <c r="E18" s="118"/>
      <c r="F18" s="197" t="s">
        <v>77</v>
      </c>
      <c r="G18" s="197"/>
      <c r="H18" s="197" t="s">
        <v>77</v>
      </c>
      <c r="I18" s="197"/>
      <c r="J18" s="188"/>
      <c r="K18" s="188"/>
      <c r="L18" s="188"/>
      <c r="M18" s="188"/>
      <c r="N18" s="188"/>
      <c r="O18" s="189"/>
      <c r="P18" s="97"/>
      <c r="Q18" s="97"/>
      <c r="R18" s="115"/>
      <c r="S18" s="2"/>
      <c r="T18" s="4"/>
      <c r="U18" s="2"/>
      <c r="V18" s="5"/>
      <c r="W18" s="5"/>
      <c r="X18" s="5"/>
      <c r="Y18" s="5"/>
      <c r="Z18" s="5"/>
      <c r="AA18" s="5"/>
      <c r="AB18" s="5"/>
    </row>
    <row r="19" spans="1:28" ht="24.95" customHeight="1" x14ac:dyDescent="0.2">
      <c r="A19" s="2"/>
      <c r="B19" s="105"/>
      <c r="C19" s="148">
        <v>7</v>
      </c>
      <c r="D19" s="117"/>
      <c r="E19" s="117"/>
      <c r="F19" s="198" t="s">
        <v>77</v>
      </c>
      <c r="G19" s="198"/>
      <c r="H19" s="198" t="s">
        <v>77</v>
      </c>
      <c r="I19" s="198"/>
      <c r="J19" s="182"/>
      <c r="K19" s="182"/>
      <c r="L19" s="182"/>
      <c r="M19" s="182"/>
      <c r="N19" s="182"/>
      <c r="O19" s="183"/>
      <c r="P19" s="97"/>
      <c r="Q19" s="97"/>
      <c r="R19" s="115"/>
      <c r="S19" s="2"/>
      <c r="T19" s="4"/>
      <c r="U19" s="2"/>
      <c r="V19" s="5"/>
      <c r="W19" s="5"/>
      <c r="X19" s="5"/>
      <c r="Y19" s="5"/>
      <c r="Z19" s="5"/>
      <c r="AA19" s="5"/>
      <c r="AB19" s="5"/>
    </row>
    <row r="20" spans="1:28" ht="24.95" customHeight="1" x14ac:dyDescent="0.2">
      <c r="A20" s="2"/>
      <c r="B20" s="105"/>
      <c r="C20" s="149">
        <v>8</v>
      </c>
      <c r="D20" s="118"/>
      <c r="E20" s="118"/>
      <c r="F20" s="197" t="s">
        <v>77</v>
      </c>
      <c r="G20" s="197"/>
      <c r="H20" s="197" t="s">
        <v>77</v>
      </c>
      <c r="I20" s="197"/>
      <c r="J20" s="188"/>
      <c r="K20" s="188"/>
      <c r="L20" s="188"/>
      <c r="M20" s="188"/>
      <c r="N20" s="188"/>
      <c r="O20" s="189"/>
      <c r="P20" s="97"/>
      <c r="Q20" s="97"/>
      <c r="R20" s="115"/>
      <c r="S20" s="2"/>
      <c r="T20" s="4"/>
      <c r="U20" s="2"/>
      <c r="V20" s="5"/>
      <c r="W20" s="5"/>
      <c r="X20" s="5"/>
      <c r="Y20" s="5"/>
      <c r="Z20" s="5"/>
      <c r="AA20" s="5"/>
      <c r="AB20" s="5"/>
    </row>
    <row r="21" spans="1:28" ht="24.95" customHeight="1" x14ac:dyDescent="0.2">
      <c r="A21" s="2"/>
      <c r="B21" s="105"/>
      <c r="C21" s="148">
        <v>9</v>
      </c>
      <c r="D21" s="117">
        <v>0.69189189189199995</v>
      </c>
      <c r="E21" s="117">
        <v>0.79369990570500004</v>
      </c>
      <c r="F21" s="198" t="s">
        <v>78</v>
      </c>
      <c r="G21" s="198"/>
      <c r="H21" s="198" t="s">
        <v>78</v>
      </c>
      <c r="I21" s="198"/>
      <c r="J21" s="182">
        <v>0</v>
      </c>
      <c r="K21" s="182"/>
      <c r="L21" s="182">
        <v>0</v>
      </c>
      <c r="M21" s="182"/>
      <c r="N21" s="182">
        <v>0.62307268966399998</v>
      </c>
      <c r="O21" s="183"/>
      <c r="P21" s="97"/>
      <c r="Q21" s="97"/>
      <c r="R21" s="115"/>
      <c r="S21" s="2"/>
      <c r="T21" s="4"/>
      <c r="U21" s="2"/>
      <c r="V21" s="5"/>
      <c r="W21" s="5"/>
      <c r="X21" s="5"/>
      <c r="Y21" s="5"/>
      <c r="Z21" s="5"/>
      <c r="AA21" s="5"/>
      <c r="AB21" s="5"/>
    </row>
    <row r="22" spans="1:28" ht="24.95" customHeight="1" thickBot="1" x14ac:dyDescent="0.25">
      <c r="A22" s="2"/>
      <c r="B22" s="105"/>
      <c r="C22" s="150">
        <v>10</v>
      </c>
      <c r="D22" s="119"/>
      <c r="E22" s="119"/>
      <c r="F22" s="199" t="s">
        <v>77</v>
      </c>
      <c r="G22" s="199"/>
      <c r="H22" s="199" t="s">
        <v>77</v>
      </c>
      <c r="I22" s="199"/>
      <c r="J22" s="184"/>
      <c r="K22" s="184"/>
      <c r="L22" s="184"/>
      <c r="M22" s="184"/>
      <c r="N22" s="184"/>
      <c r="O22" s="185"/>
      <c r="P22" s="97"/>
      <c r="Q22" s="97"/>
      <c r="R22" s="115"/>
      <c r="S22" s="2"/>
      <c r="T22" s="4"/>
      <c r="U22" s="2"/>
      <c r="V22" s="5"/>
      <c r="W22" s="5"/>
      <c r="X22" s="5"/>
      <c r="Y22" s="5"/>
      <c r="Z22" s="5"/>
      <c r="AA22" s="5"/>
      <c r="AB22" s="5"/>
    </row>
    <row r="23" spans="1:28" ht="30" customHeight="1" x14ac:dyDescent="0.2">
      <c r="A23" s="2"/>
      <c r="B23" s="105"/>
      <c r="C23" s="151"/>
      <c r="D23" s="97"/>
      <c r="E23" s="97"/>
      <c r="F23" s="182"/>
      <c r="G23" s="182"/>
      <c r="H23" s="182"/>
      <c r="I23" s="182"/>
      <c r="J23" s="196"/>
      <c r="K23" s="196"/>
      <c r="L23" s="182"/>
      <c r="M23" s="182"/>
      <c r="N23" s="97"/>
      <c r="O23" s="97"/>
      <c r="P23" s="97"/>
      <c r="Q23" s="97"/>
      <c r="R23" s="115"/>
      <c r="S23" s="2"/>
      <c r="T23" s="4"/>
      <c r="U23" s="2"/>
      <c r="V23" s="5"/>
      <c r="W23" s="5"/>
      <c r="X23" s="5"/>
      <c r="Y23" s="5"/>
      <c r="Z23" s="5"/>
      <c r="AA23" s="5"/>
      <c r="AB23" s="5"/>
    </row>
    <row r="24" spans="1:28" x14ac:dyDescent="0.2">
      <c r="A24" s="2"/>
      <c r="B24" s="105"/>
      <c r="C24" s="152"/>
      <c r="D24" s="124"/>
      <c r="E24" s="124"/>
      <c r="F24" s="182"/>
      <c r="G24" s="182"/>
      <c r="H24" s="182"/>
      <c r="I24" s="182"/>
      <c r="J24" s="273"/>
      <c r="K24" s="273"/>
      <c r="L24" s="273"/>
      <c r="M24" s="273"/>
      <c r="N24" s="105"/>
      <c r="O24" s="105"/>
      <c r="P24" s="105"/>
      <c r="Q24" s="105"/>
      <c r="R24" s="106"/>
      <c r="S24" s="2"/>
      <c r="T24" s="4"/>
      <c r="U24" s="2"/>
      <c r="V24" s="5"/>
      <c r="W24" s="5"/>
      <c r="X24" s="5"/>
      <c r="Y24" s="5"/>
      <c r="Z24" s="5"/>
      <c r="AA24" s="5"/>
      <c r="AB24" s="5"/>
    </row>
    <row r="25" spans="1:28" x14ac:dyDescent="0.2">
      <c r="A25" s="2"/>
      <c r="B25" s="105"/>
      <c r="C25" s="152"/>
      <c r="D25" s="124"/>
      <c r="E25" s="124"/>
      <c r="F25" s="182"/>
      <c r="G25" s="182"/>
      <c r="H25" s="182"/>
      <c r="I25" s="182"/>
      <c r="J25" s="273"/>
      <c r="K25" s="273"/>
      <c r="L25" s="273"/>
      <c r="M25" s="273"/>
      <c r="N25" s="105"/>
      <c r="O25" s="105"/>
      <c r="P25" s="105"/>
      <c r="Q25" s="105"/>
      <c r="R25" s="106"/>
      <c r="S25" s="2"/>
      <c r="T25" s="4"/>
      <c r="U25" s="2"/>
      <c r="V25" s="5"/>
      <c r="W25" s="5"/>
      <c r="X25" s="5"/>
      <c r="Y25" s="5"/>
      <c r="Z25" s="5"/>
      <c r="AA25" s="5"/>
      <c r="AB25" s="5"/>
    </row>
    <row r="26" spans="1:28" x14ac:dyDescent="0.2">
      <c r="A26" s="2"/>
      <c r="B26" s="105"/>
      <c r="C26" s="152"/>
      <c r="D26" s="124"/>
      <c r="E26" s="124"/>
      <c r="F26" s="182"/>
      <c r="G26" s="182"/>
      <c r="H26" s="182"/>
      <c r="I26" s="182"/>
      <c r="J26" s="273"/>
      <c r="K26" s="273"/>
      <c r="L26" s="273"/>
      <c r="M26" s="273"/>
      <c r="N26" s="105"/>
      <c r="O26" s="105"/>
      <c r="P26" s="105"/>
      <c r="Q26" s="105"/>
      <c r="R26" s="106"/>
      <c r="S26" s="2"/>
      <c r="T26" s="4"/>
      <c r="U26" s="2"/>
      <c r="V26" s="5"/>
      <c r="W26" s="5"/>
      <c r="X26" s="5"/>
      <c r="Y26" s="5"/>
      <c r="Z26" s="5"/>
      <c r="AA26" s="5"/>
      <c r="AB26" s="5"/>
    </row>
    <row r="27" spans="1:28" x14ac:dyDescent="0.2">
      <c r="A27" s="2"/>
      <c r="B27" s="105"/>
      <c r="C27" s="152"/>
      <c r="D27" s="105"/>
      <c r="E27" s="124"/>
      <c r="F27" s="182"/>
      <c r="G27" s="182"/>
      <c r="H27" s="182"/>
      <c r="I27" s="182"/>
      <c r="J27" s="273"/>
      <c r="K27" s="273"/>
      <c r="L27" s="273"/>
      <c r="M27" s="273"/>
      <c r="N27" s="105"/>
      <c r="O27" s="105"/>
      <c r="P27" s="105"/>
      <c r="Q27" s="105"/>
      <c r="R27" s="106"/>
      <c r="S27" s="2"/>
      <c r="T27" s="4"/>
      <c r="U27" s="2"/>
      <c r="V27" s="5"/>
      <c r="W27" s="5"/>
      <c r="X27" s="5"/>
      <c r="Y27" s="5"/>
      <c r="Z27" s="5"/>
      <c r="AA27" s="5"/>
      <c r="AB27" s="5"/>
    </row>
    <row r="28" spans="1:28" x14ac:dyDescent="0.2">
      <c r="A28" s="2"/>
      <c r="B28" s="105"/>
      <c r="C28" s="152"/>
      <c r="D28" s="105"/>
      <c r="E28" s="124"/>
      <c r="F28" s="182"/>
      <c r="G28" s="182"/>
      <c r="H28" s="182"/>
      <c r="I28" s="182"/>
      <c r="J28" s="273"/>
      <c r="K28" s="273"/>
      <c r="L28" s="273"/>
      <c r="M28" s="273"/>
      <c r="N28" s="105"/>
      <c r="O28" s="105"/>
      <c r="P28" s="105"/>
      <c r="Q28" s="105"/>
      <c r="R28" s="106"/>
      <c r="S28" s="2"/>
      <c r="T28" s="4"/>
      <c r="U28" s="2"/>
      <c r="V28" s="5"/>
      <c r="W28" s="5"/>
      <c r="X28" s="5"/>
      <c r="Y28" s="5"/>
      <c r="Z28" s="5"/>
      <c r="AA28" s="5"/>
      <c r="AB28" s="5"/>
    </row>
    <row r="29" spans="1:28" x14ac:dyDescent="0.2">
      <c r="A29" s="2"/>
      <c r="B29" s="105"/>
      <c r="C29" s="152"/>
      <c r="D29" s="105"/>
      <c r="E29" s="124"/>
      <c r="F29" s="182"/>
      <c r="G29" s="182"/>
      <c r="H29" s="182"/>
      <c r="I29" s="182"/>
      <c r="J29" s="273"/>
      <c r="K29" s="273"/>
      <c r="L29" s="273"/>
      <c r="M29" s="273"/>
      <c r="N29" s="105"/>
      <c r="O29" s="105"/>
      <c r="P29" s="105"/>
      <c r="Q29" s="105"/>
      <c r="R29" s="106"/>
      <c r="S29" s="2"/>
      <c r="T29" s="4"/>
      <c r="U29" s="2"/>
      <c r="V29" s="5"/>
      <c r="W29" s="5"/>
      <c r="X29" s="5"/>
      <c r="Y29" s="5"/>
      <c r="Z29" s="5"/>
      <c r="AA29" s="5"/>
      <c r="AB29" s="5"/>
    </row>
    <row r="30" spans="1:28" x14ac:dyDescent="0.2">
      <c r="A30" s="2"/>
      <c r="B30" s="105"/>
      <c r="C30" s="152"/>
      <c r="D30" s="105"/>
      <c r="E30" s="124"/>
      <c r="F30" s="182"/>
      <c r="G30" s="182"/>
      <c r="H30" s="182"/>
      <c r="I30" s="182"/>
      <c r="J30" s="273"/>
      <c r="K30" s="273"/>
      <c r="L30" s="273"/>
      <c r="M30" s="273"/>
      <c r="N30" s="105"/>
      <c r="O30" s="105"/>
      <c r="P30" s="105"/>
      <c r="Q30" s="105"/>
      <c r="R30" s="106"/>
      <c r="S30" s="2"/>
      <c r="T30" s="4"/>
      <c r="U30" s="2"/>
      <c r="V30" s="5"/>
      <c r="W30" s="5"/>
      <c r="X30" s="5"/>
      <c r="Y30" s="5"/>
      <c r="Z30" s="5"/>
      <c r="AA30" s="5"/>
      <c r="AB30" s="5"/>
    </row>
    <row r="31" spans="1:28" x14ac:dyDescent="0.2">
      <c r="A31" s="2"/>
      <c r="B31" s="105"/>
      <c r="C31" s="152"/>
      <c r="D31" s="105"/>
      <c r="E31" s="124"/>
      <c r="F31" s="182"/>
      <c r="G31" s="182"/>
      <c r="H31" s="182"/>
      <c r="I31" s="182"/>
      <c r="J31" s="273"/>
      <c r="K31" s="273"/>
      <c r="L31" s="273"/>
      <c r="M31" s="273"/>
      <c r="N31" s="105"/>
      <c r="O31" s="105"/>
      <c r="P31" s="105"/>
      <c r="Q31" s="105"/>
      <c r="R31" s="106"/>
      <c r="S31" s="2"/>
      <c r="T31" s="4"/>
      <c r="U31" s="2"/>
      <c r="V31" s="5"/>
      <c r="W31" s="5"/>
      <c r="X31" s="5"/>
      <c r="Y31" s="5"/>
      <c r="Z31" s="5"/>
      <c r="AA31" s="5"/>
      <c r="AB31" s="5"/>
    </row>
    <row r="32" spans="1:28" x14ac:dyDescent="0.2">
      <c r="A32" s="2"/>
      <c r="B32" s="105"/>
      <c r="C32" s="152"/>
      <c r="D32" s="105"/>
      <c r="E32" s="124"/>
      <c r="F32" s="182"/>
      <c r="G32" s="182"/>
      <c r="H32" s="182"/>
      <c r="I32" s="182"/>
      <c r="J32" s="273"/>
      <c r="K32" s="273"/>
      <c r="L32" s="273"/>
      <c r="M32" s="273"/>
      <c r="N32" s="105"/>
      <c r="O32" s="105"/>
      <c r="P32" s="105"/>
      <c r="Q32" s="105"/>
      <c r="R32" s="106"/>
      <c r="S32" s="2"/>
      <c r="T32" s="4"/>
      <c r="U32" s="2"/>
      <c r="V32" s="5"/>
      <c r="W32" s="5"/>
      <c r="X32" s="5"/>
      <c r="Y32" s="5"/>
      <c r="Z32" s="5"/>
      <c r="AA32" s="5"/>
      <c r="AB32" s="5"/>
    </row>
    <row r="33" spans="1:28" x14ac:dyDescent="0.2">
      <c r="A33" s="2"/>
      <c r="B33" s="105"/>
      <c r="C33" s="152"/>
      <c r="D33" s="105"/>
      <c r="E33" s="124"/>
      <c r="F33" s="182"/>
      <c r="G33" s="182"/>
      <c r="H33" s="182"/>
      <c r="I33" s="182"/>
      <c r="J33" s="273"/>
      <c r="K33" s="273"/>
      <c r="L33" s="273"/>
      <c r="M33" s="273"/>
      <c r="N33" s="105"/>
      <c r="O33" s="105"/>
      <c r="P33" s="105"/>
      <c r="Q33" s="105"/>
      <c r="R33" s="106"/>
      <c r="S33" s="2"/>
      <c r="T33" s="4"/>
      <c r="U33" s="2"/>
      <c r="V33" s="5"/>
      <c r="W33" s="5"/>
      <c r="X33" s="5"/>
      <c r="Y33" s="5"/>
      <c r="Z33" s="5"/>
      <c r="AA33" s="5"/>
      <c r="AB33" s="5"/>
    </row>
    <row r="34" spans="1:28" x14ac:dyDescent="0.2">
      <c r="A34" s="2"/>
      <c r="B34" s="2"/>
      <c r="C34" s="152"/>
      <c r="D34" s="2"/>
      <c r="E34" s="124"/>
      <c r="F34" s="182"/>
      <c r="G34" s="182"/>
      <c r="H34" s="182"/>
      <c r="I34" s="182"/>
      <c r="J34" s="273"/>
      <c r="K34" s="273"/>
      <c r="L34" s="273"/>
      <c r="M34" s="273"/>
      <c r="N34" s="2"/>
      <c r="O34" s="2"/>
      <c r="P34" s="2"/>
      <c r="Q34" s="2"/>
      <c r="R34" s="3"/>
      <c r="S34" s="2"/>
      <c r="T34" s="4"/>
      <c r="U34" s="2"/>
      <c r="V34" s="5"/>
      <c r="W34" s="5"/>
      <c r="X34" s="5"/>
      <c r="Y34" s="5"/>
      <c r="Z34" s="5"/>
      <c r="AA34" s="5"/>
      <c r="AB34" s="5"/>
    </row>
    <row r="35" spans="1:28" x14ac:dyDescent="0.2">
      <c r="A35" s="2"/>
      <c r="B35" s="2"/>
      <c r="C35" s="152"/>
      <c r="D35" s="2"/>
      <c r="E35" s="124"/>
      <c r="F35" s="182"/>
      <c r="G35" s="182"/>
      <c r="H35" s="182"/>
      <c r="I35" s="182"/>
      <c r="J35" s="273"/>
      <c r="K35" s="273"/>
      <c r="L35" s="273"/>
      <c r="M35" s="273"/>
      <c r="N35" s="2"/>
      <c r="O35" s="2"/>
      <c r="P35" s="2"/>
      <c r="Q35" s="2"/>
      <c r="R35" s="3"/>
      <c r="S35" s="2"/>
      <c r="T35" s="4"/>
      <c r="U35" s="2"/>
      <c r="V35" s="5"/>
      <c r="W35" s="5"/>
      <c r="X35" s="5"/>
      <c r="Y35" s="5"/>
      <c r="Z35" s="5"/>
      <c r="AA35" s="5"/>
      <c r="AB35" s="5"/>
    </row>
    <row r="36" spans="1:28" x14ac:dyDescent="0.2">
      <c r="A36" s="2"/>
      <c r="B36" s="2"/>
      <c r="C36" s="4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3"/>
      <c r="S36" s="2"/>
      <c r="T36" s="4"/>
      <c r="U36" s="2"/>
      <c r="V36" s="5"/>
      <c r="W36" s="5"/>
      <c r="X36" s="5"/>
      <c r="Y36" s="5"/>
      <c r="Z36" s="5"/>
      <c r="AA36" s="5"/>
      <c r="AB36" s="5"/>
    </row>
    <row r="37" spans="1:28" x14ac:dyDescent="0.2">
      <c r="A37" s="2"/>
      <c r="B37" s="2"/>
      <c r="C37" s="4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3"/>
      <c r="S37" s="2"/>
      <c r="T37" s="4"/>
      <c r="U37" s="2"/>
      <c r="V37" s="5"/>
      <c r="W37" s="5"/>
      <c r="X37" s="5"/>
      <c r="Y37" s="5"/>
      <c r="Z37" s="5"/>
      <c r="AA37" s="5"/>
      <c r="AB37" s="5"/>
    </row>
    <row r="38" spans="1:28" x14ac:dyDescent="0.2">
      <c r="A38" s="2"/>
      <c r="B38" s="2"/>
      <c r="C38" s="4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3"/>
      <c r="S38" s="2"/>
      <c r="T38" s="4"/>
      <c r="U38" s="2"/>
      <c r="V38" s="5"/>
      <c r="W38" s="5"/>
      <c r="X38" s="5"/>
      <c r="Y38" s="5"/>
      <c r="Z38" s="5"/>
      <c r="AA38" s="5"/>
      <c r="AB38" s="5"/>
    </row>
    <row r="39" spans="1:28" x14ac:dyDescent="0.2">
      <c r="A39" s="2"/>
      <c r="B39" s="2"/>
      <c r="C39" s="4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3"/>
      <c r="S39" s="2"/>
      <c r="T39" s="4"/>
      <c r="U39" s="2"/>
      <c r="V39" s="5"/>
      <c r="W39" s="5"/>
      <c r="X39" s="5"/>
      <c r="Y39" s="5"/>
      <c r="Z39" s="5"/>
      <c r="AA39" s="5"/>
      <c r="AB39" s="5"/>
    </row>
    <row r="40" spans="1:28" x14ac:dyDescent="0.2">
      <c r="A40" s="2"/>
      <c r="B40" s="2"/>
      <c r="C40" s="4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3"/>
      <c r="S40" s="2"/>
      <c r="T40" s="4"/>
      <c r="U40" s="2"/>
      <c r="V40" s="5"/>
      <c r="W40" s="5"/>
      <c r="X40" s="5"/>
      <c r="Y40" s="5"/>
      <c r="Z40" s="5"/>
      <c r="AA40" s="5"/>
      <c r="AB40" s="5"/>
    </row>
    <row r="41" spans="1:28" x14ac:dyDescent="0.2">
      <c r="A41" s="2"/>
      <c r="B41" s="2"/>
      <c r="C41" s="4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3"/>
      <c r="S41" s="2"/>
      <c r="T41" s="4"/>
      <c r="U41" s="2"/>
      <c r="V41" s="5"/>
      <c r="W41" s="5"/>
      <c r="X41" s="5"/>
      <c r="Y41" s="5"/>
      <c r="Z41" s="5"/>
      <c r="AA41" s="5"/>
      <c r="AB41" s="5"/>
    </row>
    <row r="42" spans="1:28" x14ac:dyDescent="0.2">
      <c r="A42" s="2"/>
      <c r="B42" s="2"/>
      <c r="C42" s="4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3"/>
      <c r="S42" s="2"/>
      <c r="T42" s="4"/>
      <c r="U42" s="2"/>
      <c r="V42" s="5"/>
      <c r="W42" s="5"/>
      <c r="X42" s="5"/>
      <c r="Y42" s="5"/>
      <c r="Z42" s="5"/>
      <c r="AA42" s="5"/>
      <c r="AB42" s="5"/>
    </row>
    <row r="43" spans="1:28" x14ac:dyDescent="0.2">
      <c r="A43" s="2"/>
      <c r="B43" s="2"/>
      <c r="C43" s="4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3"/>
      <c r="S43" s="2"/>
      <c r="T43" s="4"/>
      <c r="U43" s="2"/>
      <c r="V43" s="5"/>
      <c r="W43" s="5"/>
      <c r="X43" s="5"/>
      <c r="Y43" s="5"/>
      <c r="Z43" s="5"/>
      <c r="AA43" s="5"/>
      <c r="AB43" s="5"/>
    </row>
    <row r="44" spans="1:28" x14ac:dyDescent="0.2">
      <c r="A44" s="2"/>
      <c r="B44" s="2"/>
      <c r="C44" s="4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3"/>
      <c r="S44" s="2"/>
      <c r="T44" s="4"/>
      <c r="U44" s="2"/>
      <c r="V44" s="5"/>
      <c r="W44" s="5"/>
      <c r="X44" s="5"/>
      <c r="Y44" s="5"/>
      <c r="Z44" s="5"/>
      <c r="AA44" s="5"/>
      <c r="AB44" s="5"/>
    </row>
    <row r="45" spans="1:28" x14ac:dyDescent="0.2">
      <c r="A45" s="2"/>
      <c r="B45" s="2"/>
      <c r="C45" s="4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3"/>
      <c r="S45" s="2"/>
      <c r="T45" s="4"/>
      <c r="U45" s="2"/>
    </row>
    <row r="49" spans="1:26" ht="15.75" thickBot="1" x14ac:dyDescent="0.25"/>
    <row r="50" spans="1:26" ht="15.75" customHeight="1" x14ac:dyDescent="0.2">
      <c r="A50" s="274" t="s">
        <v>3</v>
      </c>
      <c r="B50" s="14"/>
      <c r="C50" s="153"/>
      <c r="D50" s="15"/>
      <c r="E50" s="16"/>
      <c r="F50" s="16"/>
      <c r="G50" s="16"/>
      <c r="H50" s="16"/>
      <c r="I50" s="17"/>
      <c r="J50" s="17"/>
      <c r="K50" s="17"/>
      <c r="L50" s="17"/>
      <c r="M50" s="17"/>
      <c r="N50" s="17"/>
      <c r="O50" s="17"/>
      <c r="P50" s="17"/>
      <c r="Q50" s="17"/>
      <c r="R50" s="18"/>
      <c r="S50" s="5"/>
      <c r="T50" s="19"/>
      <c r="U50" s="5"/>
      <c r="V50" s="5"/>
      <c r="W50" s="5"/>
      <c r="X50" s="5"/>
      <c r="Y50" s="5"/>
      <c r="Z50" s="5"/>
    </row>
    <row r="51" spans="1:26" ht="15.75" x14ac:dyDescent="0.2">
      <c r="A51" s="275"/>
      <c r="B51" s="20"/>
      <c r="C51" s="154"/>
      <c r="D51" s="21"/>
      <c r="E51" s="16"/>
      <c r="F51" s="16"/>
      <c r="G51" s="16"/>
      <c r="H51" s="16"/>
      <c r="I51" s="22"/>
      <c r="J51" s="22"/>
      <c r="K51" s="17"/>
      <c r="L51" s="17"/>
      <c r="M51" s="17"/>
      <c r="N51" s="17"/>
      <c r="O51" s="17"/>
      <c r="P51" s="17"/>
      <c r="Q51" s="17"/>
      <c r="R51" s="18"/>
      <c r="S51" s="5"/>
      <c r="T51" s="19"/>
      <c r="U51" s="5"/>
      <c r="V51" s="5"/>
      <c r="W51" s="5"/>
      <c r="X51" s="5"/>
      <c r="Y51" s="5"/>
      <c r="Z51" s="5"/>
    </row>
    <row r="52" spans="1:26" ht="15.75" x14ac:dyDescent="0.2">
      <c r="A52" s="275"/>
      <c r="B52" s="20"/>
      <c r="C52" s="154"/>
      <c r="D52" s="21"/>
      <c r="E52" s="16"/>
      <c r="F52" s="16"/>
      <c r="G52" s="16"/>
      <c r="H52" s="16"/>
      <c r="I52" s="22"/>
      <c r="J52" s="22"/>
      <c r="K52" s="17"/>
      <c r="L52" s="17"/>
      <c r="M52" s="17"/>
      <c r="N52" s="17"/>
      <c r="O52" s="17"/>
      <c r="P52" s="17"/>
      <c r="Q52" s="17"/>
      <c r="R52" s="18"/>
      <c r="S52" s="5"/>
      <c r="T52" s="19"/>
      <c r="U52" s="5"/>
      <c r="V52" s="5"/>
      <c r="W52" s="5"/>
      <c r="X52" s="5"/>
      <c r="Y52" s="5"/>
      <c r="Z52" s="5"/>
    </row>
    <row r="53" spans="1:26" ht="15.75" x14ac:dyDescent="0.2">
      <c r="A53" s="275"/>
      <c r="B53" s="20"/>
      <c r="C53" s="154"/>
      <c r="D53" s="21"/>
      <c r="E53" s="16"/>
      <c r="F53" s="16"/>
      <c r="G53" s="16"/>
      <c r="H53" s="16"/>
      <c r="I53" s="22"/>
      <c r="J53" s="22"/>
      <c r="K53" s="17"/>
      <c r="L53" s="17"/>
      <c r="M53" s="17"/>
      <c r="N53" s="17"/>
      <c r="O53" s="17"/>
      <c r="P53" s="17"/>
      <c r="Q53" s="17"/>
      <c r="R53" s="18"/>
      <c r="S53" s="5"/>
      <c r="T53" s="19"/>
      <c r="U53" s="5"/>
      <c r="V53" s="5"/>
      <c r="W53" s="5"/>
      <c r="X53" s="5"/>
      <c r="Y53" s="5"/>
      <c r="Z53" s="5"/>
    </row>
    <row r="54" spans="1:26" ht="15.75" x14ac:dyDescent="0.2">
      <c r="A54" s="275"/>
      <c r="B54" s="20"/>
      <c r="C54" s="154"/>
      <c r="D54" s="21"/>
      <c r="E54" s="16"/>
      <c r="F54" s="23"/>
      <c r="G54" s="23"/>
      <c r="H54" s="23"/>
      <c r="I54" s="22"/>
      <c r="J54" s="22"/>
      <c r="K54" s="17"/>
      <c r="L54" s="17"/>
      <c r="M54" s="17"/>
      <c r="N54" s="17"/>
      <c r="O54" s="17"/>
      <c r="P54" s="17"/>
      <c r="Q54" s="17"/>
      <c r="R54" s="18"/>
      <c r="S54" s="5"/>
      <c r="T54" s="19"/>
      <c r="U54" s="5"/>
      <c r="V54" s="5"/>
      <c r="W54" s="5"/>
      <c r="X54" s="5"/>
      <c r="Y54" s="5"/>
      <c r="Z54" s="5"/>
    </row>
    <row r="55" spans="1:26" x14ac:dyDescent="0.2">
      <c r="A55" s="275"/>
      <c r="B55" s="20"/>
      <c r="C55" s="154"/>
      <c r="D55" s="21"/>
      <c r="E55" s="23"/>
      <c r="F55" s="23"/>
      <c r="G55" s="23"/>
      <c r="H55" s="23"/>
      <c r="I55" s="22"/>
      <c r="J55" s="22"/>
      <c r="K55" s="17"/>
      <c r="L55" s="17"/>
      <c r="M55" s="17"/>
      <c r="N55" s="17"/>
      <c r="O55" s="17"/>
      <c r="P55" s="17"/>
      <c r="Q55" s="17"/>
      <c r="R55" s="18"/>
      <c r="S55" s="5"/>
      <c r="T55" s="19"/>
      <c r="U55" s="5"/>
      <c r="V55" s="5"/>
      <c r="W55" s="5"/>
      <c r="X55" s="5"/>
      <c r="Y55" s="5"/>
      <c r="Z55" s="5"/>
    </row>
    <row r="56" spans="1:26" x14ac:dyDescent="0.2">
      <c r="A56" s="275"/>
      <c r="B56" s="20"/>
      <c r="C56" s="154"/>
      <c r="D56" s="21"/>
      <c r="E56" s="23"/>
      <c r="F56" s="23"/>
      <c r="G56" s="23"/>
      <c r="H56" s="23"/>
      <c r="I56" s="17"/>
      <c r="J56" s="17"/>
      <c r="K56" s="17"/>
      <c r="L56" s="17"/>
      <c r="M56" s="17"/>
      <c r="N56" s="17"/>
      <c r="O56" s="17"/>
      <c r="P56" s="17"/>
      <c r="Q56" s="17"/>
      <c r="R56" s="18"/>
      <c r="S56" s="5"/>
      <c r="T56" s="19"/>
      <c r="U56" s="5"/>
      <c r="V56" s="5"/>
      <c r="W56" s="5"/>
      <c r="X56" s="5"/>
      <c r="Y56" s="5"/>
      <c r="Z56" s="5"/>
    </row>
    <row r="57" spans="1:26" x14ac:dyDescent="0.2">
      <c r="A57" s="275"/>
      <c r="B57" s="24"/>
      <c r="C57" s="155"/>
      <c r="D57" s="25"/>
    </row>
    <row r="58" spans="1:26" ht="15.75" thickBot="1" x14ac:dyDescent="0.25">
      <c r="A58" s="275"/>
      <c r="B58" s="26"/>
      <c r="C58" s="156"/>
      <c r="D58" s="27"/>
    </row>
    <row r="74" spans="1:26" ht="15.75" thickBot="1" x14ac:dyDescent="0.25"/>
    <row r="75" spans="1:26" ht="15.75" x14ac:dyDescent="0.2">
      <c r="A75" s="276" t="s">
        <v>5</v>
      </c>
      <c r="B75" s="28"/>
      <c r="C75" s="157"/>
      <c r="D75" s="29"/>
      <c r="E75" s="30"/>
      <c r="F75" s="269"/>
      <c r="G75" s="269"/>
      <c r="H75" s="269"/>
      <c r="I75" s="31"/>
      <c r="J75" s="31"/>
      <c r="K75" s="32"/>
      <c r="L75" s="261"/>
      <c r="M75" s="33"/>
      <c r="N75" s="202"/>
      <c r="O75" s="203"/>
      <c r="P75" s="259"/>
      <c r="Q75" s="17"/>
      <c r="R75" s="18"/>
      <c r="S75" s="5"/>
      <c r="T75" s="19"/>
      <c r="U75" s="5"/>
      <c r="V75" s="5"/>
      <c r="W75" s="5"/>
      <c r="X75" s="5"/>
      <c r="Y75" s="5"/>
      <c r="Z75" s="5"/>
    </row>
    <row r="76" spans="1:26" ht="16.5" thickBot="1" x14ac:dyDescent="0.25">
      <c r="A76" s="276"/>
      <c r="B76" s="34"/>
      <c r="C76" s="158"/>
      <c r="D76" s="35"/>
      <c r="E76" s="36"/>
      <c r="F76" s="263"/>
      <c r="G76" s="263"/>
      <c r="H76" s="263"/>
      <c r="I76" s="35"/>
      <c r="J76" s="35"/>
      <c r="K76" s="37"/>
      <c r="L76" s="262"/>
      <c r="M76" s="38"/>
      <c r="N76" s="255"/>
      <c r="O76" s="256"/>
      <c r="P76" s="260"/>
      <c r="Q76" s="17"/>
      <c r="R76" s="18"/>
      <c r="S76" s="5"/>
      <c r="T76" s="19"/>
      <c r="U76" s="5"/>
      <c r="V76" s="5"/>
      <c r="W76" s="5"/>
      <c r="X76" s="5"/>
      <c r="Y76" s="5"/>
      <c r="Z76" s="5"/>
    </row>
    <row r="77" spans="1:26" ht="15.75" x14ac:dyDescent="0.2">
      <c r="A77" s="276"/>
      <c r="B77" s="34"/>
      <c r="C77" s="158"/>
      <c r="D77" s="35"/>
      <c r="E77" s="36"/>
      <c r="F77" s="263"/>
      <c r="G77" s="263"/>
      <c r="H77" s="263"/>
      <c r="I77" s="35"/>
      <c r="J77" s="35"/>
      <c r="K77" s="37"/>
      <c r="L77" s="261" t="s">
        <v>1</v>
      </c>
      <c r="M77" s="33"/>
      <c r="N77" s="202" t="e">
        <f>N151+N163+N177+N191+N205+N219+N233+N247+N261+N275</f>
        <v>#VALUE!</v>
      </c>
      <c r="O77" s="203"/>
      <c r="P77" s="259"/>
      <c r="Q77" s="17"/>
      <c r="R77" s="18"/>
      <c r="S77" s="5"/>
      <c r="T77" s="19"/>
      <c r="U77" s="5"/>
      <c r="V77" s="5"/>
      <c r="W77" s="5"/>
      <c r="X77" s="5"/>
      <c r="Y77" s="5"/>
      <c r="Z77" s="5"/>
    </row>
    <row r="78" spans="1:26" ht="16.5" thickBot="1" x14ac:dyDescent="0.25">
      <c r="A78" s="276"/>
      <c r="B78" s="34"/>
      <c r="C78" s="158"/>
      <c r="D78" s="35"/>
      <c r="E78" s="36"/>
      <c r="F78" s="263"/>
      <c r="G78" s="263"/>
      <c r="H78" s="263"/>
      <c r="I78" s="35"/>
      <c r="J78" s="35"/>
      <c r="K78" s="37"/>
      <c r="L78" s="262"/>
      <c r="M78" s="38"/>
      <c r="N78" s="255"/>
      <c r="O78" s="256"/>
      <c r="P78" s="260"/>
      <c r="Q78" s="17"/>
      <c r="R78" s="18"/>
      <c r="S78" s="5"/>
      <c r="T78" s="19"/>
      <c r="U78" s="5"/>
      <c r="V78" s="5"/>
      <c r="W78" s="5"/>
      <c r="X78" s="5"/>
      <c r="Y78" s="5"/>
      <c r="Z78" s="5"/>
    </row>
    <row r="79" spans="1:26" ht="15.75" x14ac:dyDescent="0.2">
      <c r="A79" s="276"/>
      <c r="B79" s="34"/>
      <c r="C79" s="158"/>
      <c r="D79" s="35"/>
      <c r="E79" s="36"/>
      <c r="F79" s="182"/>
      <c r="G79" s="182"/>
      <c r="H79" s="182"/>
      <c r="I79" s="35"/>
      <c r="J79" s="35"/>
      <c r="K79" s="37"/>
      <c r="L79" s="261" t="s">
        <v>2</v>
      </c>
      <c r="M79" s="33"/>
      <c r="N79" s="234">
        <f>T149+T163+T177+T191+T205+T219+T233+T247+T261+T275</f>
        <v>-129.984375</v>
      </c>
      <c r="O79" s="264"/>
      <c r="P79" s="265"/>
      <c r="Q79" s="17"/>
      <c r="R79" s="18"/>
      <c r="S79" s="5"/>
      <c r="T79" s="19"/>
      <c r="U79" s="5"/>
      <c r="V79" s="5"/>
      <c r="W79" s="5"/>
      <c r="X79" s="5"/>
      <c r="Y79" s="5"/>
      <c r="Z79" s="5"/>
    </row>
    <row r="80" spans="1:26" ht="16.5" thickBot="1" x14ac:dyDescent="0.25">
      <c r="A80" s="276"/>
      <c r="B80" s="34"/>
      <c r="C80" s="158"/>
      <c r="D80" s="35"/>
      <c r="E80" s="182"/>
      <c r="F80" s="182"/>
      <c r="G80" s="182"/>
      <c r="H80" s="182"/>
      <c r="I80" s="35"/>
      <c r="J80" s="35"/>
      <c r="K80" s="37"/>
      <c r="L80" s="262"/>
      <c r="M80" s="38"/>
      <c r="N80" s="266"/>
      <c r="O80" s="267"/>
      <c r="P80" s="268"/>
      <c r="Q80" s="17"/>
      <c r="R80" s="18"/>
      <c r="S80" s="5"/>
      <c r="T80" s="19"/>
      <c r="U80" s="5"/>
      <c r="V80" s="5"/>
      <c r="W80" s="5"/>
      <c r="X80" s="5"/>
      <c r="Y80" s="5"/>
      <c r="Z80" s="5"/>
    </row>
    <row r="81" spans="1:26" ht="16.5" thickBot="1" x14ac:dyDescent="0.25">
      <c r="A81" s="276"/>
      <c r="B81" s="39"/>
      <c r="C81" s="159"/>
      <c r="D81" s="40"/>
      <c r="E81" s="251"/>
      <c r="F81" s="251"/>
      <c r="G81" s="251"/>
      <c r="H81" s="251"/>
      <c r="I81" s="41"/>
      <c r="J81" s="41"/>
      <c r="K81" s="42"/>
      <c r="L81" s="8" t="s">
        <v>19</v>
      </c>
      <c r="M81" s="38"/>
      <c r="N81" s="238" t="e">
        <f>(T158+T170+T184+T198+T212+T226+T240+T254+T268+T282)/10</f>
        <v>#VALUE!</v>
      </c>
      <c r="O81" s="239"/>
      <c r="P81" s="240"/>
      <c r="Q81" s="17"/>
      <c r="R81" s="18"/>
      <c r="S81" s="5"/>
      <c r="T81" s="19"/>
      <c r="U81" s="5"/>
      <c r="V81" s="5"/>
      <c r="W81" s="5"/>
      <c r="X81" s="5"/>
      <c r="Y81" s="5"/>
      <c r="Z81" s="5"/>
    </row>
    <row r="89" spans="1:26" ht="15.75" thickBot="1" x14ac:dyDescent="0.25"/>
    <row r="90" spans="1:26" ht="15.75" x14ac:dyDescent="0.2">
      <c r="A90" s="252" t="s">
        <v>6</v>
      </c>
      <c r="B90" s="28"/>
      <c r="C90" s="157"/>
      <c r="D90" s="29"/>
      <c r="E90" s="30"/>
      <c r="F90" s="269"/>
      <c r="G90" s="269"/>
      <c r="H90" s="269"/>
      <c r="I90" s="31"/>
      <c r="J90" s="31"/>
      <c r="K90" s="32"/>
      <c r="L90" s="261"/>
      <c r="M90" s="33"/>
      <c r="N90" s="202"/>
      <c r="O90" s="203"/>
      <c r="P90" s="259"/>
    </row>
    <row r="91" spans="1:26" ht="16.5" thickBot="1" x14ac:dyDescent="0.25">
      <c r="A91" s="252"/>
      <c r="B91" s="34"/>
      <c r="C91" s="158"/>
      <c r="D91" s="35"/>
      <c r="E91" s="36"/>
      <c r="F91" s="263"/>
      <c r="G91" s="263"/>
      <c r="H91" s="263"/>
      <c r="I91" s="35"/>
      <c r="J91" s="35"/>
      <c r="K91" s="37"/>
      <c r="L91" s="262"/>
      <c r="M91" s="38"/>
      <c r="N91" s="255"/>
      <c r="O91" s="256"/>
      <c r="P91" s="260"/>
    </row>
    <row r="92" spans="1:26" ht="15.75" x14ac:dyDescent="0.2">
      <c r="A92" s="252"/>
      <c r="B92" s="34"/>
      <c r="C92" s="158"/>
      <c r="D92" s="35"/>
      <c r="E92" s="36"/>
      <c r="F92" s="263"/>
      <c r="G92" s="263"/>
      <c r="H92" s="263"/>
      <c r="I92" s="35"/>
      <c r="J92" s="35"/>
      <c r="K92" s="37"/>
      <c r="L92" s="261" t="s">
        <v>1</v>
      </c>
      <c r="M92" s="33"/>
      <c r="N92" s="202" t="e">
        <f>N305+N319+N333+N347+N361+N375+N389+N403+N417+N431</f>
        <v>#VALUE!</v>
      </c>
      <c r="O92" s="203"/>
      <c r="P92" s="259"/>
    </row>
    <row r="93" spans="1:26" ht="16.5" thickBot="1" x14ac:dyDescent="0.25">
      <c r="A93" s="252"/>
      <c r="B93" s="34"/>
      <c r="C93" s="158"/>
      <c r="D93" s="35"/>
      <c r="E93" s="36"/>
      <c r="F93" s="263"/>
      <c r="G93" s="263"/>
      <c r="H93" s="263"/>
      <c r="I93" s="35"/>
      <c r="J93" s="35"/>
      <c r="K93" s="37"/>
      <c r="L93" s="262"/>
      <c r="M93" s="38"/>
      <c r="N93" s="255"/>
      <c r="O93" s="256"/>
      <c r="P93" s="260"/>
    </row>
    <row r="94" spans="1:26" ht="15.75" x14ac:dyDescent="0.2">
      <c r="A94" s="252"/>
      <c r="B94" s="34"/>
      <c r="C94" s="158"/>
      <c r="D94" s="35"/>
      <c r="E94" s="36"/>
      <c r="F94" s="182"/>
      <c r="G94" s="182"/>
      <c r="H94" s="182"/>
      <c r="I94" s="35"/>
      <c r="J94" s="35"/>
      <c r="K94" s="37"/>
      <c r="L94" s="261" t="s">
        <v>2</v>
      </c>
      <c r="M94" s="33"/>
      <c r="N94" s="234">
        <f>T305+T319+T333+T347+T361+T375+T389+T403+T417+T431</f>
        <v>-61.875</v>
      </c>
      <c r="O94" s="235"/>
      <c r="P94" s="236"/>
    </row>
    <row r="95" spans="1:26" ht="16.5" thickBot="1" x14ac:dyDescent="0.25">
      <c r="A95" s="252"/>
      <c r="B95" s="34"/>
      <c r="C95" s="158"/>
      <c r="D95" s="35"/>
      <c r="E95" s="182"/>
      <c r="F95" s="182"/>
      <c r="G95" s="182"/>
      <c r="H95" s="182"/>
      <c r="I95" s="35"/>
      <c r="J95" s="35"/>
      <c r="K95" s="37"/>
      <c r="L95" s="262"/>
      <c r="M95" s="38"/>
      <c r="N95" s="237"/>
      <c r="O95" s="184"/>
      <c r="P95" s="185"/>
    </row>
    <row r="96" spans="1:26" ht="16.5" thickBot="1" x14ac:dyDescent="0.25">
      <c r="A96" s="252"/>
      <c r="B96" s="39"/>
      <c r="C96" s="159"/>
      <c r="D96" s="40"/>
      <c r="E96" s="251"/>
      <c r="F96" s="251"/>
      <c r="G96" s="251"/>
      <c r="H96" s="251"/>
      <c r="I96" s="41"/>
      <c r="J96" s="41"/>
      <c r="K96" s="42"/>
      <c r="L96" s="8" t="s">
        <v>19</v>
      </c>
      <c r="M96" s="38"/>
      <c r="N96" s="238"/>
      <c r="O96" s="239"/>
      <c r="P96" s="240"/>
    </row>
    <row r="104" spans="1:16" ht="15.75" thickBot="1" x14ac:dyDescent="0.25"/>
    <row r="105" spans="1:16" ht="15.75" x14ac:dyDescent="0.2">
      <c r="A105" s="252" t="s">
        <v>7</v>
      </c>
      <c r="B105" s="28"/>
      <c r="C105" s="157"/>
      <c r="D105" s="29"/>
      <c r="E105" s="30"/>
      <c r="F105" s="269"/>
      <c r="G105" s="269"/>
      <c r="H105" s="269"/>
      <c r="I105" s="31"/>
      <c r="J105" s="31"/>
      <c r="K105" s="32"/>
      <c r="L105" s="261"/>
      <c r="M105" s="33"/>
      <c r="N105" s="202"/>
      <c r="O105" s="203"/>
      <c r="P105" s="259"/>
    </row>
    <row r="106" spans="1:16" ht="16.5" thickBot="1" x14ac:dyDescent="0.25">
      <c r="A106" s="252"/>
      <c r="B106" s="34"/>
      <c r="C106" s="158"/>
      <c r="D106" s="35"/>
      <c r="E106" s="36"/>
      <c r="F106" s="263"/>
      <c r="G106" s="263"/>
      <c r="H106" s="263"/>
      <c r="I106" s="35"/>
      <c r="J106" s="35"/>
      <c r="K106" s="37"/>
      <c r="L106" s="262"/>
      <c r="M106" s="38"/>
      <c r="N106" s="255"/>
      <c r="O106" s="256"/>
      <c r="P106" s="260"/>
    </row>
    <row r="107" spans="1:16" ht="15.75" x14ac:dyDescent="0.2">
      <c r="A107" s="252"/>
      <c r="B107" s="34"/>
      <c r="C107" s="158"/>
      <c r="D107" s="35"/>
      <c r="E107" s="36"/>
      <c r="F107" s="263"/>
      <c r="G107" s="263"/>
      <c r="H107" s="263"/>
      <c r="I107" s="35"/>
      <c r="J107" s="35"/>
      <c r="K107" s="37"/>
      <c r="L107" s="261" t="s">
        <v>1</v>
      </c>
      <c r="M107" s="33"/>
      <c r="N107" s="202" t="e">
        <f>N461+N475+N489+N503+N517+N531+N545+N559+N573+N587</f>
        <v>#VALUE!</v>
      </c>
      <c r="O107" s="203"/>
      <c r="P107" s="259"/>
    </row>
    <row r="108" spans="1:16" ht="16.5" thickBot="1" x14ac:dyDescent="0.25">
      <c r="A108" s="252"/>
      <c r="B108" s="34"/>
      <c r="C108" s="158"/>
      <c r="D108" s="35"/>
      <c r="E108" s="36"/>
      <c r="F108" s="263"/>
      <c r="G108" s="263"/>
      <c r="H108" s="263"/>
      <c r="I108" s="35"/>
      <c r="J108" s="35"/>
      <c r="K108" s="37"/>
      <c r="L108" s="262"/>
      <c r="M108" s="38"/>
      <c r="N108" s="255"/>
      <c r="O108" s="256"/>
      <c r="P108" s="260"/>
    </row>
    <row r="109" spans="1:16" ht="15.75" x14ac:dyDescent="0.2">
      <c r="A109" s="252"/>
      <c r="B109" s="34"/>
      <c r="C109" s="158"/>
      <c r="D109" s="35"/>
      <c r="E109" s="36"/>
      <c r="F109" s="182"/>
      <c r="G109" s="182"/>
      <c r="H109" s="182"/>
      <c r="I109" s="35"/>
      <c r="J109" s="35"/>
      <c r="K109" s="37"/>
      <c r="L109" s="261" t="s">
        <v>2</v>
      </c>
      <c r="M109" s="33"/>
      <c r="N109" s="234">
        <f>T461+T475+T489+T503+T517+T531+T545+T559+T573+T587</f>
        <v>31.574999999999989</v>
      </c>
      <c r="O109" s="235"/>
      <c r="P109" s="236"/>
    </row>
    <row r="110" spans="1:16" ht="16.5" thickBot="1" x14ac:dyDescent="0.25">
      <c r="A110" s="252"/>
      <c r="B110" s="34"/>
      <c r="C110" s="158"/>
      <c r="D110" s="35"/>
      <c r="E110" s="182"/>
      <c r="F110" s="182"/>
      <c r="G110" s="182"/>
      <c r="H110" s="182"/>
      <c r="I110" s="35"/>
      <c r="J110" s="35"/>
      <c r="K110" s="37"/>
      <c r="L110" s="262"/>
      <c r="M110" s="38"/>
      <c r="N110" s="237"/>
      <c r="O110" s="184"/>
      <c r="P110" s="185"/>
    </row>
    <row r="111" spans="1:16" ht="16.5" thickBot="1" x14ac:dyDescent="0.25">
      <c r="A111" s="252"/>
      <c r="B111" s="39"/>
      <c r="C111" s="159"/>
      <c r="D111" s="40"/>
      <c r="E111" s="251"/>
      <c r="F111" s="251"/>
      <c r="G111" s="251"/>
      <c r="H111" s="251"/>
      <c r="I111" s="41"/>
      <c r="J111" s="41"/>
      <c r="K111" s="42"/>
      <c r="L111" s="8" t="s">
        <v>19</v>
      </c>
      <c r="M111" s="38"/>
      <c r="N111" s="238"/>
      <c r="O111" s="239"/>
      <c r="P111" s="240"/>
    </row>
    <row r="119" spans="1:16" ht="15.75" thickBot="1" x14ac:dyDescent="0.25"/>
    <row r="120" spans="1:16" ht="15.75" x14ac:dyDescent="0.2">
      <c r="A120" s="252" t="s">
        <v>35</v>
      </c>
      <c r="B120" s="28"/>
      <c r="C120" s="157"/>
      <c r="D120" s="29"/>
      <c r="E120" s="30"/>
      <c r="F120" s="269"/>
      <c r="G120" s="269"/>
      <c r="H120" s="269"/>
      <c r="I120" s="31"/>
      <c r="J120" s="31"/>
      <c r="K120" s="32"/>
      <c r="L120" s="261"/>
      <c r="M120" s="33"/>
      <c r="N120" s="202"/>
      <c r="O120" s="203"/>
      <c r="P120" s="259"/>
    </row>
    <row r="121" spans="1:16" ht="16.5" thickBot="1" x14ac:dyDescent="0.25">
      <c r="A121" s="252"/>
      <c r="B121" s="34"/>
      <c r="C121" s="158"/>
      <c r="D121" s="35"/>
      <c r="E121" s="36"/>
      <c r="F121" s="263"/>
      <c r="G121" s="263"/>
      <c r="H121" s="263"/>
      <c r="I121" s="35"/>
      <c r="J121" s="35"/>
      <c r="K121" s="37"/>
      <c r="L121" s="262"/>
      <c r="M121" s="38"/>
      <c r="N121" s="255"/>
      <c r="O121" s="256"/>
      <c r="P121" s="260"/>
    </row>
    <row r="122" spans="1:16" ht="15.75" x14ac:dyDescent="0.2">
      <c r="A122" s="252"/>
      <c r="B122" s="34"/>
      <c r="C122" s="158"/>
      <c r="D122" s="35"/>
      <c r="E122" s="36"/>
      <c r="F122" s="263"/>
      <c r="G122" s="263"/>
      <c r="H122" s="263"/>
      <c r="I122" s="35"/>
      <c r="J122" s="35"/>
      <c r="K122" s="37"/>
      <c r="L122" s="261" t="s">
        <v>1</v>
      </c>
      <c r="M122" s="33"/>
      <c r="N122" s="202">
        <f>SUM(N631+N645+N659+N673+N687+N701+N715+N729+N743)</f>
        <v>0</v>
      </c>
      <c r="O122" s="203"/>
      <c r="P122" s="259"/>
    </row>
    <row r="123" spans="1:16" ht="16.5" thickBot="1" x14ac:dyDescent="0.25">
      <c r="A123" s="252"/>
      <c r="B123" s="34"/>
      <c r="C123" s="158"/>
      <c r="D123" s="35"/>
      <c r="E123" s="36"/>
      <c r="F123" s="263"/>
      <c r="G123" s="263"/>
      <c r="H123" s="263"/>
      <c r="I123" s="35"/>
      <c r="J123" s="35"/>
      <c r="K123" s="37"/>
      <c r="L123" s="262"/>
      <c r="M123" s="38"/>
      <c r="N123" s="255"/>
      <c r="O123" s="256"/>
      <c r="P123" s="260"/>
    </row>
    <row r="124" spans="1:16" ht="15.75" x14ac:dyDescent="0.2">
      <c r="A124" s="252"/>
      <c r="B124" s="34"/>
      <c r="C124" s="158"/>
      <c r="D124" s="35"/>
      <c r="E124" s="36"/>
      <c r="F124" s="182"/>
      <c r="G124" s="182"/>
      <c r="H124" s="182"/>
      <c r="I124" s="35"/>
      <c r="J124" s="35"/>
      <c r="K124" s="37"/>
      <c r="L124" s="261" t="s">
        <v>2</v>
      </c>
      <c r="M124" s="33"/>
      <c r="N124" s="234">
        <f>SUM(T617+T631+T645+T659+T673+T687+T701+T715+T729+T743)</f>
        <v>0</v>
      </c>
      <c r="O124" s="235"/>
      <c r="P124" s="236"/>
    </row>
    <row r="125" spans="1:16" ht="16.5" thickBot="1" x14ac:dyDescent="0.25">
      <c r="A125" s="252"/>
      <c r="B125" s="34"/>
      <c r="C125" s="158"/>
      <c r="D125" s="35"/>
      <c r="E125" s="182"/>
      <c r="F125" s="182"/>
      <c r="G125" s="182"/>
      <c r="H125" s="182"/>
      <c r="I125" s="35"/>
      <c r="J125" s="35"/>
      <c r="K125" s="37"/>
      <c r="L125" s="262"/>
      <c r="M125" s="38"/>
      <c r="N125" s="237"/>
      <c r="O125" s="184"/>
      <c r="P125" s="185"/>
    </row>
    <row r="126" spans="1:16" ht="16.5" thickBot="1" x14ac:dyDescent="0.25">
      <c r="A126" s="252"/>
      <c r="B126" s="39"/>
      <c r="C126" s="159"/>
      <c r="D126" s="40"/>
      <c r="E126" s="251"/>
      <c r="F126" s="251"/>
      <c r="G126" s="251"/>
      <c r="H126" s="251"/>
      <c r="I126" s="41"/>
      <c r="J126" s="41"/>
      <c r="K126" s="42"/>
      <c r="L126" s="8" t="s">
        <v>19</v>
      </c>
      <c r="M126" s="38"/>
      <c r="N126" s="238"/>
      <c r="O126" s="239"/>
      <c r="P126" s="240"/>
    </row>
    <row r="132" spans="1:21" x14ac:dyDescent="0.2">
      <c r="A132" s="9"/>
      <c r="B132" s="9"/>
      <c r="C132" s="11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10"/>
      <c r="S132" s="9"/>
      <c r="T132" s="11"/>
      <c r="U132" s="9"/>
    </row>
    <row r="133" spans="1:21" x14ac:dyDescent="0.2">
      <c r="A133" s="9"/>
      <c r="B133" s="9"/>
      <c r="C133" s="11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10"/>
      <c r="S133" s="9"/>
      <c r="T133" s="11"/>
      <c r="U133" s="9"/>
    </row>
    <row r="134" spans="1:21" x14ac:dyDescent="0.2">
      <c r="A134" s="9"/>
      <c r="B134" s="9"/>
      <c r="C134" s="11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10"/>
      <c r="S134" s="9"/>
      <c r="T134" s="11"/>
      <c r="U134" s="9"/>
    </row>
    <row r="135" spans="1:21" x14ac:dyDescent="0.2">
      <c r="A135" s="9"/>
      <c r="B135" s="9"/>
      <c r="C135" s="11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10"/>
      <c r="S135" s="9"/>
      <c r="T135" s="11"/>
      <c r="U135" s="9"/>
    </row>
    <row r="136" spans="1:21" x14ac:dyDescent="0.2">
      <c r="A136" s="9"/>
      <c r="B136" s="9"/>
      <c r="C136" s="11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10"/>
      <c r="S136" s="9"/>
      <c r="T136" s="11"/>
      <c r="U136" s="9"/>
    </row>
    <row r="137" spans="1:21" x14ac:dyDescent="0.2">
      <c r="A137" s="9"/>
      <c r="B137" s="9"/>
      <c r="C137" s="11"/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10"/>
      <c r="S137" s="9"/>
      <c r="T137" s="11"/>
      <c r="U137" s="9"/>
    </row>
    <row r="138" spans="1:21" x14ac:dyDescent="0.2">
      <c r="A138" s="9"/>
      <c r="B138" s="9"/>
      <c r="C138" s="11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10"/>
      <c r="S138" s="9"/>
      <c r="T138" s="11"/>
      <c r="U138" s="9"/>
    </row>
    <row r="139" spans="1:21" x14ac:dyDescent="0.2">
      <c r="A139" s="9"/>
      <c r="B139" s="9"/>
      <c r="C139" s="11"/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10"/>
      <c r="S139" s="9"/>
      <c r="T139" s="11"/>
      <c r="U139" s="9"/>
    </row>
    <row r="140" spans="1:21" x14ac:dyDescent="0.2">
      <c r="A140" s="9"/>
      <c r="B140" s="9"/>
      <c r="C140" s="11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10"/>
      <c r="S140" s="9"/>
      <c r="T140" s="11"/>
      <c r="U140" s="9"/>
    </row>
    <row r="141" spans="1:21" x14ac:dyDescent="0.2">
      <c r="A141" s="9"/>
      <c r="B141" s="9"/>
      <c r="C141" s="11"/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10"/>
      <c r="S141" s="9"/>
      <c r="T141" s="11"/>
      <c r="U141" s="9"/>
    </row>
    <row r="142" spans="1:21" x14ac:dyDescent="0.2">
      <c r="A142" s="9"/>
      <c r="B142" s="9"/>
      <c r="C142" s="11"/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10"/>
      <c r="S142" s="9"/>
      <c r="T142" s="11"/>
      <c r="U142" s="9"/>
    </row>
    <row r="143" spans="1:21" x14ac:dyDescent="0.2">
      <c r="A143" s="9"/>
      <c r="B143" s="9"/>
      <c r="C143" s="11"/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10"/>
      <c r="S143" s="9"/>
      <c r="T143" s="11"/>
      <c r="U143" s="9"/>
    </row>
    <row r="144" spans="1:21" x14ac:dyDescent="0.2">
      <c r="A144" s="9"/>
      <c r="B144" s="9"/>
      <c r="C144" s="11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10"/>
      <c r="S144" s="9"/>
      <c r="T144" s="11"/>
      <c r="U144" s="9"/>
    </row>
    <row r="145" spans="1:21" x14ac:dyDescent="0.2">
      <c r="A145" s="9"/>
      <c r="B145" s="9"/>
      <c r="C145" s="11"/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10"/>
      <c r="S145" s="9"/>
      <c r="T145" s="11"/>
      <c r="U145" s="9"/>
    </row>
    <row r="146" spans="1:21" x14ac:dyDescent="0.2">
      <c r="A146" s="9"/>
      <c r="B146" s="9"/>
      <c r="C146" s="11"/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10"/>
      <c r="S146" s="9"/>
      <c r="T146" s="11"/>
      <c r="U146" s="9"/>
    </row>
    <row r="147" spans="1:21" ht="15.75" thickBot="1" x14ac:dyDescent="0.25">
      <c r="A147" s="9"/>
      <c r="B147" s="9"/>
      <c r="C147" s="11"/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10"/>
      <c r="S147" s="9"/>
      <c r="T147" s="11"/>
      <c r="U147" s="9"/>
    </row>
    <row r="148" spans="1:21" ht="18.75" thickBot="1" x14ac:dyDescent="0.25">
      <c r="A148" s="242" t="s">
        <v>5</v>
      </c>
      <c r="B148" s="245" t="s">
        <v>8</v>
      </c>
      <c r="C148" s="160" t="s">
        <v>39</v>
      </c>
      <c r="D148" s="43" t="s">
        <v>9</v>
      </c>
      <c r="E148" s="43" t="s">
        <v>10</v>
      </c>
      <c r="F148" s="43" t="s">
        <v>11</v>
      </c>
      <c r="G148" s="43" t="s">
        <v>12</v>
      </c>
      <c r="H148" s="43" t="s">
        <v>13</v>
      </c>
      <c r="I148" s="43" t="s">
        <v>14</v>
      </c>
      <c r="J148" s="43" t="s">
        <v>15</v>
      </c>
      <c r="K148" s="43" t="s">
        <v>33</v>
      </c>
      <c r="L148" s="43" t="s">
        <v>16</v>
      </c>
      <c r="M148" s="43" t="s">
        <v>38</v>
      </c>
      <c r="N148" s="128" t="s">
        <v>87</v>
      </c>
      <c r="O148" s="128" t="s">
        <v>89</v>
      </c>
      <c r="P148" s="137" t="s">
        <v>18</v>
      </c>
      <c r="Q148" s="69"/>
      <c r="R148" s="134" t="s">
        <v>34</v>
      </c>
      <c r="S148" s="69"/>
      <c r="T148" s="47" t="s">
        <v>29</v>
      </c>
      <c r="U148" s="9"/>
    </row>
    <row r="149" spans="1:21" ht="15.75" customHeight="1" thickBot="1" x14ac:dyDescent="0.25">
      <c r="A149" s="243"/>
      <c r="B149" s="246"/>
      <c r="C149" s="161">
        <v>0.47</v>
      </c>
      <c r="D149" s="48" t="s">
        <v>41</v>
      </c>
      <c r="E149" s="48" t="s">
        <v>57</v>
      </c>
      <c r="F149" s="48">
        <f>IF(AND(C149=""),"",1-C149)</f>
        <v>0.53</v>
      </c>
      <c r="G149" s="49">
        <v>1.66</v>
      </c>
      <c r="H149" s="49">
        <v>2.1</v>
      </c>
      <c r="I149" s="48">
        <f>IF(AND(C149=""),"",G149*C149)</f>
        <v>0.78019999999999989</v>
      </c>
      <c r="J149" s="48">
        <f>IF(AND(C149=""),"",H149*F149)</f>
        <v>1.1130000000000002</v>
      </c>
      <c r="K149" s="48" t="str">
        <f t="shared" ref="K149:K158" si="0">IF(AND(I149=""),"",IF(AND(I149&gt;J149),"T1","T2"))</f>
        <v>T2</v>
      </c>
      <c r="L149" s="129">
        <f t="shared" ref="L149:L153" si="1">IF(AND(K149=""),"",IF(AND((J149*0.95-1)&lt;0,(I149*0.95-1)&lt;0),"NEGATIV EV", IF(AND(K149="T1"),I149*0.95 - 1,J149*0.95 - 1)))</f>
        <v>5.7350000000000234E-2</v>
      </c>
      <c r="M149" s="50">
        <f t="shared" ref="M149:M153" si="2">IF(L149="","",IF(L149&lt;0.5,K$2*M$2,IF(L149&lt;0.75,K$2*M$3,IF(L149&lt;1,K$2*M$4,IF(L149&lt;1.25,K$2*M$5,IF(L149&lt;1.5,K$2*M$6,IF(L149&lt;2,K$2*M$7,IF(L149&lt;2.5,K$2*M$8,IF(L149="NEGATIV EV","NEGATIV EV",K$2*M$9)))))))))</f>
        <v>56.25</v>
      </c>
      <c r="N149" s="133" t="str">
        <f>IF(AND(L149="",[1]Übersicht!L149=""),"",IF(AND(L149="NEGATIV EV",[1]Übersicht!L149="NO BET"),"NO BET",IF(AND(NOT(L149="NEGATIV EV"),L149&gt;[1]Übersicht!L149),"BET365","PINNACLE")))</f>
        <v>PINNACLE</v>
      </c>
      <c r="O149" s="140">
        <f>IF(OR(N149="",N149="NO BET"),"",IF(N149="PINNACLE",IF([1]Übersicht!K149="T1",[1]Übersicht!G149*[1]Übersicht!M149-[1]Übersicht!M149,[1]Übersicht!H149*[1]Übersicht!M149-[1]Übersicht!M149),IF(K149="T1",G149*M149*0.95-M149,H149*M149*0.95-M149)))</f>
        <v>66.318749999999994</v>
      </c>
      <c r="P149" s="136" t="s">
        <v>40</v>
      </c>
      <c r="Q149" s="70"/>
      <c r="R149" s="52">
        <f>IF(OR(P149="",N149="NO BET"),0,IF(K149=P149,O149,IF(N149="PINNACLE",-[1]Übersicht!M149,-M149)))</f>
        <v>66.318749999999994</v>
      </c>
      <c r="S149" s="69"/>
      <c r="T149" s="241">
        <f>SUM(R149:R158)</f>
        <v>103.37812500000001</v>
      </c>
      <c r="U149" s="9"/>
    </row>
    <row r="150" spans="1:21" ht="18.75" customHeight="1" thickBot="1" x14ac:dyDescent="0.25">
      <c r="A150" s="243"/>
      <c r="B150" s="246"/>
      <c r="C150" s="162">
        <v>0.7</v>
      </c>
      <c r="D150" s="53" t="s">
        <v>82</v>
      </c>
      <c r="E150" s="53" t="s">
        <v>83</v>
      </c>
      <c r="F150" s="53">
        <f t="shared" ref="F150:F158" si="3">IF(AND(C150=""),"",1-C150)</f>
        <v>0.30000000000000004</v>
      </c>
      <c r="G150" s="54">
        <v>2.1</v>
      </c>
      <c r="H150" s="54">
        <v>1.66</v>
      </c>
      <c r="I150" s="53">
        <f t="shared" ref="I150:I156" si="4">IF(AND(C150=""),"",G150*C150)</f>
        <v>1.47</v>
      </c>
      <c r="J150" s="53">
        <f t="shared" ref="J150:J156" si="5">IF(AND(C150=""),"",H150*F150)</f>
        <v>0.49800000000000005</v>
      </c>
      <c r="K150" s="53" t="str">
        <f t="shared" si="0"/>
        <v>T1</v>
      </c>
      <c r="L150" s="130">
        <f t="shared" si="1"/>
        <v>0.39649999999999985</v>
      </c>
      <c r="M150" s="55">
        <f t="shared" si="2"/>
        <v>56.25</v>
      </c>
      <c r="N150" s="133" t="str">
        <f>IF(AND(L150="",[1]Übersicht!L150=""),"",IF(AND(L150="NEGATIV EV",[1]Übersicht!L150="NO BET"),"NO BET",IF(AND(NOT(L150="NEGATIV EV"),L150&gt;[1]Übersicht!L150),"BET365","PINNACLE")))</f>
        <v>PINNACLE</v>
      </c>
      <c r="O150" s="138">
        <f>IF(OR(N150="",N150="NO BET"),"",IF(N150="PINNACLE",IF([1]Übersicht!K150="T1",[1]Übersicht!G150*[1]Übersicht!M150-[1]Übersicht!M150,[1]Übersicht!H150*[1]Übersicht!M150-[1]Übersicht!M150),IF(K150="T1",G150*M150*0.95-M150,H150*M150*0.95-M150)))</f>
        <v>101.25</v>
      </c>
      <c r="P150" s="136" t="s">
        <v>88</v>
      </c>
      <c r="Q150" s="69"/>
      <c r="R150" s="52">
        <f>IF(OR(P150="",N150="NO BET"),0,IF(K150=P150,O150,IF(N150="PINNACLE",-[1]Übersicht!M150,-M150)))</f>
        <v>101.25</v>
      </c>
      <c r="S150" s="69"/>
      <c r="T150" s="241"/>
      <c r="U150" s="9"/>
    </row>
    <row r="151" spans="1:21" ht="18" customHeight="1" thickBot="1" x14ac:dyDescent="0.25">
      <c r="A151" s="243"/>
      <c r="B151" s="246"/>
      <c r="C151" s="163">
        <v>0.64</v>
      </c>
      <c r="D151" s="7" t="s">
        <v>56</v>
      </c>
      <c r="E151" s="7" t="s">
        <v>84</v>
      </c>
      <c r="F151" s="7">
        <f t="shared" si="3"/>
        <v>0.36</v>
      </c>
      <c r="G151" s="58">
        <v>1.25</v>
      </c>
      <c r="H151" s="58">
        <v>3.75</v>
      </c>
      <c r="I151" s="7">
        <f t="shared" si="4"/>
        <v>0.8</v>
      </c>
      <c r="J151" s="7">
        <f t="shared" si="5"/>
        <v>1.3499999999999999</v>
      </c>
      <c r="K151" s="7" t="str">
        <f t="shared" si="0"/>
        <v>T2</v>
      </c>
      <c r="L151" s="131">
        <f t="shared" si="1"/>
        <v>0.28249999999999975</v>
      </c>
      <c r="M151" s="59">
        <f t="shared" si="2"/>
        <v>56.25</v>
      </c>
      <c r="N151" s="133" t="str">
        <f>IF(AND(L151="",[1]Übersicht!L151=""),"",IF(AND(L151="NEGATIV EV",[1]Übersicht!L151="NO BET"),"NO BET",IF(AND(NOT(L151="NEGATIV EV"),L151&gt;[1]Übersicht!L151),"BET365","PINNACLE")))</f>
        <v>BET365</v>
      </c>
      <c r="O151" s="140">
        <f>IF(OR(N151="",N151="NO BET"),"",IF(N151="PINNACLE",IF([1]Übersicht!K151="T1",[1]Übersicht!G151*[1]Übersicht!M151-[1]Übersicht!M151,[1]Übersicht!H151*[1]Übersicht!M151-[1]Übersicht!M151),IF(K151="T1",G151*M151*0.95-M151,H151*M151*0.95-M151)))</f>
        <v>144.140625</v>
      </c>
      <c r="P151" s="136" t="s">
        <v>40</v>
      </c>
      <c r="Q151" s="69"/>
      <c r="R151" s="52">
        <f>IF(OR(P151="",N151="NO BET"),0,IF(K151=P151,O151,IF(N151="PINNACLE",-[1]Übersicht!M151,-M151)))</f>
        <v>144.140625</v>
      </c>
      <c r="S151" s="69"/>
      <c r="T151" s="241"/>
      <c r="U151" s="9"/>
    </row>
    <row r="152" spans="1:21" ht="18" customHeight="1" thickBot="1" x14ac:dyDescent="0.25">
      <c r="A152" s="243"/>
      <c r="B152" s="246"/>
      <c r="C152" s="162">
        <v>0.7</v>
      </c>
      <c r="D152" s="53" t="s">
        <v>85</v>
      </c>
      <c r="E152" s="53" t="s">
        <v>61</v>
      </c>
      <c r="F152" s="53">
        <f t="shared" si="3"/>
        <v>0.30000000000000004</v>
      </c>
      <c r="G152" s="54">
        <v>1.72</v>
      </c>
      <c r="H152" s="54">
        <v>2</v>
      </c>
      <c r="I152" s="53">
        <f t="shared" si="4"/>
        <v>1.204</v>
      </c>
      <c r="J152" s="53">
        <f t="shared" si="5"/>
        <v>0.60000000000000009</v>
      </c>
      <c r="K152" s="53" t="str">
        <f t="shared" si="0"/>
        <v>T1</v>
      </c>
      <c r="L152" s="130">
        <f t="shared" si="1"/>
        <v>0.14379999999999993</v>
      </c>
      <c r="M152" s="55">
        <f t="shared" si="2"/>
        <v>56.25</v>
      </c>
      <c r="N152" s="133" t="str">
        <f>IF(AND(L152="",[1]Übersicht!L152=""),"",IF(AND(L152="NEGATIV EV",[1]Übersicht!L152="NO BET"),"NO BET",IF(AND(NOT(L152="NEGATIV EV"),L152&gt;[1]Übersicht!L152),"BET365","PINNACLE")))</f>
        <v>PINNACLE</v>
      </c>
      <c r="O152" s="138">
        <f>IF(OR(N152="",N152="NO BET"),"",IF(N152="PINNACLE",IF([1]Übersicht!K152="T1",[1]Übersicht!G152*[1]Übersicht!M152-[1]Übersicht!M152,[1]Übersicht!H152*[1]Übersicht!M152-[1]Übersicht!M152),IF(K152="T1",G152*M152*0.95-M152,H152*M152*0.95-M152)))</f>
        <v>42.918749999999989</v>
      </c>
      <c r="P152" s="136" t="s">
        <v>88</v>
      </c>
      <c r="Q152" s="69"/>
      <c r="R152" s="52">
        <f>IF(OR(P152="",N152="NO BET"),0,IF(K152=P152,O152,IF(N152="PINNACLE",-[1]Übersicht!M152,-M152)))</f>
        <v>42.918749999999989</v>
      </c>
      <c r="S152" s="69"/>
      <c r="T152" s="241"/>
      <c r="U152" s="9"/>
    </row>
    <row r="153" spans="1:21" ht="18" customHeight="1" thickBot="1" x14ac:dyDescent="0.25">
      <c r="A153" s="243"/>
      <c r="B153" s="246"/>
      <c r="C153" s="163">
        <v>0.54</v>
      </c>
      <c r="D153" s="7" t="s">
        <v>55</v>
      </c>
      <c r="E153" s="7" t="s">
        <v>54</v>
      </c>
      <c r="F153" s="7">
        <f t="shared" si="3"/>
        <v>0.45999999999999996</v>
      </c>
      <c r="G153" s="58">
        <v>1.28</v>
      </c>
      <c r="H153" s="58">
        <v>3.5</v>
      </c>
      <c r="I153" s="7">
        <f t="shared" si="4"/>
        <v>0.69120000000000004</v>
      </c>
      <c r="J153" s="7">
        <f t="shared" si="5"/>
        <v>1.6099999999999999</v>
      </c>
      <c r="K153" s="7" t="str">
        <f t="shared" si="0"/>
        <v>T2</v>
      </c>
      <c r="L153" s="131">
        <f t="shared" si="1"/>
        <v>0.52949999999999986</v>
      </c>
      <c r="M153" s="60">
        <f t="shared" si="2"/>
        <v>75</v>
      </c>
      <c r="N153" s="133" t="str">
        <f>IF(AND(L153="",[1]Übersicht!L153=""),"",IF(AND(L153="NEGATIV EV",[1]Übersicht!L153="NO BET"),"NO BET",IF(AND(NOT(L153="NEGATIV EV"),L153&gt;[1]Übersicht!L153),"BET365","PINNACLE")))</f>
        <v>PINNACLE</v>
      </c>
      <c r="O153" s="140">
        <f>IF(OR(N153="",N153="NO BET"),"",IF(N153="PINNACLE",IF([1]Übersicht!K153="T1",[1]Übersicht!G153*[1]Übersicht!M153-[1]Übersicht!M153,[1]Übersicht!H153*[1]Übersicht!M153-[1]Übersicht!M153),IF(K153="T1",G153*M153*0.95-M153,H153*M153*0.95-M153)))</f>
        <v>199.5</v>
      </c>
      <c r="P153" s="136" t="s">
        <v>88</v>
      </c>
      <c r="Q153" s="69"/>
      <c r="R153" s="52">
        <f>IF(OR(P153="",N153="NO BET"),0,IF(K153=P153,O153,IF(N153="PINNACLE",-[1]Übersicht!M153,-M153)))</f>
        <v>-75</v>
      </c>
      <c r="S153" s="69"/>
      <c r="T153" s="241"/>
      <c r="U153" s="9"/>
    </row>
    <row r="154" spans="1:21" ht="18" customHeight="1" thickBot="1" x14ac:dyDescent="0.25">
      <c r="A154" s="243"/>
      <c r="B154" s="246"/>
      <c r="C154" s="162">
        <v>0.54</v>
      </c>
      <c r="D154" s="53" t="s">
        <v>83</v>
      </c>
      <c r="E154" s="53" t="s">
        <v>41</v>
      </c>
      <c r="F154" s="53">
        <f t="shared" si="3"/>
        <v>0.45999999999999996</v>
      </c>
      <c r="G154" s="54">
        <v>1.5</v>
      </c>
      <c r="H154" s="54">
        <v>2.5</v>
      </c>
      <c r="I154" s="53">
        <f t="shared" si="4"/>
        <v>0.81</v>
      </c>
      <c r="J154" s="53">
        <f t="shared" si="5"/>
        <v>1.1499999999999999</v>
      </c>
      <c r="K154" s="53" t="str">
        <f t="shared" si="0"/>
        <v>T2</v>
      </c>
      <c r="L154" s="130">
        <f>IF(AND(K154=""),"",IF(AND((J154*0.95-1)&lt;0,(I154*0.95-1)&lt;0),"NEGATIV EV", IF(AND(K154="T1"),I154*0.95 - 1,J154*0.95 - 1)))</f>
        <v>9.2499999999999805E-2</v>
      </c>
      <c r="M154" s="55">
        <f>IF(L154="","",IF(L154&lt;0.5,K$2*M$2,IF(L154&lt;0.75,K$2*M$3,IF(L154&lt;1,K$2*M$4,IF(L154&lt;1.25,K$2*M$5,IF(L154&lt;1.5,K$2*M$6,IF(L154&lt;2,K$2*M$7,IF(L154&lt;2.5,K$2*M$8,IF(L154="NEGATIV EV","NEGATIV EV",K$2*M$9)))))))))</f>
        <v>56.25</v>
      </c>
      <c r="N154" s="133" t="str">
        <f>IF(AND(L154="",[1]Übersicht!L154=""),"",IF(AND(L154="NEGATIV EV",[1]Übersicht!L154="NO BET"),"NO BET",IF(AND(NOT(L154="NEGATIV EV"),L154&gt;[1]Übersicht!L154),"BET365","PINNACLE")))</f>
        <v>PINNACLE</v>
      </c>
      <c r="O154" s="138">
        <f>IF(OR(N154="",N154="NO BET"),"",IF(N154="PINNACLE",IF([1]Übersicht!K154="T1",[1]Übersicht!G154*[1]Übersicht!M154-[1]Übersicht!M154,[1]Übersicht!H154*[1]Übersicht!M154-[1]Übersicht!M154),IF(K154="T1",G154*M154*0.95-M154,H154*M154*0.95-M154)))</f>
        <v>105.75</v>
      </c>
      <c r="P154" s="136" t="s">
        <v>88</v>
      </c>
      <c r="Q154" s="69"/>
      <c r="R154" s="52">
        <f>IF(OR(P154="",N154="NO BET"),0,IF(K154=P154,O154,IF(N154="PINNACLE",-[1]Übersicht!M154,-M154)))</f>
        <v>-56.25</v>
      </c>
      <c r="S154" s="69"/>
      <c r="T154" s="241"/>
      <c r="U154" s="9"/>
    </row>
    <row r="155" spans="1:21" ht="18" customHeight="1" thickBot="1" x14ac:dyDescent="0.25">
      <c r="A155" s="243"/>
      <c r="B155" s="246"/>
      <c r="C155" s="163">
        <v>0.57999999999999996</v>
      </c>
      <c r="D155" s="7" t="s">
        <v>57</v>
      </c>
      <c r="E155" s="7" t="s">
        <v>82</v>
      </c>
      <c r="F155" s="7">
        <f t="shared" si="3"/>
        <v>0.42000000000000004</v>
      </c>
      <c r="G155" s="58">
        <v>2.2000000000000002</v>
      </c>
      <c r="H155" s="58">
        <v>1.61</v>
      </c>
      <c r="I155" s="7">
        <f t="shared" si="4"/>
        <v>1.276</v>
      </c>
      <c r="J155" s="7">
        <f t="shared" si="5"/>
        <v>0.67620000000000013</v>
      </c>
      <c r="K155" s="7" t="str">
        <f t="shared" si="0"/>
        <v>T1</v>
      </c>
      <c r="L155" s="131">
        <f t="shared" ref="L155:L158" si="6">IF(AND(K155=""),"",IF(AND((J155*0.95-1)&lt;0,(I155*0.95-1)&lt;0),"NEGATIV EV", IF(AND(K155="T1"),I155*0.95 - 1,J155*0.95 - 1)))</f>
        <v>0.21219999999999994</v>
      </c>
      <c r="M155" s="59">
        <f t="shared" ref="M155:M158" si="7">IF(L155="","",IF(L155&lt;0.5,K$2*M$2,IF(L155&lt;0.75,K$2*M$3,IF(L155&lt;1,K$2*M$4,IF(L155&lt;1.25,K$2*M$5,IF(L155&lt;1.5,K$2*M$6,IF(L155&lt;2,K$2*M$7,IF(L155&lt;2.5,K$2*M$8,IF(L155="NEGATIV EV","NEGATIV EV",K$2*M$9)))))))))</f>
        <v>56.25</v>
      </c>
      <c r="N155" s="133" t="str">
        <f>IF(AND(L155="",[1]Übersicht!L155=""),"",IF(AND(L155="NEGATIV EV",[1]Übersicht!L155="NO BET"),"NO BET",IF(AND(NOT(L155="NEGATIV EV"),L155&gt;[1]Übersicht!L155),"BET365","PINNACLE")))</f>
        <v>PINNACLE</v>
      </c>
      <c r="O155" s="140">
        <f>IF(OR(N155="",N155="NO BET"),"",IF(N155="PINNACLE",IF([1]Übersicht!K155="T1",[1]Übersicht!G155*[1]Übersicht!M155-[1]Übersicht!M155,[1]Übersicht!H155*[1]Übersicht!M155-[1]Übersicht!M155),IF(K155="T1",G155*M155*0.95-M155,H155*M155*0.95-M155)))</f>
        <v>75.9375</v>
      </c>
      <c r="P155" s="56" t="s">
        <v>40</v>
      </c>
      <c r="Q155" s="69"/>
      <c r="R155" s="52">
        <f>IF(OR(P155="",N155="NO BET"),0,IF(K155=P155,O155,IF(N155="PINNACLE",-[1]Übersicht!M155,-M155)))</f>
        <v>-56.25</v>
      </c>
      <c r="S155" s="69"/>
      <c r="T155" s="61" t="s">
        <v>31</v>
      </c>
      <c r="U155" s="9"/>
    </row>
    <row r="156" spans="1:21" ht="18" customHeight="1" thickBot="1" x14ac:dyDescent="0.25">
      <c r="A156" s="243"/>
      <c r="B156" s="246"/>
      <c r="C156" s="162">
        <v>0.73</v>
      </c>
      <c r="D156" s="53" t="s">
        <v>56</v>
      </c>
      <c r="E156" s="53" t="s">
        <v>54</v>
      </c>
      <c r="F156" s="53">
        <f t="shared" si="3"/>
        <v>0.27</v>
      </c>
      <c r="G156" s="54">
        <v>1.1000000000000001</v>
      </c>
      <c r="H156" s="54">
        <v>6.5</v>
      </c>
      <c r="I156" s="53">
        <f t="shared" si="4"/>
        <v>0.80300000000000005</v>
      </c>
      <c r="J156" s="53">
        <f t="shared" si="5"/>
        <v>1.7550000000000001</v>
      </c>
      <c r="K156" s="53" t="str">
        <f t="shared" si="0"/>
        <v>T2</v>
      </c>
      <c r="L156" s="130">
        <f t="shared" si="6"/>
        <v>0.66725000000000012</v>
      </c>
      <c r="M156" s="62">
        <f t="shared" si="7"/>
        <v>75</v>
      </c>
      <c r="N156" s="133" t="str">
        <f>IF(AND(L156="",[1]Übersicht!L156=""),"",IF(AND(L156="NEGATIV EV",[1]Übersicht!L156="NO BET"),"NO BET",IF(AND(NOT(L156="NEGATIV EV"),L156&gt;[1]Übersicht!L156),"BET365","PINNACLE")))</f>
        <v>BET365</v>
      </c>
      <c r="O156" s="138">
        <f>IF(OR(N156="",N156="NO BET"),"",IF(N156="PINNACLE",IF([1]Übersicht!K156="T1",[1]Übersicht!G156*[1]Übersicht!M156-[1]Übersicht!M156,[1]Übersicht!H156*[1]Übersicht!M156-[1]Übersicht!M156),IF(K156="T1",G156*M156*0.95-M156,H156*M156*0.95-M156)))</f>
        <v>388.125</v>
      </c>
      <c r="P156" s="136" t="s">
        <v>88</v>
      </c>
      <c r="Q156" s="69"/>
      <c r="R156" s="52">
        <f>IF(OR(P156="",N156="NO BET"),0,IF(K156=P156,O156,IF(N156="PINNACLE",-[1]Übersicht!M156,-M156)))</f>
        <v>-75</v>
      </c>
      <c r="S156" s="69"/>
      <c r="T156" s="248" t="e">
        <f>IF(AND(NOT(N149=0)),T149/N149,0)</f>
        <v>#VALUE!</v>
      </c>
      <c r="U156" s="9"/>
    </row>
    <row r="157" spans="1:21" ht="15.75" customHeight="1" thickBot="1" x14ac:dyDescent="0.25">
      <c r="A157" s="243"/>
      <c r="B157" s="246"/>
      <c r="C157" s="163">
        <v>0.42</v>
      </c>
      <c r="D157" s="7" t="s">
        <v>84</v>
      </c>
      <c r="E157" s="7" t="s">
        <v>61</v>
      </c>
      <c r="F157" s="7">
        <f t="shared" si="3"/>
        <v>0.58000000000000007</v>
      </c>
      <c r="G157" s="58">
        <v>2</v>
      </c>
      <c r="H157" s="58">
        <v>1.72</v>
      </c>
      <c r="I157" s="7">
        <f>IF(AND(C157=""),"",G157*C157)</f>
        <v>0.84</v>
      </c>
      <c r="J157" s="7">
        <f>IF(AND(C157=""),"",H157*F157)</f>
        <v>0.99760000000000015</v>
      </c>
      <c r="K157" s="7" t="str">
        <f t="shared" si="0"/>
        <v>T2</v>
      </c>
      <c r="L157" s="131" t="str">
        <f t="shared" si="6"/>
        <v>NEGATIV EV</v>
      </c>
      <c r="M157" s="60" t="str">
        <f t="shared" si="7"/>
        <v>NEGATIV EV</v>
      </c>
      <c r="N157" s="133" t="str">
        <f>IF(AND(L157="",[1]Übersicht!L157=""),"",IF(AND(L157="NEGATIV EV",[1]Übersicht!L157="NO BET"),"NO BET",IF(AND(NOT(L157="NEGATIV EV"),L157&gt;[1]Übersicht!L157),"BET365","PINNACLE")))</f>
        <v>PINNACLE</v>
      </c>
      <c r="O157" s="139">
        <f>IF(OR(N157="",N157="NO BET"),"",IF(N157="PINNACLE",IF([1]Übersicht!K157="T1",[1]Übersicht!G157*[1]Übersicht!M157-[1]Übersicht!M157,[1]Übersicht!H157*[1]Übersicht!M157-[1]Übersicht!M157),IF(K157="T1",G157*M157*0.95-M157,H157*M157*0.95-M157)))</f>
        <v>57.937499999999986</v>
      </c>
      <c r="P157" s="136" t="s">
        <v>88</v>
      </c>
      <c r="Q157" s="69"/>
      <c r="R157" s="52">
        <f>IF(OR(P157="",N157="NO BET"),0,IF(K157=P157,O157,IF(N157="PINNACLE",-[1]Übersicht!M157,-M157)))</f>
        <v>-56.25</v>
      </c>
      <c r="S157" s="69"/>
      <c r="T157" s="249"/>
      <c r="U157" s="9"/>
    </row>
    <row r="158" spans="1:21" ht="15.75" customHeight="1" thickBot="1" x14ac:dyDescent="0.25">
      <c r="A158" s="244"/>
      <c r="B158" s="247"/>
      <c r="C158" s="164">
        <v>0.84</v>
      </c>
      <c r="D158" s="63" t="s">
        <v>43</v>
      </c>
      <c r="E158" s="63" t="s">
        <v>55</v>
      </c>
      <c r="F158" s="63">
        <f t="shared" si="3"/>
        <v>0.16000000000000003</v>
      </c>
      <c r="G158" s="64">
        <v>2</v>
      </c>
      <c r="H158" s="64">
        <v>1.72</v>
      </c>
      <c r="I158" s="63">
        <f>IF(AND(C158=""),"",G158*C158)</f>
        <v>1.68</v>
      </c>
      <c r="J158" s="63">
        <f>IF(AND(C158=""),"",H158*F158)</f>
        <v>0.27520000000000006</v>
      </c>
      <c r="K158" s="63" t="str">
        <f t="shared" si="0"/>
        <v>T1</v>
      </c>
      <c r="L158" s="132">
        <f t="shared" si="6"/>
        <v>0.59599999999999986</v>
      </c>
      <c r="M158" s="65">
        <f t="shared" si="7"/>
        <v>75</v>
      </c>
      <c r="N158" s="133" t="str">
        <f>IF(AND(L158="",[1]Übersicht!L158=""),"",IF(AND(L158="NEGATIV EV",[1]Übersicht!L158="NO BET"),"NO BET",IF(AND(NOT(L158="NEGATIV EV"),L158&gt;[1]Übersicht!L158),"BET365","PINNACLE")))</f>
        <v>BET365</v>
      </c>
      <c r="O158" s="138">
        <f>IF(OR(N158="",N158="NO BET"),"",IF(N158="PINNACLE",IF([1]Übersicht!K158="T1",[1]Übersicht!G158*[1]Übersicht!M158-[1]Übersicht!M158,[1]Übersicht!H158*[1]Übersicht!M158-[1]Übersicht!M158),IF(K158="T1",G158*M158*0.95-M158,H158*M158*0.95-M158)))</f>
        <v>67.5</v>
      </c>
      <c r="P158" s="66" t="s">
        <v>88</v>
      </c>
      <c r="Q158" s="9"/>
      <c r="R158" s="135">
        <f>IF(OR(P158="",N158="NO BET"),0,IF(K158=P158,O158,IF(N158="PINNACLE",-[1]Übersicht!M158,-M158)))</f>
        <v>67.5</v>
      </c>
      <c r="S158" s="9"/>
      <c r="T158" s="250"/>
      <c r="U158" s="9"/>
    </row>
    <row r="159" spans="1:21" ht="15.75" x14ac:dyDescent="0.25">
      <c r="A159" s="9"/>
      <c r="B159" s="9"/>
      <c r="C159" s="11"/>
      <c r="D159" s="9"/>
      <c r="E159" s="9"/>
      <c r="F159" s="9"/>
      <c r="G159" s="9"/>
      <c r="H159" s="9"/>
      <c r="I159" s="9"/>
      <c r="J159" s="9"/>
      <c r="K159" s="9"/>
      <c r="L159" s="68"/>
      <c r="M159" s="68"/>
      <c r="N159" s="9"/>
      <c r="O159" s="9"/>
      <c r="P159" s="9"/>
      <c r="Q159" s="69"/>
      <c r="R159" s="10"/>
      <c r="S159" s="69"/>
      <c r="T159" s="11"/>
      <c r="U159" s="9"/>
    </row>
    <row r="160" spans="1:21" x14ac:dyDescent="0.2">
      <c r="A160" s="9"/>
      <c r="B160" s="9"/>
      <c r="C160" s="11"/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10"/>
      <c r="S160" s="9"/>
      <c r="T160" s="11"/>
      <c r="U160" s="9"/>
    </row>
    <row r="161" spans="1:21" ht="15.75" thickBot="1" x14ac:dyDescent="0.25">
      <c r="A161" s="9"/>
      <c r="B161" s="9"/>
      <c r="C161" s="11"/>
      <c r="D161" s="9"/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69"/>
      <c r="R161" s="10"/>
      <c r="S161" s="69"/>
      <c r="T161" s="11"/>
      <c r="U161" s="9"/>
    </row>
    <row r="162" spans="1:21" ht="19.5" customHeight="1" thickBot="1" x14ac:dyDescent="0.25">
      <c r="A162" s="242" t="s">
        <v>5</v>
      </c>
      <c r="B162" s="245" t="s">
        <v>20</v>
      </c>
      <c r="C162" s="160"/>
      <c r="D162" s="43" t="s">
        <v>9</v>
      </c>
      <c r="E162" s="43" t="s">
        <v>10</v>
      </c>
      <c r="F162" s="43" t="s">
        <v>11</v>
      </c>
      <c r="G162" s="43" t="s">
        <v>12</v>
      </c>
      <c r="H162" s="43" t="s">
        <v>13</v>
      </c>
      <c r="I162" s="43" t="s">
        <v>14</v>
      </c>
      <c r="J162" s="43" t="s">
        <v>15</v>
      </c>
      <c r="K162" s="43" t="s">
        <v>33</v>
      </c>
      <c r="L162" s="43" t="s">
        <v>16</v>
      </c>
      <c r="M162" s="43" t="s">
        <v>38</v>
      </c>
      <c r="N162" s="128" t="s">
        <v>87</v>
      </c>
      <c r="O162" s="128" t="s">
        <v>89</v>
      </c>
      <c r="P162" s="137" t="s">
        <v>18</v>
      </c>
      <c r="Q162" s="69"/>
      <c r="R162" s="134" t="s">
        <v>34</v>
      </c>
      <c r="S162" s="69"/>
      <c r="T162" s="47" t="s">
        <v>29</v>
      </c>
      <c r="U162" s="9"/>
    </row>
    <row r="163" spans="1:21" ht="16.5" customHeight="1" thickBot="1" x14ac:dyDescent="0.25">
      <c r="A163" s="243"/>
      <c r="B163" s="246"/>
      <c r="C163" s="161">
        <v>0.19</v>
      </c>
      <c r="D163" s="71" t="s">
        <v>41</v>
      </c>
      <c r="E163" s="71" t="s">
        <v>82</v>
      </c>
      <c r="F163" s="48">
        <f>IF(AND(C163=""),"",1-C163)</f>
        <v>0.81</v>
      </c>
      <c r="G163" s="49">
        <v>2.75</v>
      </c>
      <c r="H163" s="49">
        <v>1.4</v>
      </c>
      <c r="I163" s="48">
        <f>IF(AND(C163=""),"",G163*C163)</f>
        <v>0.52249999999999996</v>
      </c>
      <c r="J163" s="48">
        <f>IF(AND(C163=""),"",H163*F163)</f>
        <v>1.1339999999999999</v>
      </c>
      <c r="K163" s="48" t="str">
        <f t="shared" ref="K163:K172" si="8">IF(AND(I163=""),"",IF(AND(I163&gt;J163),"T1","T2"))</f>
        <v>T2</v>
      </c>
      <c r="L163" s="129">
        <f t="shared" ref="L163:L167" si="9">IF(AND(K163=""),"",IF(AND((J163*0.95-1)&lt;0,(I163*0.95-1)&lt;0),"NEGATIV EV", IF(AND(K163="T1"),I163*0.95 - 1,J163*0.95 - 1)))</f>
        <v>7.7299999999999924E-2</v>
      </c>
      <c r="M163" s="50">
        <f t="shared" ref="M163:M167" si="10">IF(L163="","",IF(L163&lt;0.5,K$2*M$2,IF(L163&lt;0.75,K$2*M$3,IF(L163&lt;1,K$2*M$4,IF(L163&lt;1.25,K$2*M$5,IF(L163&lt;1.5,K$2*M$6,IF(L163&lt;2,K$2*M$7,IF(L163&lt;2.5,K$2*M$8,IF(L163="NEGATIV EV","NEGATIV EV",K$2*M$9)))))))))</f>
        <v>56.25</v>
      </c>
      <c r="N163" s="133" t="str">
        <f>IF(AND(L163="",[1]Übersicht!L163=""),"",IF(AND(L163="NEGATIV EV",[1]Übersicht!L163="NO BET"),"NO BET",IF(AND(NOT(L163="NEGATIV EV"),L163&gt;[1]Übersicht!L163),"BET365",IF([1]Übersicht!L163="NO BET","BET365","PINNACLE"))))</f>
        <v>PINNACLE</v>
      </c>
      <c r="O163" s="140">
        <f>IF(OR(N163="",N163="NO BET"),"",IF(N163="PINNACLE",IF([1]Übersicht!K163="T1",[1]Übersicht!G163*[1]Übersicht!M163-[1]Übersicht!M163,[1]Übersicht!H163*[1]Übersicht!M163-[1]Übersicht!M163),IF(K163="T1",G163*M163*0.95-M163,H163*M163*0.95-M163)))</f>
        <v>145.5</v>
      </c>
      <c r="P163" s="136" t="s">
        <v>40</v>
      </c>
      <c r="Q163" s="70"/>
      <c r="R163" s="52">
        <f>IF(OR(P163="",N163="NO BET"),0,IF(K163=P163,O163,IF(N163="PINNACLE",-[1]Übersicht!M163,-M163)))</f>
        <v>145.5</v>
      </c>
      <c r="S163" s="69"/>
      <c r="T163" s="241">
        <f>SUM(R163:R172)</f>
        <v>-233.36250000000001</v>
      </c>
      <c r="U163" s="9"/>
    </row>
    <row r="164" spans="1:21" ht="15.75" customHeight="1" thickBot="1" x14ac:dyDescent="0.25">
      <c r="A164" s="243"/>
      <c r="B164" s="246"/>
      <c r="C164" s="162">
        <v>0.45</v>
      </c>
      <c r="D164" s="72" t="s">
        <v>57</v>
      </c>
      <c r="E164" s="72" t="s">
        <v>84</v>
      </c>
      <c r="F164" s="53">
        <f t="shared" ref="F164:F172" si="11">IF(AND(C164=""),"",1-C164)</f>
        <v>0.55000000000000004</v>
      </c>
      <c r="G164" s="53">
        <v>3.4</v>
      </c>
      <c r="H164" s="53">
        <v>1.3</v>
      </c>
      <c r="I164" s="53">
        <f t="shared" ref="I164:I170" si="12">IF(AND(C164=""),"",G164*C164)</f>
        <v>1.53</v>
      </c>
      <c r="J164" s="53">
        <f t="shared" ref="J164:J170" si="13">IF(AND(C164=""),"",H164*F164)</f>
        <v>0.71500000000000008</v>
      </c>
      <c r="K164" s="53" t="str">
        <f t="shared" si="8"/>
        <v>T1</v>
      </c>
      <c r="L164" s="130">
        <f t="shared" si="9"/>
        <v>0.45350000000000001</v>
      </c>
      <c r="M164" s="55">
        <f t="shared" si="10"/>
        <v>56.25</v>
      </c>
      <c r="N164" s="133" t="str">
        <f>IF(AND(L164="",[1]Übersicht!L164=""),"",IF(AND(L164="NEGATIV EV",[1]Übersicht!L164="NO BET"),"NO BET",IF(AND(NOT(L164="NEGATIV EV"),L164&gt;[1]Übersicht!L164),"BET365",IF([1]Übersicht!L164="NO BET","BET365","PINNACLE"))))</f>
        <v>BET365</v>
      </c>
      <c r="O164" s="138">
        <f>IF(OR(N164="",N164="NO BET"),"",IF(N164="PINNACLE",IF([1]Übersicht!K164="T1",[1]Übersicht!G164*[1]Übersicht!M164-[1]Übersicht!M164,[1]Übersicht!H164*[1]Übersicht!M164-[1]Übersicht!M164),IF(K164="T1",G164*M164*0.95-M164,H164*M164*0.95-M164)))</f>
        <v>125.4375</v>
      </c>
      <c r="P164" s="136" t="s">
        <v>40</v>
      </c>
      <c r="Q164" s="69"/>
      <c r="R164" s="52">
        <f>IF(OR(P164="",N164="NO BET"),0,IF(K164=P164,O164,IF(N164="PINNACLE",-[1]Übersicht!M164,-M164)))</f>
        <v>-56.25</v>
      </c>
      <c r="S164" s="69"/>
      <c r="T164" s="241"/>
      <c r="U164" s="9"/>
    </row>
    <row r="165" spans="1:21" ht="16.5" customHeight="1" thickBot="1" x14ac:dyDescent="0.25">
      <c r="A165" s="243"/>
      <c r="B165" s="246"/>
      <c r="C165" s="163">
        <v>0.68600000000000005</v>
      </c>
      <c r="D165" s="73" t="s">
        <v>83</v>
      </c>
      <c r="E165" s="73" t="s">
        <v>54</v>
      </c>
      <c r="F165" s="7">
        <f t="shared" si="11"/>
        <v>0.31399999999999995</v>
      </c>
      <c r="G165" s="58">
        <v>1.66</v>
      </c>
      <c r="H165" s="7">
        <v>2.1</v>
      </c>
      <c r="I165" s="7">
        <f t="shared" si="12"/>
        <v>1.13876</v>
      </c>
      <c r="J165" s="7">
        <f t="shared" si="13"/>
        <v>0.65939999999999988</v>
      </c>
      <c r="K165" s="7" t="str">
        <f t="shared" si="8"/>
        <v>T1</v>
      </c>
      <c r="L165" s="131">
        <f t="shared" si="9"/>
        <v>8.1821999999999839E-2</v>
      </c>
      <c r="M165" s="59">
        <f t="shared" si="10"/>
        <v>56.25</v>
      </c>
      <c r="N165" s="133" t="str">
        <f>IF(AND(L165="",[1]Übersicht!L165=""),"",IF(AND(L165="NEGATIV EV",[1]Übersicht!L165="NO BET"),"NO BET",IF(AND(NOT(L165="NEGATIV EV"),L165&gt;[1]Übersicht!L165),"BET365",IF([1]Übersicht!L165="NO BET","BET365","PINNACLE"))))</f>
        <v>PINNACLE</v>
      </c>
      <c r="O165" s="140">
        <f>IF(OR(N165="",N165="NO BET"),"",IF(N165="PINNACLE",IF([1]Übersicht!K165="T1",[1]Übersicht!G165*[1]Übersicht!M165-[1]Übersicht!M165,[1]Übersicht!H165*[1]Übersicht!M165-[1]Übersicht!M165),IF(K165="T1",G165*M165*0.95-M165,H165*M165*0.95-M165)))</f>
        <v>41.962500000000006</v>
      </c>
      <c r="P165" s="136" t="s">
        <v>88</v>
      </c>
      <c r="Q165" s="69"/>
      <c r="R165" s="52">
        <f>IF(OR(P165="",N165="NO BET"),0,IF(K165=P165,O165,IF(N165="PINNACLE",-[1]Übersicht!M165,-M165)))</f>
        <v>41.962500000000006</v>
      </c>
      <c r="S165" s="69"/>
      <c r="T165" s="241"/>
      <c r="U165" s="9"/>
    </row>
    <row r="166" spans="1:21" ht="15.75" customHeight="1" thickBot="1" x14ac:dyDescent="0.25">
      <c r="A166" s="243"/>
      <c r="B166" s="246"/>
      <c r="C166" s="162">
        <v>0.49</v>
      </c>
      <c r="D166" s="72" t="s">
        <v>55</v>
      </c>
      <c r="E166" s="72" t="s">
        <v>56</v>
      </c>
      <c r="F166" s="53">
        <f t="shared" si="11"/>
        <v>0.51</v>
      </c>
      <c r="G166" s="53">
        <v>2.2000000000000002</v>
      </c>
      <c r="H166" s="54">
        <v>1.61</v>
      </c>
      <c r="I166" s="53">
        <f t="shared" si="12"/>
        <v>1.0780000000000001</v>
      </c>
      <c r="J166" s="53">
        <f t="shared" si="13"/>
        <v>0.82110000000000005</v>
      </c>
      <c r="K166" s="53" t="str">
        <f t="shared" si="8"/>
        <v>T1</v>
      </c>
      <c r="L166" s="130">
        <f t="shared" si="9"/>
        <v>2.410000000000001E-2</v>
      </c>
      <c r="M166" s="55">
        <f t="shared" si="10"/>
        <v>56.25</v>
      </c>
      <c r="N166" s="133" t="str">
        <f>IF(AND(L166="",[1]Übersicht!L166=""),"",IF(AND(L166="NEGATIV EV",[1]Übersicht!L166="NO BET"),"NO BET",IF(AND(NOT(L166="NEGATIV EV"),L166&gt;[1]Übersicht!L166),"BET365",IF([1]Übersicht!L166="NO BET","BET365","PINNACLE"))))</f>
        <v>PINNACLE</v>
      </c>
      <c r="O166" s="138">
        <f>IF(OR(N166="",N166="NO BET"),"",IF(N166="PINNACLE",IF([1]Übersicht!K166="T1",[1]Übersicht!G166*[1]Übersicht!M166-[1]Übersicht!M166,[1]Übersicht!H166*[1]Übersicht!M166-[1]Übersicht!M166),IF(K166="T1",G166*M166*0.95-M166,H166*M166*0.95-M166)))</f>
        <v>72.5625</v>
      </c>
      <c r="P166" s="136" t="s">
        <v>40</v>
      </c>
      <c r="Q166" s="69"/>
      <c r="R166" s="52">
        <f>IF(OR(P166="",N166="NO BET"),0,IF(K166=P166,O166,IF(N166="PINNACLE",-[1]Übersicht!M166,-M166)))</f>
        <v>-56.25</v>
      </c>
      <c r="S166" s="69"/>
      <c r="T166" s="241"/>
      <c r="U166" s="9"/>
    </row>
    <row r="167" spans="1:21" ht="15.75" customHeight="1" thickBot="1" x14ac:dyDescent="0.25">
      <c r="A167" s="243"/>
      <c r="B167" s="246"/>
      <c r="C167" s="163">
        <v>0.77</v>
      </c>
      <c r="D167" s="73" t="s">
        <v>92</v>
      </c>
      <c r="E167" s="73" t="s">
        <v>41</v>
      </c>
      <c r="F167" s="7">
        <f t="shared" si="11"/>
        <v>0.22999999999999998</v>
      </c>
      <c r="G167" s="7">
        <v>1.1200000000000001</v>
      </c>
      <c r="H167" s="58">
        <v>5.5</v>
      </c>
      <c r="I167" s="7">
        <f t="shared" si="12"/>
        <v>0.86240000000000006</v>
      </c>
      <c r="J167" s="7">
        <f t="shared" si="13"/>
        <v>1.2649999999999999</v>
      </c>
      <c r="K167" s="7" t="str">
        <f t="shared" si="8"/>
        <v>T2</v>
      </c>
      <c r="L167" s="131">
        <f t="shared" si="9"/>
        <v>0.20174999999999987</v>
      </c>
      <c r="M167" s="60">
        <f t="shared" si="10"/>
        <v>56.25</v>
      </c>
      <c r="N167" s="133" t="str">
        <f>IF(AND(L167="",[1]Übersicht!L167=""),"",IF(AND(L167="NEGATIV EV",[1]Übersicht!L167="NO BET"),"NO BET",IF(AND(NOT(L167="NEGATIV EV"),L167&gt;[1]Übersicht!L167),"BET365",IF([1]Übersicht!L167="NO BET","BET365","PINNACLE"))))</f>
        <v>PINNACLE</v>
      </c>
      <c r="O167" s="140">
        <f>IF(OR(N167="",N167="NO BET"),"",IF(N167="PINNACLE",IF([1]Übersicht!K167="T1",[1]Übersicht!G167*[1]Übersicht!M167-[1]Übersicht!M167,[1]Übersicht!H167*[1]Übersicht!M167-[1]Übersicht!M167),IF(K167="T1",G167*M167*0.95-M167,H167*M167*0.95-M167)))</f>
        <v>901.875</v>
      </c>
      <c r="P167" s="136" t="s">
        <v>88</v>
      </c>
      <c r="Q167" s="69"/>
      <c r="R167" s="52">
        <f>IF(OR(P167="",N167="NO BET"),0,IF(K167=P167,O167,IF(N167="PINNACLE",-[1]Übersicht!M167,-M167)))</f>
        <v>-187.5</v>
      </c>
      <c r="S167" s="69"/>
      <c r="T167" s="241"/>
      <c r="U167" s="9"/>
    </row>
    <row r="168" spans="1:21" ht="15.75" customHeight="1" thickBot="1" x14ac:dyDescent="0.25">
      <c r="A168" s="243"/>
      <c r="B168" s="246"/>
      <c r="C168" s="162">
        <v>0.73399999999999999</v>
      </c>
      <c r="D168" s="72" t="s">
        <v>82</v>
      </c>
      <c r="E168" s="72" t="s">
        <v>54</v>
      </c>
      <c r="F168" s="53">
        <f t="shared" si="11"/>
        <v>0.26600000000000001</v>
      </c>
      <c r="G168" s="53">
        <v>1.57</v>
      </c>
      <c r="H168" s="54">
        <v>2.25</v>
      </c>
      <c r="I168" s="53">
        <f t="shared" si="12"/>
        <v>1.15238</v>
      </c>
      <c r="J168" s="53">
        <f t="shared" si="13"/>
        <v>0.59850000000000003</v>
      </c>
      <c r="K168" s="53" t="str">
        <f t="shared" si="8"/>
        <v>T1</v>
      </c>
      <c r="L168" s="130">
        <f>IF(AND(K168=""),"",IF(AND((J168*0.95-1)&lt;0,(I168*0.95-1)&lt;0),"NEGATIV EV", IF(AND(K168="T1"),I168*0.95 - 1,J168*0.95 - 1)))</f>
        <v>9.4760999999999873E-2</v>
      </c>
      <c r="M168" s="55">
        <f>IF(L168="","",IF(L168&lt;0.5,K$2*M$2,IF(L168&lt;0.75,K$2*M$3,IF(L168&lt;1,K$2*M$4,IF(L168&lt;1.25,K$2*M$5,IF(L168&lt;1.5,K$2*M$6,IF(L168&lt;2,K$2*M$7,IF(L168&lt;2.5,K$2*M$8,IF(L168="NEGATIV EV","NEGATIV EV",K$2*M$9)))))))))</f>
        <v>56.25</v>
      </c>
      <c r="N168" s="133" t="str">
        <f>IF(AND(L168="",[1]Übersicht!L168=""),"",IF(AND(L168="NEGATIV EV",[1]Übersicht!L168="NO BET"),"NO BET",IF(AND(NOT(L168="NEGATIV EV"),L168&gt;[1]Übersicht!L168),"BET365",IF([1]Übersicht!L168="NO BET","BET365","PINNACLE"))))</f>
        <v>PINNACLE</v>
      </c>
      <c r="O168" s="138">
        <f>IF(OR(N168="",N168="NO BET"),"",IF(N168="PINNACLE",IF([1]Übersicht!K168="T1",[1]Übersicht!G168*[1]Übersicht!M168-[1]Übersicht!M168,[1]Übersicht!H168*[1]Übersicht!M168-[1]Übersicht!M168),IF(K168="T1",G168*M168*0.95-M168,H168*M168*0.95-M168)))</f>
        <v>104.0625</v>
      </c>
      <c r="P168" s="136" t="s">
        <v>88</v>
      </c>
      <c r="Q168" s="69"/>
      <c r="R168" s="52">
        <f>IF(OR(P168="",N168="NO BET"),0,IF(K168=P168,O168,IF(N168="PINNACLE",-[1]Übersicht!M168,-M168)))</f>
        <v>104.0625</v>
      </c>
      <c r="S168" s="69"/>
      <c r="T168" s="241"/>
      <c r="U168" s="9"/>
    </row>
    <row r="169" spans="1:21" ht="16.5" thickBot="1" x14ac:dyDescent="0.25">
      <c r="A169" s="243"/>
      <c r="B169" s="246"/>
      <c r="C169" s="163">
        <v>0.24</v>
      </c>
      <c r="D169" s="73" t="s">
        <v>61</v>
      </c>
      <c r="E169" s="73" t="s">
        <v>57</v>
      </c>
      <c r="F169" s="7">
        <f t="shared" si="11"/>
        <v>0.76</v>
      </c>
      <c r="G169" s="7">
        <v>1.53</v>
      </c>
      <c r="H169" s="58">
        <v>2.37</v>
      </c>
      <c r="I169" s="7">
        <f t="shared" si="12"/>
        <v>0.36719999999999997</v>
      </c>
      <c r="J169" s="7">
        <f t="shared" si="13"/>
        <v>1.8012000000000001</v>
      </c>
      <c r="K169" s="7" t="str">
        <f t="shared" si="8"/>
        <v>T2</v>
      </c>
      <c r="L169" s="131">
        <f t="shared" ref="L169:L172" si="14">IF(AND(K169=""),"",IF(AND((J169*0.95-1)&lt;0,(I169*0.95-1)&lt;0),"NEGATIV EV", IF(AND(K169="T1"),I169*0.95 - 1,J169*0.95 - 1)))</f>
        <v>0.71114000000000011</v>
      </c>
      <c r="M169" s="59">
        <f t="shared" ref="M169:M172" si="15">IF(L169="","",IF(L169&lt;0.5,K$2*M$2,IF(L169&lt;0.75,K$2*M$3,IF(L169&lt;1,K$2*M$4,IF(L169&lt;1.25,K$2*M$5,IF(L169&lt;1.5,K$2*M$6,IF(L169&lt;2,K$2*M$7,IF(L169&lt;2.5,K$2*M$8,IF(L169="NEGATIV EV","NEGATIV EV",K$2*M$9)))))))))</f>
        <v>75</v>
      </c>
      <c r="N169" s="133" t="str">
        <f>IF(AND(L169="",[1]Übersicht!L169=""),"",IF(AND(L169="NEGATIV EV",[1]Übersicht!L169="NO BET"),"NO BET",IF(AND(NOT(L169="NEGATIV EV"),L169&gt;[1]Übersicht!L169),"BET365",IF([1]Übersicht!L169="NO BET","BET365","PINNACLE"))))</f>
        <v>BET365</v>
      </c>
      <c r="O169" s="140">
        <f>IF(OR(N169="",N169="NO BET"),"",IF(N169="PINNACLE",IF([1]Übersicht!K169="T1",[1]Übersicht!G169*[1]Übersicht!M169-[1]Übersicht!M169,[1]Übersicht!H169*[1]Übersicht!M169-[1]Übersicht!M169),IF(K169="T1",G169*M169*0.95-M169,H169*M169*0.95-M169)))</f>
        <v>93.862499999999983</v>
      </c>
      <c r="P169" s="56" t="s">
        <v>40</v>
      </c>
      <c r="Q169" s="69"/>
      <c r="R169" s="52">
        <f>IF(OR(P169="",N169="NO BET"),0,IF(K169=P169,O169,IF(N169="PINNACLE",-[1]Übersicht!M169,-M169)))</f>
        <v>93.862499999999983</v>
      </c>
      <c r="S169" s="69"/>
      <c r="T169" s="61" t="s">
        <v>31</v>
      </c>
      <c r="U169" s="9"/>
    </row>
    <row r="170" spans="1:21" ht="15.75" customHeight="1" thickBot="1" x14ac:dyDescent="0.25">
      <c r="A170" s="243"/>
      <c r="B170" s="246"/>
      <c r="C170" s="162">
        <v>0.47</v>
      </c>
      <c r="D170" s="72" t="s">
        <v>84</v>
      </c>
      <c r="E170" s="72" t="s">
        <v>83</v>
      </c>
      <c r="F170" s="53">
        <f t="shared" si="11"/>
        <v>0.53</v>
      </c>
      <c r="G170" s="53">
        <v>1.36</v>
      </c>
      <c r="H170" s="54">
        <v>3</v>
      </c>
      <c r="I170" s="53">
        <f t="shared" si="12"/>
        <v>0.63919999999999999</v>
      </c>
      <c r="J170" s="53">
        <f t="shared" si="13"/>
        <v>1.59</v>
      </c>
      <c r="K170" s="53" t="str">
        <f t="shared" si="8"/>
        <v>T2</v>
      </c>
      <c r="L170" s="130">
        <f t="shared" si="14"/>
        <v>0.51049999999999995</v>
      </c>
      <c r="M170" s="62">
        <f t="shared" si="15"/>
        <v>75</v>
      </c>
      <c r="N170" s="133" t="str">
        <f>IF(AND(L170="",[1]Übersicht!L170=""),"",IF(AND(L170="NEGATIV EV",[1]Übersicht!L170="NO BET"),"NO BET",IF(AND(NOT(L170="NEGATIV EV"),L170&gt;[1]Übersicht!L170),"BET365",IF([1]Übersicht!L170="NO BET","BET365","PINNACLE"))))</f>
        <v>BET365</v>
      </c>
      <c r="O170" s="138">
        <f>IF(OR(N170="",N170="NO BET"),"",IF(N170="PINNACLE",IF([1]Übersicht!K170="T1",[1]Übersicht!G170*[1]Übersicht!M170-[1]Übersicht!M170,[1]Übersicht!H170*[1]Übersicht!M170-[1]Übersicht!M170),IF(K170="T1",G170*M170*0.95-M170,H170*M170*0.95-M170)))</f>
        <v>138.75</v>
      </c>
      <c r="P170" s="136" t="s">
        <v>88</v>
      </c>
      <c r="Q170" s="69"/>
      <c r="R170" s="52">
        <f>IF(OR(P170="",N170="NO BET"),0,IF(K170=P170,O170,IF(N170="PINNACLE",-[1]Übersicht!M170,-M170)))</f>
        <v>-75</v>
      </c>
      <c r="S170" s="69"/>
      <c r="T170" s="248" t="e">
        <f>IF(AND(NOT(N163=0)),T163/N163,0)</f>
        <v>#VALUE!</v>
      </c>
      <c r="U170" s="9"/>
    </row>
    <row r="171" spans="1:21" ht="15.75" customHeight="1" thickBot="1" x14ac:dyDescent="0.25">
      <c r="A171" s="243"/>
      <c r="B171" s="246"/>
      <c r="C171" s="163">
        <v>0.46</v>
      </c>
      <c r="D171" s="73" t="s">
        <v>56</v>
      </c>
      <c r="E171" s="73" t="s">
        <v>92</v>
      </c>
      <c r="F171" s="7">
        <f t="shared" si="11"/>
        <v>0.54</v>
      </c>
      <c r="G171" s="7">
        <v>1.66</v>
      </c>
      <c r="H171" s="7">
        <v>2.1</v>
      </c>
      <c r="I171" s="7">
        <f>IF(AND(C171=""),"",G171*C171)</f>
        <v>0.76359999999999995</v>
      </c>
      <c r="J171" s="7">
        <f>IF(AND(C171=""),"",H171*F171)</f>
        <v>1.1340000000000001</v>
      </c>
      <c r="K171" s="7" t="str">
        <f t="shared" si="8"/>
        <v>T2</v>
      </c>
      <c r="L171" s="131">
        <f t="shared" si="14"/>
        <v>7.7300000000000146E-2</v>
      </c>
      <c r="M171" s="60">
        <f t="shared" si="15"/>
        <v>56.25</v>
      </c>
      <c r="N171" s="133" t="str">
        <f>IF(AND(L171="",[1]Übersicht!L171=""),"",IF(AND(L171="NEGATIV EV",[1]Übersicht!L171="NO BET"),"NO BET",IF(AND(NOT(L171="NEGATIV EV"),L171&gt;[1]Übersicht!L171),"BET365",IF([1]Übersicht!L171="NO BET","BET365","PINNACLE"))))</f>
        <v>BET365</v>
      </c>
      <c r="O171" s="139">
        <f>IF(OR(N171="",N171="NO BET"),"",IF(N171="PINNACLE",IF([1]Übersicht!K171="T1",[1]Übersicht!G171*[1]Übersicht!M171-[1]Übersicht!M171,[1]Übersicht!H171*[1]Übersicht!M171-[1]Übersicht!M171),IF(K171="T1",G171*M171*0.95-M171,H171*M171*0.95-M171)))</f>
        <v>55.96875</v>
      </c>
      <c r="P171" s="136" t="s">
        <v>88</v>
      </c>
      <c r="Q171" s="69"/>
      <c r="R171" s="52">
        <f>IF(OR(P171="",N171="NO BET"),0,IF(K171=P171,O171,IF(N171="PINNACLE",-[1]Übersicht!M171,-M171)))</f>
        <v>-56.25</v>
      </c>
      <c r="S171" s="69"/>
      <c r="T171" s="249"/>
      <c r="U171" s="9"/>
    </row>
    <row r="172" spans="1:21" ht="15.75" customHeight="1" thickBot="1" x14ac:dyDescent="0.25">
      <c r="A172" s="244"/>
      <c r="B172" s="247"/>
      <c r="C172" s="164">
        <v>0.26</v>
      </c>
      <c r="D172" s="75" t="s">
        <v>41</v>
      </c>
      <c r="E172" s="75" t="s">
        <v>55</v>
      </c>
      <c r="F172" s="63">
        <f t="shared" si="11"/>
        <v>0.74</v>
      </c>
      <c r="G172" s="63">
        <v>5</v>
      </c>
      <c r="H172" s="63">
        <v>1.1399999999999999</v>
      </c>
      <c r="I172" s="63">
        <f>IF(AND(C172=""),"",G172*C172)</f>
        <v>1.3</v>
      </c>
      <c r="J172" s="63">
        <f>IF(AND(C172=""),"",H172*F172)</f>
        <v>0.84359999999999991</v>
      </c>
      <c r="K172" s="63" t="str">
        <f t="shared" si="8"/>
        <v>T1</v>
      </c>
      <c r="L172" s="132">
        <f t="shared" si="14"/>
        <v>0.23499999999999988</v>
      </c>
      <c r="M172" s="65">
        <f t="shared" si="15"/>
        <v>56.25</v>
      </c>
      <c r="N172" s="133" t="str">
        <f>IF(AND(L172="",[1]Übersicht!L172=""),"",IF(AND(L172="NEGATIV EV",[1]Übersicht!L172="NO BET"),"NO BET",IF(AND(NOT(L172="NEGATIV EV"),L172&gt;[1]Übersicht!L172),"BET365",IF([1]Übersicht!L172="NO BET","BET365","PINNACLE"))))</f>
        <v>PINNACLE</v>
      </c>
      <c r="O172" s="138">
        <f>IF(OR(N172="",N172="NO BET"),"",IF(N172="PINNACLE",IF([1]Übersicht!K172="T1",[1]Übersicht!G172*[1]Übersicht!M172-[1]Übersicht!M172,[1]Übersicht!H172*[1]Übersicht!M172-[1]Übersicht!M172),IF(K172="T1",G172*M172*0.95-M172,H172*M172*0.95-M172)))</f>
        <v>776.24999999999989</v>
      </c>
      <c r="P172" s="66" t="s">
        <v>40</v>
      </c>
      <c r="Q172" s="9"/>
      <c r="R172" s="135">
        <f>IF(OR(P172="",N172="NO BET"),0,IF(K172=P172,O172,IF(N172="PINNACLE",-[1]Übersicht!M172,-M172)))</f>
        <v>-187.5</v>
      </c>
      <c r="S172" s="9"/>
      <c r="T172" s="250"/>
      <c r="U172" s="9"/>
    </row>
    <row r="173" spans="1:21" x14ac:dyDescent="0.2">
      <c r="A173" s="9"/>
      <c r="B173" s="9"/>
      <c r="C173" s="11"/>
      <c r="D173" s="9"/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R173" s="10"/>
      <c r="S173" s="9"/>
      <c r="T173" s="11"/>
      <c r="U173" s="9"/>
    </row>
    <row r="174" spans="1:21" x14ac:dyDescent="0.2">
      <c r="A174" s="9"/>
      <c r="B174" s="9"/>
      <c r="C174" s="11"/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10"/>
      <c r="S174" s="9"/>
      <c r="T174" s="11"/>
      <c r="U174" s="9"/>
    </row>
    <row r="175" spans="1:21" ht="15.75" thickBot="1" x14ac:dyDescent="0.25">
      <c r="A175" s="9"/>
      <c r="B175" s="9"/>
      <c r="C175" s="11"/>
      <c r="D175" s="9"/>
      <c r="E175" s="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10"/>
      <c r="S175" s="9"/>
      <c r="T175" s="11"/>
      <c r="U175" s="9"/>
    </row>
    <row r="176" spans="1:21" ht="19.5" customHeight="1" thickBot="1" x14ac:dyDescent="0.25">
      <c r="A176" s="242" t="s">
        <v>5</v>
      </c>
      <c r="B176" s="245" t="s">
        <v>21</v>
      </c>
      <c r="C176" s="160"/>
      <c r="D176" s="43" t="s">
        <v>9</v>
      </c>
      <c r="E176" s="43" t="s">
        <v>10</v>
      </c>
      <c r="F176" s="43" t="s">
        <v>11</v>
      </c>
      <c r="G176" s="43" t="s">
        <v>12</v>
      </c>
      <c r="H176" s="43" t="s">
        <v>13</v>
      </c>
      <c r="I176" s="43" t="s">
        <v>14</v>
      </c>
      <c r="J176" s="43" t="s">
        <v>15</v>
      </c>
      <c r="K176" s="43" t="s">
        <v>33</v>
      </c>
      <c r="L176" s="43" t="s">
        <v>16</v>
      </c>
      <c r="M176" s="43" t="s">
        <v>38</v>
      </c>
      <c r="N176" s="128" t="s">
        <v>87</v>
      </c>
      <c r="O176" s="128" t="s">
        <v>89</v>
      </c>
      <c r="P176" s="137" t="s">
        <v>18</v>
      </c>
      <c r="Q176" s="69"/>
      <c r="R176" s="134" t="s">
        <v>34</v>
      </c>
      <c r="S176" s="69"/>
      <c r="T176" s="47" t="s">
        <v>29</v>
      </c>
      <c r="U176" s="9"/>
    </row>
    <row r="177" spans="1:21" ht="15.75" customHeight="1" thickBot="1" x14ac:dyDescent="0.25">
      <c r="A177" s="243"/>
      <c r="B177" s="246"/>
      <c r="C177" s="165"/>
      <c r="D177" s="71" t="s">
        <v>82</v>
      </c>
      <c r="E177" s="71" t="s">
        <v>61</v>
      </c>
      <c r="F177" s="48" t="str">
        <f>IF(AND(C177=""),"",1-C177)</f>
        <v/>
      </c>
      <c r="G177" s="48">
        <v>1.72</v>
      </c>
      <c r="H177" s="48">
        <v>2</v>
      </c>
      <c r="I177" s="48" t="str">
        <f>IF(AND(C177=""),"",G177*C177)</f>
        <v/>
      </c>
      <c r="J177" s="48" t="str">
        <f>IF(AND(C177=""),"",H177*F177)</f>
        <v/>
      </c>
      <c r="K177" s="48" t="str">
        <f t="shared" ref="K177:K186" si="16">IF(AND(I177=""),"",IF(AND(I177&gt;J177),"T1","T2"))</f>
        <v/>
      </c>
      <c r="L177" s="129" t="str">
        <f t="shared" ref="L177:L181" si="17">IF(AND(K177=""),"",IF(AND((J177*0.95-1)&lt;0,(I177*0.95-1)&lt;0),"NEGATIV EV", IF(AND(K177="T1"),I177*0.95 - 1,J177*0.95 - 1)))</f>
        <v/>
      </c>
      <c r="M177" s="50" t="str">
        <f t="shared" ref="M177:M181" si="18">IF(L177="","",IF(L177&lt;0.5,K$2*M$2,IF(L177&lt;0.75,K$2*M$3,IF(L177&lt;1,K$2*M$4,IF(L177&lt;1.25,K$2*M$5,IF(L177&lt;1.5,K$2*M$6,IF(L177&lt;2,K$2*M$7,IF(L177&lt;2.5,K$2*M$8,IF(L177="NEGATIV EV","NEGATIV EV",K$2*M$9)))))))))</f>
        <v/>
      </c>
      <c r="N177" s="133" t="str">
        <f>IF(AND(L177="",[1]Übersicht!L177=""),"",IF(AND(L177="NEGATIV EV",[1]Übersicht!L177="NO BET"),"NO BET",IF(AND(NOT(L177="NEGATIV EV"),L177&gt;[1]Übersicht!L177),"BET365",IF([1]Übersicht!L177="NO BET","BET365","PINNACLE"))))</f>
        <v>BET365</v>
      </c>
      <c r="O177" s="140" t="e">
        <f>IF(OR(N177="",N177="NO BET"),"",IF(N177="PINNACLE",IF([1]Übersicht!K177="T1",[1]Übersicht!G177*[1]Übersicht!M177-[1]Übersicht!M177,[1]Übersicht!H177*[1]Übersicht!M177-[1]Übersicht!M177),IF(K177="T1",G177*M177*0.95-M177,H177*M177*0.95-M177)))</f>
        <v>#VALUE!</v>
      </c>
      <c r="P177" s="136"/>
      <c r="Q177" s="70"/>
      <c r="R177" s="52">
        <f>IF(OR(P177="",N177="NO BET"),0,IF(K177=P177,O177,IF(N177="PINNACLE",-[1]Übersicht!M177,-M177)))</f>
        <v>0</v>
      </c>
      <c r="S177" s="69"/>
      <c r="T177" s="241">
        <f>SUM(R177:R186)</f>
        <v>0</v>
      </c>
      <c r="U177" s="9"/>
    </row>
    <row r="178" spans="1:21" ht="15.75" customHeight="1" thickBot="1" x14ac:dyDescent="0.25">
      <c r="A178" s="243"/>
      <c r="B178" s="246"/>
      <c r="C178" s="166"/>
      <c r="D178" s="72" t="s">
        <v>57</v>
      </c>
      <c r="E178" s="72" t="s">
        <v>54</v>
      </c>
      <c r="F178" s="53" t="str">
        <f t="shared" ref="F178:F186" si="19">IF(AND(C178=""),"",1-C178)</f>
        <v/>
      </c>
      <c r="G178" s="53">
        <v>2.25</v>
      </c>
      <c r="H178" s="53">
        <v>1.57</v>
      </c>
      <c r="I178" s="53" t="str">
        <f t="shared" ref="I178:I186" si="20">IF(AND(C178=""),"",G178*C178)</f>
        <v/>
      </c>
      <c r="J178" s="53" t="str">
        <f t="shared" ref="J178:J186" si="21">IF(AND(C178=""),"",H178*F178)</f>
        <v/>
      </c>
      <c r="K178" s="53" t="str">
        <f t="shared" si="16"/>
        <v/>
      </c>
      <c r="L178" s="130" t="str">
        <f t="shared" si="17"/>
        <v/>
      </c>
      <c r="M178" s="55" t="str">
        <f t="shared" si="18"/>
        <v/>
      </c>
      <c r="N178" s="133" t="str">
        <f>IF(AND(L178="",[1]Übersicht!L178=""),"",IF(AND(L178="NEGATIV EV",[1]Übersicht!L178="NO BET"),"NO BET",IF(AND(NOT(L178="NEGATIV EV"),L178&gt;[1]Übersicht!L178),"BET365",IF([1]Übersicht!L178="NO BET","BET365","PINNACLE"))))</f>
        <v>BET365</v>
      </c>
      <c r="O178" s="138" t="e">
        <f>IF(OR(N178="",N178="NO BET"),"",IF(N178="PINNACLE",IF([1]Übersicht!K178="T1",[1]Übersicht!G178*[1]Übersicht!M178-[1]Übersicht!M178,[1]Übersicht!H178*[1]Übersicht!M178-[1]Übersicht!M178),IF(K178="T1",G178*M178*0.95-M178,H178*M178*0.95-M178)))</f>
        <v>#VALUE!</v>
      </c>
      <c r="P178" s="136"/>
      <c r="Q178" s="69"/>
      <c r="R178" s="52">
        <f>IF(OR(P178="",N178="NO BET"),0,IF(K178=P178,O178,IF(N178="PINNACLE",-[1]Übersicht!M178,-M178)))</f>
        <v>0</v>
      </c>
      <c r="S178" s="69"/>
      <c r="T178" s="241"/>
      <c r="U178" s="9"/>
    </row>
    <row r="179" spans="1:21" ht="15.75" customHeight="1" thickBot="1" x14ac:dyDescent="0.25">
      <c r="A179" s="243"/>
      <c r="B179" s="246"/>
      <c r="C179" s="167"/>
      <c r="D179" s="73" t="s">
        <v>55</v>
      </c>
      <c r="E179" s="73" t="s">
        <v>84</v>
      </c>
      <c r="F179" s="7" t="str">
        <f t="shared" si="19"/>
        <v/>
      </c>
      <c r="G179" s="7">
        <v>1.57</v>
      </c>
      <c r="H179" s="7">
        <v>2.25</v>
      </c>
      <c r="I179" s="7" t="str">
        <f t="shared" si="20"/>
        <v/>
      </c>
      <c r="J179" s="7" t="str">
        <f t="shared" si="21"/>
        <v/>
      </c>
      <c r="K179" s="7" t="str">
        <f t="shared" si="16"/>
        <v/>
      </c>
      <c r="L179" s="131" t="str">
        <f t="shared" si="17"/>
        <v/>
      </c>
      <c r="M179" s="59" t="str">
        <f t="shared" si="18"/>
        <v/>
      </c>
      <c r="N179" s="133" t="str">
        <f>IF(AND(L179="",[1]Übersicht!L179=""),"",IF(AND(L179="NEGATIV EV",[1]Übersicht!L179="NO BET"),"NO BET",IF(AND(NOT(L179="NEGATIV EV"),L179&gt;[1]Übersicht!L179),"BET365",IF([1]Übersicht!L179="NO BET","BET365","PINNACLE"))))</f>
        <v>BET365</v>
      </c>
      <c r="O179" s="140" t="e">
        <f>IF(OR(N179="",N179="NO BET"),"",IF(N179="PINNACLE",IF([1]Übersicht!K179="T1",[1]Übersicht!G179*[1]Übersicht!M179-[1]Übersicht!M179,[1]Übersicht!H179*[1]Übersicht!M179-[1]Übersicht!M179),IF(K179="T1",G179*M179*0.95-M179,H179*M179*0.95-M179)))</f>
        <v>#VALUE!</v>
      </c>
      <c r="P179" s="136"/>
      <c r="Q179" s="69"/>
      <c r="R179" s="52">
        <f>IF(OR(P179="",N179="NO BET"),0,IF(K179=P179,O179,IF(N179="PINNACLE",-[1]Übersicht!M179,-M179)))</f>
        <v>0</v>
      </c>
      <c r="S179" s="69"/>
      <c r="T179" s="241"/>
      <c r="U179" s="9"/>
    </row>
    <row r="180" spans="1:21" ht="15.75" customHeight="1" thickBot="1" x14ac:dyDescent="0.25">
      <c r="A180" s="243"/>
      <c r="B180" s="246"/>
      <c r="C180" s="166"/>
      <c r="D180" s="72" t="s">
        <v>83</v>
      </c>
      <c r="E180" s="72" t="s">
        <v>92</v>
      </c>
      <c r="F180" s="53" t="str">
        <f t="shared" si="19"/>
        <v/>
      </c>
      <c r="G180" s="53">
        <v>4</v>
      </c>
      <c r="H180" s="53">
        <v>1.22</v>
      </c>
      <c r="I180" s="53" t="str">
        <f t="shared" si="20"/>
        <v/>
      </c>
      <c r="J180" s="53" t="str">
        <f t="shared" si="21"/>
        <v/>
      </c>
      <c r="K180" s="53" t="str">
        <f t="shared" si="16"/>
        <v/>
      </c>
      <c r="L180" s="130" t="str">
        <f t="shared" si="17"/>
        <v/>
      </c>
      <c r="M180" s="55" t="str">
        <f t="shared" si="18"/>
        <v/>
      </c>
      <c r="N180" s="133" t="str">
        <f>IF(AND(L180="",[1]Übersicht!L180=""),"",IF(AND(L180="NEGATIV EV",[1]Übersicht!L180="NO BET"),"NO BET",IF(AND(NOT(L180="NEGATIV EV"),L180&gt;[1]Übersicht!L180),"BET365",IF([1]Übersicht!L180="NO BET","BET365","PINNACLE"))))</f>
        <v>BET365</v>
      </c>
      <c r="O180" s="138" t="e">
        <f>IF(OR(N180="",N180="NO BET"),"",IF(N180="PINNACLE",IF([1]Übersicht!K180="T1",[1]Übersicht!G180*[1]Übersicht!M180-[1]Übersicht!M180,[1]Übersicht!H180*[1]Übersicht!M180-[1]Übersicht!M180),IF(K180="T1",G180*M180*0.95-M180,H180*M180*0.95-M180)))</f>
        <v>#VALUE!</v>
      </c>
      <c r="P180" s="136"/>
      <c r="Q180" s="69"/>
      <c r="R180" s="52">
        <f>IF(OR(P180="",N180="NO BET"),0,IF(K180=P180,O180,IF(N180="PINNACLE",-[1]Übersicht!M180,-M180)))</f>
        <v>0</v>
      </c>
      <c r="S180" s="69"/>
      <c r="T180" s="241"/>
      <c r="U180" s="9"/>
    </row>
    <row r="181" spans="1:21" ht="15.75" customHeight="1" thickBot="1" x14ac:dyDescent="0.25">
      <c r="A181" s="243"/>
      <c r="B181" s="246"/>
      <c r="C181" s="167"/>
      <c r="D181" s="73" t="s">
        <v>61</v>
      </c>
      <c r="E181" s="73" t="s">
        <v>54</v>
      </c>
      <c r="F181" s="7" t="str">
        <f t="shared" si="19"/>
        <v/>
      </c>
      <c r="G181" s="7">
        <v>1.72</v>
      </c>
      <c r="H181" s="7">
        <v>2</v>
      </c>
      <c r="I181" s="7" t="str">
        <f t="shared" si="20"/>
        <v/>
      </c>
      <c r="J181" s="7" t="str">
        <f t="shared" si="21"/>
        <v/>
      </c>
      <c r="K181" s="7" t="str">
        <f t="shared" si="16"/>
        <v/>
      </c>
      <c r="L181" s="131" t="str">
        <f t="shared" si="17"/>
        <v/>
      </c>
      <c r="M181" s="60" t="str">
        <f t="shared" si="18"/>
        <v/>
      </c>
      <c r="N181" s="133" t="str">
        <f>IF(AND(L181="",[1]Übersicht!L181=""),"",IF(AND(L181="NEGATIV EV",[1]Übersicht!L181="NO BET"),"NO BET",IF(AND(NOT(L181="NEGATIV EV"),L181&gt;[1]Übersicht!L181),"BET365",IF([1]Übersicht!L181="NO BET","BET365","PINNACLE"))))</f>
        <v>BET365</v>
      </c>
      <c r="O181" s="140" t="e">
        <f>IF(OR(N181="",N181="NO BET"),"",IF(N181="PINNACLE",IF([1]Übersicht!K181="T1",[1]Übersicht!G181*[1]Übersicht!M181-[1]Übersicht!M181,[1]Übersicht!H181*[1]Übersicht!M181-[1]Übersicht!M181),IF(K181="T1",G181*M181*0.95-M181,H181*M181*0.95-M181)))</f>
        <v>#VALUE!</v>
      </c>
      <c r="P181" s="136"/>
      <c r="Q181" s="69"/>
      <c r="R181" s="52">
        <f>IF(OR(P181="",N181="NO BET"),0,IF(K181=P181,O181,IF(N181="PINNACLE",-[1]Übersicht!M181,-M181)))</f>
        <v>0</v>
      </c>
      <c r="S181" s="69"/>
      <c r="T181" s="241"/>
      <c r="U181" s="9"/>
    </row>
    <row r="182" spans="1:21" ht="15.75" customHeight="1" thickBot="1" x14ac:dyDescent="0.25">
      <c r="A182" s="243"/>
      <c r="B182" s="246"/>
      <c r="C182" s="166"/>
      <c r="D182" s="72" t="s">
        <v>41</v>
      </c>
      <c r="E182" s="72" t="s">
        <v>56</v>
      </c>
      <c r="F182" s="53" t="str">
        <f t="shared" si="19"/>
        <v/>
      </c>
      <c r="G182" s="53">
        <v>7</v>
      </c>
      <c r="H182" s="53">
        <v>1.083</v>
      </c>
      <c r="I182" s="53" t="str">
        <f t="shared" si="20"/>
        <v/>
      </c>
      <c r="J182" s="53" t="str">
        <f t="shared" si="21"/>
        <v/>
      </c>
      <c r="K182" s="53" t="str">
        <f t="shared" si="16"/>
        <v/>
      </c>
      <c r="L182" s="130" t="str">
        <f>IF(AND(K182=""),"",IF(AND((J182*0.95-1)&lt;0,(I182*0.95-1)&lt;0),"NEGATIV EV", IF(AND(K182="T1"),I182*0.95 - 1,J182*0.95 - 1)))</f>
        <v/>
      </c>
      <c r="M182" s="55" t="str">
        <f>IF(L182="","",IF(L182&lt;0.5,K$2*M$2,IF(L182&lt;0.75,K$2*M$3,IF(L182&lt;1,K$2*M$4,IF(L182&lt;1.25,K$2*M$5,IF(L182&lt;1.5,K$2*M$6,IF(L182&lt;2,K$2*M$7,IF(L182&lt;2.5,K$2*M$8,IF(L182="NEGATIV EV","NEGATIV EV",K$2*M$9)))))))))</f>
        <v/>
      </c>
      <c r="N182" s="133" t="str">
        <f>IF(AND(L182="",[1]Übersicht!L182=""),"",IF(AND(L182="NEGATIV EV",[1]Übersicht!L182="NO BET"),"NO BET",IF(AND(NOT(L182="NEGATIV EV"),L182&gt;[1]Übersicht!L182),"BET365",IF([1]Übersicht!L182="NO BET","BET365","PINNACLE"))))</f>
        <v>BET365</v>
      </c>
      <c r="O182" s="138" t="e">
        <f>IF(OR(N182="",N182="NO BET"),"",IF(N182="PINNACLE",IF([1]Übersicht!K182="T1",[1]Übersicht!G182*[1]Übersicht!M182-[1]Übersicht!M182,[1]Übersicht!H182*[1]Übersicht!M182-[1]Übersicht!M182),IF(K182="T1",G182*M182*0.95-M182,H182*M182*0.95-M182)))</f>
        <v>#VALUE!</v>
      </c>
      <c r="P182" s="136"/>
      <c r="Q182" s="69"/>
      <c r="R182" s="52">
        <f>IF(OR(P182="",N182="NO BET"),0,IF(K182=P182,O182,IF(N182="PINNACLE",-[1]Übersicht!M182,-M182)))</f>
        <v>0</v>
      </c>
      <c r="S182" s="69"/>
      <c r="T182" s="241"/>
      <c r="U182" s="9"/>
    </row>
    <row r="183" spans="1:21" ht="16.5" thickBot="1" x14ac:dyDescent="0.25">
      <c r="A183" s="243"/>
      <c r="B183" s="246"/>
      <c r="C183" s="167"/>
      <c r="D183" s="73"/>
      <c r="E183" s="73"/>
      <c r="F183" s="7" t="str">
        <f t="shared" si="19"/>
        <v/>
      </c>
      <c r="G183" s="7"/>
      <c r="H183" s="7"/>
      <c r="I183" s="7" t="str">
        <f t="shared" si="20"/>
        <v/>
      </c>
      <c r="J183" s="7" t="str">
        <f t="shared" si="21"/>
        <v/>
      </c>
      <c r="K183" s="7" t="str">
        <f t="shared" si="16"/>
        <v/>
      </c>
      <c r="L183" s="131" t="str">
        <f t="shared" ref="L183:L186" si="22">IF(AND(K183=""),"",IF(AND((J183*0.95-1)&lt;0,(I183*0.95-1)&lt;0),"NEGATIV EV", IF(AND(K183="T1"),I183*0.95 - 1,J183*0.95 - 1)))</f>
        <v/>
      </c>
      <c r="M183" s="59" t="str">
        <f t="shared" ref="M183:M186" si="23">IF(L183="","",IF(L183&lt;0.5,K$2*M$2,IF(L183&lt;0.75,K$2*M$3,IF(L183&lt;1,K$2*M$4,IF(L183&lt;1.25,K$2*M$5,IF(L183&lt;1.5,K$2*M$6,IF(L183&lt;2,K$2*M$7,IF(L183&lt;2.5,K$2*M$8,IF(L183="NEGATIV EV","NEGATIV EV",K$2*M$9)))))))))</f>
        <v/>
      </c>
      <c r="N183" s="133" t="str">
        <f>IF(AND(L183="",[1]Übersicht!L183=""),"",IF(AND(L183="NEGATIV EV",[1]Übersicht!L183="NO BET"),"NO BET",IF(AND(NOT(L183="NEGATIV EV"),L183&gt;[1]Übersicht!L183),"BET365",IF([1]Übersicht!L183="NO BET","BET365","PINNACLE"))))</f>
        <v>BET365</v>
      </c>
      <c r="O183" s="140" t="e">
        <f>IF(OR(N183="",N183="NO BET"),"",IF(N183="PINNACLE",IF([1]Übersicht!K183="T1",[1]Übersicht!G183*[1]Übersicht!M183-[1]Übersicht!M183,[1]Übersicht!H183*[1]Übersicht!M183-[1]Übersicht!M183),IF(K183="T1",G183*M183*0.95-M183,H183*M183*0.95-M183)))</f>
        <v>#VALUE!</v>
      </c>
      <c r="P183" s="56"/>
      <c r="Q183" s="69"/>
      <c r="R183" s="52">
        <f>IF(OR(P183="",N183="NO BET"),0,IF(K183=P183,O183,IF(N183="PINNACLE",-[1]Übersicht!M183,-M183)))</f>
        <v>0</v>
      </c>
      <c r="S183" s="69"/>
      <c r="T183" s="61" t="s">
        <v>31</v>
      </c>
      <c r="U183" s="9"/>
    </row>
    <row r="184" spans="1:21" ht="15.75" customHeight="1" thickBot="1" x14ac:dyDescent="0.25">
      <c r="A184" s="243"/>
      <c r="B184" s="246"/>
      <c r="C184" s="166"/>
      <c r="D184" s="72"/>
      <c r="E184" s="72"/>
      <c r="F184" s="53" t="str">
        <f t="shared" si="19"/>
        <v/>
      </c>
      <c r="G184" s="53"/>
      <c r="H184" s="53"/>
      <c r="I184" s="53" t="str">
        <f t="shared" si="20"/>
        <v/>
      </c>
      <c r="J184" s="53" t="str">
        <f t="shared" si="21"/>
        <v/>
      </c>
      <c r="K184" s="53" t="str">
        <f t="shared" si="16"/>
        <v/>
      </c>
      <c r="L184" s="130" t="str">
        <f t="shared" si="22"/>
        <v/>
      </c>
      <c r="M184" s="62" t="str">
        <f t="shared" si="23"/>
        <v/>
      </c>
      <c r="N184" s="133" t="str">
        <f>IF(AND(L184="",[1]Übersicht!L184=""),"",IF(AND(L184="NEGATIV EV",[1]Übersicht!L184="NO BET"),"NO BET",IF(AND(NOT(L184="NEGATIV EV"),L184&gt;[1]Übersicht!L184),"BET365",IF([1]Übersicht!L184="NO BET","BET365","PINNACLE"))))</f>
        <v>BET365</v>
      </c>
      <c r="O184" s="138" t="e">
        <f>IF(OR(N184="",N184="NO BET"),"",IF(N184="PINNACLE",IF([1]Übersicht!K184="T1",[1]Übersicht!G184*[1]Übersicht!M184-[1]Übersicht!M184,[1]Übersicht!H184*[1]Übersicht!M184-[1]Übersicht!M184),IF(K184="T1",G184*M184*0.95-M184,H184*M184*0.95-M184)))</f>
        <v>#VALUE!</v>
      </c>
      <c r="P184" s="136"/>
      <c r="Q184" s="69"/>
      <c r="R184" s="52">
        <f>IF(OR(P184="",N184="NO BET"),0,IF(K184=P184,O184,IF(N184="PINNACLE",-[1]Übersicht!M184,-M184)))</f>
        <v>0</v>
      </c>
      <c r="S184" s="69"/>
      <c r="T184" s="248" t="e">
        <f>IF(AND(NOT(N177=0)),T177/N177,0)</f>
        <v>#VALUE!</v>
      </c>
      <c r="U184" s="9"/>
    </row>
    <row r="185" spans="1:21" ht="15.75" customHeight="1" thickBot="1" x14ac:dyDescent="0.25">
      <c r="A185" s="243"/>
      <c r="B185" s="246"/>
      <c r="C185" s="167"/>
      <c r="D185" s="73"/>
      <c r="E185" s="73"/>
      <c r="F185" s="7" t="str">
        <f t="shared" si="19"/>
        <v/>
      </c>
      <c r="G185" s="7"/>
      <c r="H185" s="7"/>
      <c r="I185" s="7" t="str">
        <f t="shared" si="20"/>
        <v/>
      </c>
      <c r="J185" s="7" t="str">
        <f t="shared" si="21"/>
        <v/>
      </c>
      <c r="K185" s="7" t="str">
        <f t="shared" si="16"/>
        <v/>
      </c>
      <c r="L185" s="131" t="str">
        <f t="shared" si="22"/>
        <v/>
      </c>
      <c r="M185" s="60" t="str">
        <f t="shared" si="23"/>
        <v/>
      </c>
      <c r="N185" s="133" t="str">
        <f>IF(AND(L185="",[1]Übersicht!L185=""),"",IF(AND(L185="NEGATIV EV",[1]Übersicht!L185="NO BET"),"NO BET",IF(AND(NOT(L185="NEGATIV EV"),L185&gt;[1]Übersicht!L185),"BET365",IF([1]Übersicht!L185="NO BET","BET365","PINNACLE"))))</f>
        <v>BET365</v>
      </c>
      <c r="O185" s="139" t="e">
        <f>IF(OR(N185="",N185="NO BET"),"",IF(N185="PINNACLE",IF([1]Übersicht!K185="T1",[1]Übersicht!G185*[1]Übersicht!M185-[1]Übersicht!M185,[1]Übersicht!H185*[1]Übersicht!M185-[1]Übersicht!M185),IF(K185="T1",G185*M185*0.95-M185,H185*M185*0.95-M185)))</f>
        <v>#VALUE!</v>
      </c>
      <c r="P185" s="136"/>
      <c r="Q185" s="69"/>
      <c r="R185" s="52">
        <f>IF(OR(P185="",N185="NO BET"),0,IF(K185=P185,O185,IF(N185="PINNACLE",-[1]Übersicht!M185,-M185)))</f>
        <v>0</v>
      </c>
      <c r="S185" s="69"/>
      <c r="T185" s="249"/>
      <c r="U185" s="9"/>
    </row>
    <row r="186" spans="1:21" ht="15.75" customHeight="1" thickBot="1" x14ac:dyDescent="0.25">
      <c r="A186" s="244"/>
      <c r="B186" s="247"/>
      <c r="C186" s="168"/>
      <c r="D186" s="75"/>
      <c r="E186" s="75"/>
      <c r="F186" s="63" t="str">
        <f t="shared" si="19"/>
        <v/>
      </c>
      <c r="G186" s="63"/>
      <c r="H186" s="63"/>
      <c r="I186" s="63" t="str">
        <f t="shared" si="20"/>
        <v/>
      </c>
      <c r="J186" s="63" t="str">
        <f t="shared" si="21"/>
        <v/>
      </c>
      <c r="K186" s="63" t="str">
        <f t="shared" si="16"/>
        <v/>
      </c>
      <c r="L186" s="132" t="str">
        <f t="shared" si="22"/>
        <v/>
      </c>
      <c r="M186" s="65" t="str">
        <f t="shared" si="23"/>
        <v/>
      </c>
      <c r="N186" s="133" t="str">
        <f>IF(AND(L186="",[1]Übersicht!L186=""),"",IF(AND(L186="NEGATIV EV",[1]Übersicht!L186="NO BET"),"NO BET",IF(AND(NOT(L186="NEGATIV EV"),L186&gt;[1]Übersicht!L186),"BET365",IF([1]Übersicht!L186="NO BET","BET365","PINNACLE"))))</f>
        <v>BET365</v>
      </c>
      <c r="O186" s="138" t="e">
        <f>IF(OR(N186="",N186="NO BET"),"",IF(N186="PINNACLE",IF([1]Übersicht!K186="T1",[1]Übersicht!G186*[1]Übersicht!M186-[1]Übersicht!M186,[1]Übersicht!H186*[1]Übersicht!M186-[1]Übersicht!M186),IF(K186="T1",G186*M186*0.95-M186,H186*M186*0.95-M186)))</f>
        <v>#VALUE!</v>
      </c>
      <c r="P186" s="66"/>
      <c r="Q186" s="9"/>
      <c r="R186" s="135">
        <f>IF(OR(P186="",N186="NO BET"),0,IF(K186=P186,O186,IF(N186="PINNACLE",-[1]Übersicht!M186,-M186)))</f>
        <v>0</v>
      </c>
      <c r="S186" s="9"/>
      <c r="T186" s="250"/>
      <c r="U186" s="9"/>
    </row>
    <row r="187" spans="1:21" x14ac:dyDescent="0.2">
      <c r="A187" s="9"/>
      <c r="B187" s="9"/>
      <c r="C187" s="11"/>
      <c r="D187" s="9"/>
      <c r="E187" s="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10"/>
      <c r="S187" s="9"/>
      <c r="T187" s="11"/>
      <c r="U187" s="9"/>
    </row>
    <row r="188" spans="1:21" x14ac:dyDescent="0.2">
      <c r="A188" s="9"/>
      <c r="B188" s="9"/>
      <c r="C188" s="11"/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10"/>
      <c r="S188" s="9"/>
      <c r="T188" s="11"/>
      <c r="U188" s="9"/>
    </row>
    <row r="189" spans="1:21" ht="15.75" thickBot="1" x14ac:dyDescent="0.25">
      <c r="A189" s="9"/>
      <c r="B189" s="9"/>
      <c r="C189" s="11"/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10"/>
      <c r="S189" s="9"/>
      <c r="T189" s="11"/>
      <c r="U189" s="9"/>
    </row>
    <row r="190" spans="1:21" ht="19.5" customHeight="1" thickBot="1" x14ac:dyDescent="0.25">
      <c r="A190" s="242" t="s">
        <v>5</v>
      </c>
      <c r="B190" s="245" t="s">
        <v>22</v>
      </c>
      <c r="C190" s="160"/>
      <c r="D190" s="43" t="s">
        <v>9</v>
      </c>
      <c r="E190" s="43" t="s">
        <v>10</v>
      </c>
      <c r="F190" s="43" t="s">
        <v>11</v>
      </c>
      <c r="G190" s="43" t="s">
        <v>12</v>
      </c>
      <c r="H190" s="43" t="s">
        <v>13</v>
      </c>
      <c r="I190" s="43" t="s">
        <v>14</v>
      </c>
      <c r="J190" s="43" t="s">
        <v>15</v>
      </c>
      <c r="K190" s="43" t="s">
        <v>33</v>
      </c>
      <c r="L190" s="43" t="s">
        <v>16</v>
      </c>
      <c r="M190" s="43" t="s">
        <v>38</v>
      </c>
      <c r="N190" s="128" t="s">
        <v>87</v>
      </c>
      <c r="O190" s="128" t="s">
        <v>89</v>
      </c>
      <c r="P190" s="137" t="s">
        <v>18</v>
      </c>
      <c r="Q190" s="69"/>
      <c r="R190" s="134" t="s">
        <v>34</v>
      </c>
      <c r="S190" s="69"/>
      <c r="T190" s="47" t="s">
        <v>29</v>
      </c>
      <c r="U190" s="9"/>
    </row>
    <row r="191" spans="1:21" ht="15.75" customHeight="1" thickBot="1" x14ac:dyDescent="0.25">
      <c r="A191" s="243"/>
      <c r="B191" s="246"/>
      <c r="C191" s="165"/>
      <c r="D191" s="49"/>
      <c r="E191" s="49"/>
      <c r="F191" s="49" t="str">
        <f>IF(AND(C191=""),"",1-C191)</f>
        <v/>
      </c>
      <c r="G191" s="49"/>
      <c r="H191" s="49"/>
      <c r="I191" s="49" t="str">
        <f>IF(AND(C191=""),"",G191*C191)</f>
        <v/>
      </c>
      <c r="J191" s="49" t="str">
        <f>IF(AND(C191=""),"",H191*F191)</f>
        <v/>
      </c>
      <c r="K191" s="49" t="str">
        <f t="shared" ref="K191:K200" si="24">IF(AND(I191=""),"",IF(AND(I191&gt;J191),"T1","T2"))</f>
        <v/>
      </c>
      <c r="L191" s="129" t="str">
        <f t="shared" ref="L191:L195" si="25">IF(AND(K191=""),"",IF(AND((J191*0.95-1)&lt;0,(I191*0.95-1)&lt;0),"NEGATIV EV", IF(AND(K191="T1"),I191*0.95 - 1,J191*0.95 - 1)))</f>
        <v/>
      </c>
      <c r="M191" s="50" t="str">
        <f t="shared" ref="M191:M195" si="26">IF(L191="","",IF(L191&lt;0.5,K$2*M$2,IF(L191&lt;0.75,K$2*M$3,IF(L191&lt;1,K$2*M$4,IF(L191&lt;1.25,K$2*M$5,IF(L191&lt;1.5,K$2*M$6,IF(L191&lt;2,K$2*M$7,IF(L191&lt;2.5,K$2*M$8,IF(L191="NEGATIV EV","NEGATIV EV",K$2*M$9)))))))))</f>
        <v/>
      </c>
      <c r="N191" s="133" t="str">
        <f>IF(AND(L191="",[1]Übersicht!L191=""),"",IF(AND(L191="NEGATIV EV",[1]Übersicht!L191="NO BET"),"NO BET",IF(AND(NOT(L191="NEGATIV EV"),L191&gt;[1]Übersicht!L191),"BET365",IF([1]Übersicht!L191="NO BET","BET365","PINNACLE"))))</f>
        <v>BET365</v>
      </c>
      <c r="O191" s="140" t="e">
        <f>IF(OR(N191="",N191="NO BET"),"",IF(N191="PINNACLE",IF([1]Übersicht!K191="T1",[1]Übersicht!G191*[1]Übersicht!M191-[1]Übersicht!M191,[1]Übersicht!H191*[1]Übersicht!M191-[1]Übersicht!M191),IF(K191="T1",G191*M191*0.95-M191,H191*M191*0.95-M191)))</f>
        <v>#VALUE!</v>
      </c>
      <c r="P191" s="136"/>
      <c r="Q191" s="70"/>
      <c r="R191" s="52">
        <f>IF(OR(P191="",N191="NO BET"),0,IF(K191=P191,O191,IF(N191="PINNACLE",-[1]Übersicht!M191,-M191)))</f>
        <v>0</v>
      </c>
      <c r="S191" s="69"/>
      <c r="T191" s="241">
        <f>SUM(R191:R200)</f>
        <v>0</v>
      </c>
      <c r="U191" s="9"/>
    </row>
    <row r="192" spans="1:21" ht="15.75" customHeight="1" thickBot="1" x14ac:dyDescent="0.25">
      <c r="A192" s="243"/>
      <c r="B192" s="246"/>
      <c r="C192" s="166"/>
      <c r="D192" s="54"/>
      <c r="E192" s="54"/>
      <c r="F192" s="54" t="str">
        <f t="shared" ref="F192:F200" si="27">IF(AND(C192=""),"",1-C192)</f>
        <v/>
      </c>
      <c r="G192" s="54"/>
      <c r="H192" s="54"/>
      <c r="I192" s="54" t="str">
        <f t="shared" ref="I192:I199" si="28">IF(AND(C192=""),"",G192*C192)</f>
        <v/>
      </c>
      <c r="J192" s="54" t="str">
        <f t="shared" ref="J192:J200" si="29">IF(AND(C192=""),"",H192*F192)</f>
        <v/>
      </c>
      <c r="K192" s="54" t="str">
        <f t="shared" si="24"/>
        <v/>
      </c>
      <c r="L192" s="130" t="str">
        <f t="shared" si="25"/>
        <v/>
      </c>
      <c r="M192" s="55" t="str">
        <f t="shared" si="26"/>
        <v/>
      </c>
      <c r="N192" s="133" t="str">
        <f>IF(AND(L192="",[1]Übersicht!L192=""),"",IF(AND(L192="NEGATIV EV",[1]Übersicht!L192="NO BET"),"NO BET",IF(AND(NOT(L192="NEGATIV EV"),L192&gt;[1]Übersicht!L192),"BET365",IF([1]Übersicht!L192="NO BET","BET365","PINNACLE"))))</f>
        <v>BET365</v>
      </c>
      <c r="O192" s="138" t="e">
        <f>IF(OR(N192="",N192="NO BET"),"",IF(N192="PINNACLE",IF([1]Übersicht!K192="T1",[1]Übersicht!G192*[1]Übersicht!M192-[1]Übersicht!M192,[1]Übersicht!H192*[1]Übersicht!M192-[1]Übersicht!M192),IF(K192="T1",G192*M192*0.95-M192,H192*M192*0.95-M192)))</f>
        <v>#VALUE!</v>
      </c>
      <c r="P192" s="136"/>
      <c r="Q192" s="69"/>
      <c r="R192" s="52">
        <f>IF(OR(P192="",N192="NO BET"),0,IF(K192=P192,O192,IF(N192="PINNACLE",-[1]Übersicht!M192,-M192)))</f>
        <v>0</v>
      </c>
      <c r="S192" s="69"/>
      <c r="T192" s="241"/>
      <c r="U192" s="9"/>
    </row>
    <row r="193" spans="1:21" ht="15.75" customHeight="1" thickBot="1" x14ac:dyDescent="0.25">
      <c r="A193" s="243"/>
      <c r="B193" s="246"/>
      <c r="C193" s="167"/>
      <c r="D193" s="58"/>
      <c r="E193" s="58"/>
      <c r="F193" s="58" t="str">
        <f t="shared" si="27"/>
        <v/>
      </c>
      <c r="G193" s="58"/>
      <c r="H193" s="58"/>
      <c r="I193" s="58" t="str">
        <f t="shared" si="28"/>
        <v/>
      </c>
      <c r="J193" s="58" t="str">
        <f t="shared" si="29"/>
        <v/>
      </c>
      <c r="K193" s="58" t="str">
        <f t="shared" si="24"/>
        <v/>
      </c>
      <c r="L193" s="131" t="str">
        <f t="shared" si="25"/>
        <v/>
      </c>
      <c r="M193" s="59" t="str">
        <f t="shared" si="26"/>
        <v/>
      </c>
      <c r="N193" s="133" t="str">
        <f>IF(AND(L193="",[1]Übersicht!L193=""),"",IF(AND(L193="NEGATIV EV",[1]Übersicht!L193="NO BET"),"NO BET",IF(AND(NOT(L193="NEGATIV EV"),L193&gt;[1]Übersicht!L193),"BET365",IF([1]Übersicht!L193="NO BET","BET365","PINNACLE"))))</f>
        <v>BET365</v>
      </c>
      <c r="O193" s="140" t="e">
        <f>IF(OR(N193="",N193="NO BET"),"",IF(N193="PINNACLE",IF([1]Übersicht!K193="T1",[1]Übersicht!G193*[1]Übersicht!M193-[1]Übersicht!M193,[1]Übersicht!H193*[1]Übersicht!M193-[1]Übersicht!M193),IF(K193="T1",G193*M193*0.95-M193,H193*M193*0.95-M193)))</f>
        <v>#VALUE!</v>
      </c>
      <c r="P193" s="136"/>
      <c r="Q193" s="69"/>
      <c r="R193" s="52">
        <f>IF(OR(P193="",N193="NO BET"),0,IF(K193=P193,O193,IF(N193="PINNACLE",-[1]Übersicht!M193,-M193)))</f>
        <v>0</v>
      </c>
      <c r="S193" s="69"/>
      <c r="T193" s="241"/>
      <c r="U193" s="9"/>
    </row>
    <row r="194" spans="1:21" ht="15.75" customHeight="1" thickBot="1" x14ac:dyDescent="0.25">
      <c r="A194" s="243"/>
      <c r="B194" s="246"/>
      <c r="C194" s="166"/>
      <c r="D194" s="54"/>
      <c r="E194" s="54"/>
      <c r="F194" s="54" t="str">
        <f t="shared" si="27"/>
        <v/>
      </c>
      <c r="G194" s="54"/>
      <c r="H194" s="54"/>
      <c r="I194" s="54" t="str">
        <f t="shared" si="28"/>
        <v/>
      </c>
      <c r="J194" s="54" t="str">
        <f t="shared" si="29"/>
        <v/>
      </c>
      <c r="K194" s="54" t="str">
        <f t="shared" si="24"/>
        <v/>
      </c>
      <c r="L194" s="130" t="str">
        <f t="shared" si="25"/>
        <v/>
      </c>
      <c r="M194" s="55" t="str">
        <f t="shared" si="26"/>
        <v/>
      </c>
      <c r="N194" s="133" t="str">
        <f>IF(AND(L194="",[1]Übersicht!L194=""),"",IF(AND(L194="NEGATIV EV",[1]Übersicht!L194="NO BET"),"NO BET",IF(AND(NOT(L194="NEGATIV EV"),L194&gt;[1]Übersicht!L194),"BET365",IF([1]Übersicht!L194="NO BET","BET365","PINNACLE"))))</f>
        <v>BET365</v>
      </c>
      <c r="O194" s="138" t="e">
        <f>IF(OR(N194="",N194="NO BET"),"",IF(N194="PINNACLE",IF([1]Übersicht!K194="T1",[1]Übersicht!G194*[1]Übersicht!M194-[1]Übersicht!M194,[1]Übersicht!H194*[1]Übersicht!M194-[1]Übersicht!M194),IF(K194="T1",G194*M194*0.95-M194,H194*M194*0.95-M194)))</f>
        <v>#VALUE!</v>
      </c>
      <c r="P194" s="136"/>
      <c r="Q194" s="69"/>
      <c r="R194" s="52">
        <f>IF(OR(P194="",N194="NO BET"),0,IF(K194=P194,O194,IF(N194="PINNACLE",-[1]Übersicht!M194,-M194)))</f>
        <v>0</v>
      </c>
      <c r="S194" s="69"/>
      <c r="T194" s="241"/>
      <c r="U194" s="9"/>
    </row>
    <row r="195" spans="1:21" ht="15.75" customHeight="1" thickBot="1" x14ac:dyDescent="0.25">
      <c r="A195" s="243"/>
      <c r="B195" s="246"/>
      <c r="C195" s="167"/>
      <c r="D195" s="58"/>
      <c r="E195" s="58"/>
      <c r="F195" s="58" t="str">
        <f t="shared" si="27"/>
        <v/>
      </c>
      <c r="G195" s="58"/>
      <c r="H195" s="58"/>
      <c r="I195" s="58" t="str">
        <f t="shared" si="28"/>
        <v/>
      </c>
      <c r="J195" s="58" t="str">
        <f t="shared" si="29"/>
        <v/>
      </c>
      <c r="K195" s="58" t="str">
        <f t="shared" si="24"/>
        <v/>
      </c>
      <c r="L195" s="131" t="str">
        <f t="shared" si="25"/>
        <v/>
      </c>
      <c r="M195" s="60" t="str">
        <f t="shared" si="26"/>
        <v/>
      </c>
      <c r="N195" s="133" t="str">
        <f>IF(AND(L195="",[1]Übersicht!L195=""),"",IF(AND(L195="NEGATIV EV",[1]Übersicht!L195="NO BET"),"NO BET",IF(AND(NOT(L195="NEGATIV EV"),L195&gt;[1]Übersicht!L195),"BET365",IF([1]Übersicht!L195="NO BET","BET365","PINNACLE"))))</f>
        <v>BET365</v>
      </c>
      <c r="O195" s="140" t="e">
        <f>IF(OR(N195="",N195="NO BET"),"",IF(N195="PINNACLE",IF([1]Übersicht!K195="T1",[1]Übersicht!G195*[1]Übersicht!M195-[1]Übersicht!M195,[1]Übersicht!H195*[1]Übersicht!M195-[1]Übersicht!M195),IF(K195="T1",G195*M195*0.95-M195,H195*M195*0.95-M195)))</f>
        <v>#VALUE!</v>
      </c>
      <c r="P195" s="136"/>
      <c r="Q195" s="69"/>
      <c r="R195" s="52">
        <f>IF(OR(P195="",N195="NO BET"),0,IF(K195=P195,O195,IF(N195="PINNACLE",-[1]Übersicht!M195,-M195)))</f>
        <v>0</v>
      </c>
      <c r="S195" s="69"/>
      <c r="T195" s="241"/>
      <c r="U195" s="9"/>
    </row>
    <row r="196" spans="1:21" ht="15.75" customHeight="1" thickBot="1" x14ac:dyDescent="0.25">
      <c r="A196" s="243"/>
      <c r="B196" s="246"/>
      <c r="C196" s="166"/>
      <c r="D196" s="54"/>
      <c r="E196" s="54"/>
      <c r="F196" s="54" t="str">
        <f t="shared" si="27"/>
        <v/>
      </c>
      <c r="G196" s="54"/>
      <c r="H196" s="54"/>
      <c r="I196" s="54" t="str">
        <f t="shared" si="28"/>
        <v/>
      </c>
      <c r="J196" s="54" t="str">
        <f t="shared" si="29"/>
        <v/>
      </c>
      <c r="K196" s="54" t="str">
        <f t="shared" si="24"/>
        <v/>
      </c>
      <c r="L196" s="130" t="str">
        <f>IF(AND(K196=""),"",IF(AND((J196*0.95-1)&lt;0,(I196*0.95-1)&lt;0),"NEGATIV EV", IF(AND(K196="T1"),I196*0.95 - 1,J196*0.95 - 1)))</f>
        <v/>
      </c>
      <c r="M196" s="55" t="str">
        <f>IF(L196="","",IF(L196&lt;0.5,K$2*M$2,IF(L196&lt;0.75,K$2*M$3,IF(L196&lt;1,K$2*M$4,IF(L196&lt;1.25,K$2*M$5,IF(L196&lt;1.5,K$2*M$6,IF(L196&lt;2,K$2*M$7,IF(L196&lt;2.5,K$2*M$8,IF(L196="NEGATIV EV","NEGATIV EV",K$2*M$9)))))))))</f>
        <v/>
      </c>
      <c r="N196" s="133" t="str">
        <f>IF(AND(L196="",[1]Übersicht!L196=""),"",IF(AND(L196="NEGATIV EV",[1]Übersicht!L196="NO BET"),"NO BET",IF(AND(NOT(L196="NEGATIV EV"),L196&gt;[1]Übersicht!L196),"BET365",IF([1]Übersicht!L196="NO BET","BET365","PINNACLE"))))</f>
        <v>BET365</v>
      </c>
      <c r="O196" s="138" t="e">
        <f>IF(OR(N196="",N196="NO BET"),"",IF(N196="PINNACLE",IF([1]Übersicht!K196="T1",[1]Übersicht!G196*[1]Übersicht!M196-[1]Übersicht!M196,[1]Übersicht!H196*[1]Übersicht!M196-[1]Übersicht!M196),IF(K196="T1",G196*M196*0.95-M196,H196*M196*0.95-M196)))</f>
        <v>#VALUE!</v>
      </c>
      <c r="P196" s="136"/>
      <c r="Q196" s="69"/>
      <c r="R196" s="52">
        <f>IF(OR(P196="",N196="NO BET"),0,IF(K196=P196,O196,IF(N196="PINNACLE",-[1]Übersicht!M196,-M196)))</f>
        <v>0</v>
      </c>
      <c r="S196" s="69"/>
      <c r="T196" s="241"/>
      <c r="U196" s="9"/>
    </row>
    <row r="197" spans="1:21" ht="16.5" thickBot="1" x14ac:dyDescent="0.25">
      <c r="A197" s="243"/>
      <c r="B197" s="246"/>
      <c r="C197" s="167"/>
      <c r="D197" s="58"/>
      <c r="E197" s="58"/>
      <c r="F197" s="58" t="str">
        <f t="shared" si="27"/>
        <v/>
      </c>
      <c r="G197" s="58"/>
      <c r="H197" s="58"/>
      <c r="I197" s="58" t="str">
        <f t="shared" si="28"/>
        <v/>
      </c>
      <c r="J197" s="58" t="str">
        <f t="shared" si="29"/>
        <v/>
      </c>
      <c r="K197" s="58" t="str">
        <f t="shared" si="24"/>
        <v/>
      </c>
      <c r="L197" s="131" t="str">
        <f t="shared" ref="L197:L200" si="30">IF(AND(K197=""),"",IF(AND((J197*0.95-1)&lt;0,(I197*0.95-1)&lt;0),"NEGATIV EV", IF(AND(K197="T1"),I197*0.95 - 1,J197*0.95 - 1)))</f>
        <v/>
      </c>
      <c r="M197" s="59" t="str">
        <f t="shared" ref="M197:M200" si="31">IF(L197="","",IF(L197&lt;0.5,K$2*M$2,IF(L197&lt;0.75,K$2*M$3,IF(L197&lt;1,K$2*M$4,IF(L197&lt;1.25,K$2*M$5,IF(L197&lt;1.5,K$2*M$6,IF(L197&lt;2,K$2*M$7,IF(L197&lt;2.5,K$2*M$8,IF(L197="NEGATIV EV","NEGATIV EV",K$2*M$9)))))))))</f>
        <v/>
      </c>
      <c r="N197" s="133" t="str">
        <f>IF(AND(L197="",[1]Übersicht!L197=""),"",IF(AND(L197="NEGATIV EV",[1]Übersicht!L197="NO BET"),"NO BET",IF(AND(NOT(L197="NEGATIV EV"),L197&gt;[1]Übersicht!L197),"BET365",IF([1]Übersicht!L197="NO BET","BET365","PINNACLE"))))</f>
        <v>BET365</v>
      </c>
      <c r="O197" s="140" t="e">
        <f>IF(OR(N197="",N197="NO BET"),"",IF(N197="PINNACLE",IF([1]Übersicht!K197="T1",[1]Übersicht!G197*[1]Übersicht!M197-[1]Übersicht!M197,[1]Übersicht!H197*[1]Übersicht!M197-[1]Übersicht!M197),IF(K197="T1",G197*M197*0.95-M197,H197*M197*0.95-M197)))</f>
        <v>#VALUE!</v>
      </c>
      <c r="P197" s="56"/>
      <c r="Q197" s="69"/>
      <c r="R197" s="52">
        <f>IF(OR(P197="",N197="NO BET"),0,IF(K197=P197,O197,IF(N197="PINNACLE",-[1]Übersicht!M197,-M197)))</f>
        <v>0</v>
      </c>
      <c r="S197" s="69"/>
      <c r="T197" s="61" t="s">
        <v>31</v>
      </c>
      <c r="U197" s="9"/>
    </row>
    <row r="198" spans="1:21" ht="15.75" customHeight="1" thickBot="1" x14ac:dyDescent="0.25">
      <c r="A198" s="243"/>
      <c r="B198" s="246"/>
      <c r="C198" s="166"/>
      <c r="D198" s="54"/>
      <c r="E198" s="54"/>
      <c r="F198" s="54" t="str">
        <f t="shared" si="27"/>
        <v/>
      </c>
      <c r="G198" s="54"/>
      <c r="H198" s="54"/>
      <c r="I198" s="54" t="str">
        <f t="shared" si="28"/>
        <v/>
      </c>
      <c r="J198" s="54" t="str">
        <f t="shared" si="29"/>
        <v/>
      </c>
      <c r="K198" s="54" t="str">
        <f t="shared" si="24"/>
        <v/>
      </c>
      <c r="L198" s="130" t="str">
        <f t="shared" si="30"/>
        <v/>
      </c>
      <c r="M198" s="62" t="str">
        <f t="shared" si="31"/>
        <v/>
      </c>
      <c r="N198" s="133" t="str">
        <f>IF(AND(L198="",[1]Übersicht!L198=""),"",IF(AND(L198="NEGATIV EV",[1]Übersicht!L198="NO BET"),"NO BET",IF(AND(NOT(L198="NEGATIV EV"),L198&gt;[1]Übersicht!L198),"BET365",IF([1]Übersicht!L198="NO BET","BET365","PINNACLE"))))</f>
        <v>BET365</v>
      </c>
      <c r="O198" s="138" t="e">
        <f>IF(OR(N198="",N198="NO BET"),"",IF(N198="PINNACLE",IF([1]Übersicht!K198="T1",[1]Übersicht!G198*[1]Übersicht!M198-[1]Übersicht!M198,[1]Übersicht!H198*[1]Übersicht!M198-[1]Übersicht!M198),IF(K198="T1",G198*M198*0.95-M198,H198*M198*0.95-M198)))</f>
        <v>#VALUE!</v>
      </c>
      <c r="P198" s="136"/>
      <c r="Q198" s="69"/>
      <c r="R198" s="52">
        <f>IF(OR(P198="",N198="NO BET"),0,IF(K198=P198,O198,IF(N198="PINNACLE",-[1]Übersicht!M198,-M198)))</f>
        <v>0</v>
      </c>
      <c r="S198" s="69"/>
      <c r="T198" s="248" t="e">
        <f>IF(AND(NOT(N191=0)),T191/N191,0)</f>
        <v>#VALUE!</v>
      </c>
      <c r="U198" s="9"/>
    </row>
    <row r="199" spans="1:21" ht="15.75" customHeight="1" thickBot="1" x14ac:dyDescent="0.25">
      <c r="A199" s="243"/>
      <c r="B199" s="246"/>
      <c r="C199" s="167"/>
      <c r="D199" s="58"/>
      <c r="E199" s="58"/>
      <c r="F199" s="58" t="str">
        <f t="shared" si="27"/>
        <v/>
      </c>
      <c r="G199" s="58"/>
      <c r="H199" s="58"/>
      <c r="I199" s="58" t="str">
        <f t="shared" si="28"/>
        <v/>
      </c>
      <c r="J199" s="58" t="str">
        <f t="shared" si="29"/>
        <v/>
      </c>
      <c r="K199" s="58" t="str">
        <f t="shared" si="24"/>
        <v/>
      </c>
      <c r="L199" s="131" t="str">
        <f t="shared" si="30"/>
        <v/>
      </c>
      <c r="M199" s="60" t="str">
        <f t="shared" si="31"/>
        <v/>
      </c>
      <c r="N199" s="133" t="str">
        <f>IF(AND(L199="",[1]Übersicht!L199=""),"",IF(AND(L199="NEGATIV EV",[1]Übersicht!L199="NO BET"),"NO BET",IF(AND(NOT(L199="NEGATIV EV"),L199&gt;[1]Übersicht!L199),"BET365",IF([1]Übersicht!L199="NO BET","BET365","PINNACLE"))))</f>
        <v>BET365</v>
      </c>
      <c r="O199" s="139" t="e">
        <f>IF(OR(N199="",N199="NO BET"),"",IF(N199="PINNACLE",IF([1]Übersicht!K199="T1",[1]Übersicht!G199*[1]Übersicht!M199-[1]Übersicht!M199,[1]Übersicht!H199*[1]Übersicht!M199-[1]Übersicht!M199),IF(K199="T1",G199*M199*0.95-M199,H199*M199*0.95-M199)))</f>
        <v>#VALUE!</v>
      </c>
      <c r="P199" s="136"/>
      <c r="Q199" s="69"/>
      <c r="R199" s="52">
        <f>IF(OR(P199="",N199="NO BET"),0,IF(K199=P199,O199,IF(N199="PINNACLE",-[1]Übersicht!M199,-M199)))</f>
        <v>0</v>
      </c>
      <c r="S199" s="69"/>
      <c r="T199" s="249"/>
      <c r="U199" s="9"/>
    </row>
    <row r="200" spans="1:21" ht="15.75" customHeight="1" thickBot="1" x14ac:dyDescent="0.25">
      <c r="A200" s="244"/>
      <c r="B200" s="247"/>
      <c r="C200" s="168"/>
      <c r="D200" s="64"/>
      <c r="E200" s="64"/>
      <c r="F200" s="64" t="str">
        <f t="shared" si="27"/>
        <v/>
      </c>
      <c r="G200" s="64"/>
      <c r="H200" s="64"/>
      <c r="I200" s="64" t="str">
        <f>IF(AND(C200=""),"",G200*C200)</f>
        <v/>
      </c>
      <c r="J200" s="64" t="str">
        <f t="shared" si="29"/>
        <v/>
      </c>
      <c r="K200" s="64" t="str">
        <f t="shared" si="24"/>
        <v/>
      </c>
      <c r="L200" s="132" t="str">
        <f t="shared" si="30"/>
        <v/>
      </c>
      <c r="M200" s="65" t="str">
        <f t="shared" si="31"/>
        <v/>
      </c>
      <c r="N200" s="133" t="str">
        <f>IF(AND(L200="",[1]Übersicht!L200=""),"",IF(AND(L200="NEGATIV EV",[1]Übersicht!L200="NO BET"),"NO BET",IF(AND(NOT(L200="NEGATIV EV"),L200&gt;[1]Übersicht!L200),"BET365",IF([1]Übersicht!L200="NO BET","BET365","PINNACLE"))))</f>
        <v>BET365</v>
      </c>
      <c r="O200" s="138" t="e">
        <f>IF(OR(N200="",N200="NO BET"),"",IF(N200="PINNACLE",IF([1]Übersicht!K200="T1",[1]Übersicht!G200*[1]Übersicht!M200-[1]Übersicht!M200,[1]Übersicht!H200*[1]Übersicht!M200-[1]Übersicht!M200),IF(K200="T1",G200*M200*0.95-M200,H200*M200*0.95-M200)))</f>
        <v>#VALUE!</v>
      </c>
      <c r="P200" s="66"/>
      <c r="Q200" s="9"/>
      <c r="R200" s="135">
        <f>IF(OR(P200="",N200="NO BET"),0,IF(K200=P200,O200,IF(N200="PINNACLE",-[1]Übersicht!M200,-M200)))</f>
        <v>0</v>
      </c>
      <c r="S200" s="9"/>
      <c r="T200" s="250"/>
      <c r="U200" s="9"/>
    </row>
    <row r="201" spans="1:21" x14ac:dyDescent="0.2">
      <c r="A201" s="9"/>
      <c r="B201" s="9"/>
      <c r="C201" s="11"/>
      <c r="D201" s="9"/>
      <c r="E201" s="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10"/>
      <c r="S201" s="9"/>
      <c r="T201" s="11"/>
      <c r="U201" s="9"/>
    </row>
    <row r="202" spans="1:21" x14ac:dyDescent="0.2">
      <c r="A202" s="9"/>
      <c r="B202" s="9"/>
      <c r="C202" s="11"/>
      <c r="D202" s="9"/>
      <c r="E202" s="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10"/>
      <c r="S202" s="9"/>
      <c r="T202" s="11"/>
      <c r="U202" s="9"/>
    </row>
    <row r="203" spans="1:21" ht="15.75" thickBot="1" x14ac:dyDescent="0.25">
      <c r="A203" s="9"/>
      <c r="B203" s="9"/>
      <c r="C203" s="11"/>
      <c r="D203" s="9"/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10"/>
      <c r="S203" s="9"/>
      <c r="T203" s="11"/>
      <c r="U203" s="9"/>
    </row>
    <row r="204" spans="1:21" ht="19.5" customHeight="1" thickBot="1" x14ac:dyDescent="0.25">
      <c r="A204" s="242" t="s">
        <v>5</v>
      </c>
      <c r="B204" s="245" t="s">
        <v>23</v>
      </c>
      <c r="C204" s="160"/>
      <c r="D204" s="43" t="s">
        <v>9</v>
      </c>
      <c r="E204" s="43" t="s">
        <v>10</v>
      </c>
      <c r="F204" s="43" t="s">
        <v>11</v>
      </c>
      <c r="G204" s="43" t="s">
        <v>12</v>
      </c>
      <c r="H204" s="43" t="s">
        <v>13</v>
      </c>
      <c r="I204" s="43" t="s">
        <v>14</v>
      </c>
      <c r="J204" s="43" t="s">
        <v>15</v>
      </c>
      <c r="K204" s="43" t="s">
        <v>33</v>
      </c>
      <c r="L204" s="43" t="s">
        <v>16</v>
      </c>
      <c r="M204" s="43" t="s">
        <v>38</v>
      </c>
      <c r="N204" s="128" t="s">
        <v>87</v>
      </c>
      <c r="O204" s="128" t="s">
        <v>89</v>
      </c>
      <c r="P204" s="137" t="s">
        <v>18</v>
      </c>
      <c r="Q204" s="69"/>
      <c r="R204" s="134" t="s">
        <v>34</v>
      </c>
      <c r="S204" s="69"/>
      <c r="T204" s="47" t="s">
        <v>29</v>
      </c>
      <c r="U204" s="9"/>
    </row>
    <row r="205" spans="1:21" ht="15.75" customHeight="1" thickBot="1" x14ac:dyDescent="0.25">
      <c r="A205" s="243"/>
      <c r="B205" s="246"/>
      <c r="C205" s="165"/>
      <c r="D205" s="48"/>
      <c r="E205" s="48"/>
      <c r="F205" s="48" t="str">
        <f>IF(AND(C205=""),"",1-C205)</f>
        <v/>
      </c>
      <c r="G205" s="48"/>
      <c r="H205" s="48"/>
      <c r="I205" s="48" t="str">
        <f t="shared" ref="I205:I214" si="32">IF(AND(C205=""),"",G205*C205)</f>
        <v/>
      </c>
      <c r="J205" s="48" t="str">
        <f>IF(AND(C205=""),"",H205*F205)</f>
        <v/>
      </c>
      <c r="K205" s="48" t="str">
        <f t="shared" ref="K205:K214" si="33">IF(AND(I205=""),"",IF(AND(I205&gt;J205),"T1","T2"))</f>
        <v/>
      </c>
      <c r="L205" s="129" t="str">
        <f t="shared" ref="L205:L209" si="34">IF(AND(K205=""),"",IF(AND((J205*0.95-1)&lt;0,(I205*0.95-1)&lt;0),"NEGATIV EV", IF(AND(K205="T1"),I205*0.95 - 1,J205*0.95 - 1)))</f>
        <v/>
      </c>
      <c r="M205" s="50" t="str">
        <f t="shared" ref="M205:M209" si="35">IF(L205="","",IF(L205&lt;0.5,K$2*M$2,IF(L205&lt;0.75,K$2*M$3,IF(L205&lt;1,K$2*M$4,IF(L205&lt;1.25,K$2*M$5,IF(L205&lt;1.5,K$2*M$6,IF(L205&lt;2,K$2*M$7,IF(L205&lt;2.5,K$2*M$8,IF(L205="NEGATIV EV","NEGATIV EV",K$2*M$9)))))))))</f>
        <v/>
      </c>
      <c r="N205" s="133" t="str">
        <f>IF(AND(L205="",[1]Übersicht!L205=""),"",IF(AND(L205="NEGATIV EV",[1]Übersicht!L205="NO BET"),"NO BET",IF(AND(NOT(L205="NEGATIV EV"),L205&gt;[1]Übersicht!L205),"BET365",IF([1]Übersicht!L205="NO BET","BET365","PINNACLE"))))</f>
        <v>BET365</v>
      </c>
      <c r="O205" s="140" t="e">
        <f>IF(OR(N205="",N205="NO BET"),"",IF(N205="PINNACLE",IF([1]Übersicht!K205="T1",[1]Übersicht!G205*[1]Übersicht!M205-[1]Übersicht!M205,[1]Übersicht!H205*[1]Übersicht!M205-[1]Übersicht!M205),IF(K205="T1",G205*M205*0.95-M205,H205*M205*0.95-M205)))</f>
        <v>#VALUE!</v>
      </c>
      <c r="P205" s="136"/>
      <c r="Q205" s="70"/>
      <c r="R205" s="52">
        <f>IF(OR(P205="",N205="NO BET"),0,IF(K205=P205,O205,IF(N205="PINNACLE",-[1]Übersicht!M205,-M205)))</f>
        <v>0</v>
      </c>
      <c r="S205" s="69"/>
      <c r="T205" s="241">
        <f>SUM(R205:R214)</f>
        <v>0</v>
      </c>
      <c r="U205" s="9"/>
    </row>
    <row r="206" spans="1:21" ht="15.75" customHeight="1" thickBot="1" x14ac:dyDescent="0.25">
      <c r="A206" s="243"/>
      <c r="B206" s="246"/>
      <c r="C206" s="166"/>
      <c r="D206" s="53"/>
      <c r="E206" s="53"/>
      <c r="F206" s="53" t="str">
        <f t="shared" ref="F206:F214" si="36">IF(AND(C206=""),"",1-C206)</f>
        <v/>
      </c>
      <c r="G206" s="53"/>
      <c r="H206" s="53"/>
      <c r="I206" s="53" t="str">
        <f t="shared" si="32"/>
        <v/>
      </c>
      <c r="J206" s="53" t="str">
        <f t="shared" ref="J206:J214" si="37">IF(AND(C206=""),"",H206*F206)</f>
        <v/>
      </c>
      <c r="K206" s="53" t="str">
        <f t="shared" si="33"/>
        <v/>
      </c>
      <c r="L206" s="130" t="str">
        <f t="shared" si="34"/>
        <v/>
      </c>
      <c r="M206" s="55" t="str">
        <f t="shared" si="35"/>
        <v/>
      </c>
      <c r="N206" s="133" t="str">
        <f>IF(AND(L206="",[1]Übersicht!L206=""),"",IF(AND(L206="NEGATIV EV",[1]Übersicht!L206="NO BET"),"NO BET",IF(AND(NOT(L206="NEGATIV EV"),L206&gt;[1]Übersicht!L206),"BET365",IF([1]Übersicht!L206="NO BET","BET365","PINNACLE"))))</f>
        <v>BET365</v>
      </c>
      <c r="O206" s="138" t="e">
        <f>IF(OR(N206="",N206="NO BET"),"",IF(N206="PINNACLE",IF([1]Übersicht!K206="T1",[1]Übersicht!G206*[1]Übersicht!M206-[1]Übersicht!M206,[1]Übersicht!H206*[1]Übersicht!M206-[1]Übersicht!M206),IF(K206="T1",G206*M206*0.95-M206,H206*M206*0.95-M206)))</f>
        <v>#VALUE!</v>
      </c>
      <c r="P206" s="136"/>
      <c r="Q206" s="69"/>
      <c r="R206" s="52">
        <f>IF(OR(P206="",N206="NO BET"),0,IF(K206=P206,O206,IF(N206="PINNACLE",-[1]Übersicht!M206,-M206)))</f>
        <v>0</v>
      </c>
      <c r="S206" s="69"/>
      <c r="T206" s="241"/>
      <c r="U206" s="9"/>
    </row>
    <row r="207" spans="1:21" ht="15.75" customHeight="1" thickBot="1" x14ac:dyDescent="0.25">
      <c r="A207" s="243"/>
      <c r="B207" s="246"/>
      <c r="C207" s="167"/>
      <c r="D207" s="7"/>
      <c r="E207" s="7"/>
      <c r="F207" s="7" t="str">
        <f t="shared" si="36"/>
        <v/>
      </c>
      <c r="G207" s="7"/>
      <c r="H207" s="7"/>
      <c r="I207" s="7" t="str">
        <f t="shared" si="32"/>
        <v/>
      </c>
      <c r="J207" s="7" t="str">
        <f t="shared" si="37"/>
        <v/>
      </c>
      <c r="K207" s="7" t="str">
        <f t="shared" si="33"/>
        <v/>
      </c>
      <c r="L207" s="131" t="str">
        <f t="shared" si="34"/>
        <v/>
      </c>
      <c r="M207" s="59" t="str">
        <f t="shared" si="35"/>
        <v/>
      </c>
      <c r="N207" s="133" t="str">
        <f>IF(AND(L207="",[1]Übersicht!L207=""),"",IF(AND(L207="NEGATIV EV",[1]Übersicht!L207="NO BET"),"NO BET",IF(AND(NOT(L207="NEGATIV EV"),L207&gt;[1]Übersicht!L207),"BET365",IF([1]Übersicht!L207="NO BET","BET365","PINNACLE"))))</f>
        <v>BET365</v>
      </c>
      <c r="O207" s="140" t="e">
        <f>IF(OR(N207="",N207="NO BET"),"",IF(N207="PINNACLE",IF([1]Übersicht!K207="T1",[1]Übersicht!G207*[1]Übersicht!M207-[1]Übersicht!M207,[1]Übersicht!H207*[1]Übersicht!M207-[1]Übersicht!M207),IF(K207="T1",G207*M207*0.95-M207,H207*M207*0.95-M207)))</f>
        <v>#VALUE!</v>
      </c>
      <c r="P207" s="136"/>
      <c r="Q207" s="69"/>
      <c r="R207" s="52">
        <f>IF(OR(P207="",N207="NO BET"),0,IF(K207=P207,O207,IF(N207="PINNACLE",-[1]Übersicht!M207,-M207)))</f>
        <v>0</v>
      </c>
      <c r="S207" s="69"/>
      <c r="T207" s="241"/>
      <c r="U207" s="9"/>
    </row>
    <row r="208" spans="1:21" ht="15.75" customHeight="1" thickBot="1" x14ac:dyDescent="0.25">
      <c r="A208" s="243"/>
      <c r="B208" s="246"/>
      <c r="C208" s="166"/>
      <c r="D208" s="53"/>
      <c r="E208" s="53"/>
      <c r="F208" s="53" t="str">
        <f t="shared" si="36"/>
        <v/>
      </c>
      <c r="G208" s="53"/>
      <c r="H208" s="53"/>
      <c r="I208" s="53" t="str">
        <f t="shared" si="32"/>
        <v/>
      </c>
      <c r="J208" s="53" t="str">
        <f t="shared" si="37"/>
        <v/>
      </c>
      <c r="K208" s="53" t="str">
        <f t="shared" si="33"/>
        <v/>
      </c>
      <c r="L208" s="130" t="str">
        <f t="shared" si="34"/>
        <v/>
      </c>
      <c r="M208" s="55" t="str">
        <f t="shared" si="35"/>
        <v/>
      </c>
      <c r="N208" s="133" t="str">
        <f>IF(AND(L208="",[1]Übersicht!L208=""),"",IF(AND(L208="NEGATIV EV",[1]Übersicht!L208="NO BET"),"NO BET",IF(AND(NOT(L208="NEGATIV EV"),L208&gt;[1]Übersicht!L208),"BET365",IF([1]Übersicht!L208="NO BET","BET365","PINNACLE"))))</f>
        <v>BET365</v>
      </c>
      <c r="O208" s="138" t="e">
        <f>IF(OR(N208="",N208="NO BET"),"",IF(N208="PINNACLE",IF([1]Übersicht!K208="T1",[1]Übersicht!G208*[1]Übersicht!M208-[1]Übersicht!M208,[1]Übersicht!H208*[1]Übersicht!M208-[1]Übersicht!M208),IF(K208="T1",G208*M208*0.95-M208,H208*M208*0.95-M208)))</f>
        <v>#VALUE!</v>
      </c>
      <c r="P208" s="136"/>
      <c r="Q208" s="69"/>
      <c r="R208" s="52">
        <f>IF(OR(P208="",N208="NO BET"),0,IF(K208=P208,O208,IF(N208="PINNACLE",-[1]Übersicht!M208,-M208)))</f>
        <v>0</v>
      </c>
      <c r="S208" s="69"/>
      <c r="T208" s="241"/>
      <c r="U208" s="9"/>
    </row>
    <row r="209" spans="1:21" ht="15.75" customHeight="1" thickBot="1" x14ac:dyDescent="0.25">
      <c r="A209" s="243"/>
      <c r="B209" s="246"/>
      <c r="C209" s="167"/>
      <c r="D209" s="7"/>
      <c r="E209" s="7"/>
      <c r="F209" s="7" t="str">
        <f t="shared" si="36"/>
        <v/>
      </c>
      <c r="G209" s="7"/>
      <c r="H209" s="7"/>
      <c r="I209" s="7" t="str">
        <f t="shared" si="32"/>
        <v/>
      </c>
      <c r="J209" s="7" t="str">
        <f t="shared" si="37"/>
        <v/>
      </c>
      <c r="K209" s="7" t="str">
        <f t="shared" si="33"/>
        <v/>
      </c>
      <c r="L209" s="131" t="str">
        <f t="shared" si="34"/>
        <v/>
      </c>
      <c r="M209" s="60" t="str">
        <f t="shared" si="35"/>
        <v/>
      </c>
      <c r="N209" s="133" t="str">
        <f>IF(AND(L209="",[1]Übersicht!L209=""),"",IF(AND(L209="NEGATIV EV",[1]Übersicht!L209="NO BET"),"NO BET",IF(AND(NOT(L209="NEGATIV EV"),L209&gt;[1]Übersicht!L209),"BET365",IF([1]Übersicht!L209="NO BET","BET365","PINNACLE"))))</f>
        <v>BET365</v>
      </c>
      <c r="O209" s="140" t="e">
        <f>IF(OR(N209="",N209="NO BET"),"",IF(N209="PINNACLE",IF([1]Übersicht!K209="T1",[1]Übersicht!G209*[1]Übersicht!M209-[1]Übersicht!M209,[1]Übersicht!H209*[1]Übersicht!M209-[1]Übersicht!M209),IF(K209="T1",G209*M209*0.95-M209,H209*M209*0.95-M209)))</f>
        <v>#VALUE!</v>
      </c>
      <c r="P209" s="136"/>
      <c r="Q209" s="69"/>
      <c r="R209" s="52">
        <f>IF(OR(P209="",N209="NO BET"),0,IF(K209=P209,O209,IF(N209="PINNACLE",-[1]Übersicht!M209,-M209)))</f>
        <v>0</v>
      </c>
      <c r="S209" s="69"/>
      <c r="T209" s="241"/>
      <c r="U209" s="9"/>
    </row>
    <row r="210" spans="1:21" ht="15.75" customHeight="1" thickBot="1" x14ac:dyDescent="0.25">
      <c r="A210" s="243"/>
      <c r="B210" s="246"/>
      <c r="C210" s="166"/>
      <c r="D210" s="53"/>
      <c r="E210" s="53"/>
      <c r="F210" s="53" t="str">
        <f t="shared" si="36"/>
        <v/>
      </c>
      <c r="G210" s="53"/>
      <c r="H210" s="53"/>
      <c r="I210" s="53" t="str">
        <f t="shared" si="32"/>
        <v/>
      </c>
      <c r="J210" s="53" t="str">
        <f t="shared" si="37"/>
        <v/>
      </c>
      <c r="K210" s="53" t="str">
        <f t="shared" si="33"/>
        <v/>
      </c>
      <c r="L210" s="130" t="str">
        <f>IF(AND(K210=""),"",IF(AND((J210*0.95-1)&lt;0,(I210*0.95-1)&lt;0),"NEGATIV EV", IF(AND(K210="T1"),I210*0.95 - 1,J210*0.95 - 1)))</f>
        <v/>
      </c>
      <c r="M210" s="55" t="str">
        <f>IF(L210="","",IF(L210&lt;0.5,K$2*M$2,IF(L210&lt;0.75,K$2*M$3,IF(L210&lt;1,K$2*M$4,IF(L210&lt;1.25,K$2*M$5,IF(L210&lt;1.5,K$2*M$6,IF(L210&lt;2,K$2*M$7,IF(L210&lt;2.5,K$2*M$8,IF(L210="NEGATIV EV","NEGATIV EV",K$2*M$9)))))))))</f>
        <v/>
      </c>
      <c r="N210" s="133" t="str">
        <f>IF(AND(L210="",[1]Übersicht!L210=""),"",IF(AND(L210="NEGATIV EV",[1]Übersicht!L210="NO BET"),"NO BET",IF(AND(NOT(L210="NEGATIV EV"),L210&gt;[1]Übersicht!L210),"BET365",IF([1]Übersicht!L210="NO BET","BET365","PINNACLE"))))</f>
        <v>BET365</v>
      </c>
      <c r="O210" s="138" t="e">
        <f>IF(OR(N210="",N210="NO BET"),"",IF(N210="PINNACLE",IF([1]Übersicht!K210="T1",[1]Übersicht!G210*[1]Übersicht!M210-[1]Übersicht!M210,[1]Übersicht!H210*[1]Übersicht!M210-[1]Übersicht!M210),IF(K210="T1",G210*M210*0.95-M210,H210*M210*0.95-M210)))</f>
        <v>#VALUE!</v>
      </c>
      <c r="P210" s="136"/>
      <c r="Q210" s="69"/>
      <c r="R210" s="52">
        <f>IF(OR(P210="",N210="NO BET"),0,IF(K210=P210,O210,IF(N210="PINNACLE",-[1]Übersicht!M210,-M210)))</f>
        <v>0</v>
      </c>
      <c r="S210" s="69"/>
      <c r="T210" s="241"/>
      <c r="U210" s="9"/>
    </row>
    <row r="211" spans="1:21" ht="16.5" thickBot="1" x14ac:dyDescent="0.25">
      <c r="A211" s="243"/>
      <c r="B211" s="246"/>
      <c r="C211" s="167"/>
      <c r="D211" s="7"/>
      <c r="E211" s="7"/>
      <c r="F211" s="7" t="str">
        <f t="shared" si="36"/>
        <v/>
      </c>
      <c r="G211" s="7"/>
      <c r="H211" s="7"/>
      <c r="I211" s="7" t="str">
        <f t="shared" si="32"/>
        <v/>
      </c>
      <c r="J211" s="7" t="str">
        <f t="shared" si="37"/>
        <v/>
      </c>
      <c r="K211" s="7" t="str">
        <f t="shared" si="33"/>
        <v/>
      </c>
      <c r="L211" s="131" t="str">
        <f t="shared" ref="L211:L214" si="38">IF(AND(K211=""),"",IF(AND((J211*0.95-1)&lt;0,(I211*0.95-1)&lt;0),"NEGATIV EV", IF(AND(K211="T1"),I211*0.95 - 1,J211*0.95 - 1)))</f>
        <v/>
      </c>
      <c r="M211" s="59" t="str">
        <f t="shared" ref="M211:M214" si="39">IF(L211="","",IF(L211&lt;0.5,K$2*M$2,IF(L211&lt;0.75,K$2*M$3,IF(L211&lt;1,K$2*M$4,IF(L211&lt;1.25,K$2*M$5,IF(L211&lt;1.5,K$2*M$6,IF(L211&lt;2,K$2*M$7,IF(L211&lt;2.5,K$2*M$8,IF(L211="NEGATIV EV","NEGATIV EV",K$2*M$9)))))))))</f>
        <v/>
      </c>
      <c r="N211" s="133" t="str">
        <f>IF(AND(L211="",[1]Übersicht!L211=""),"",IF(AND(L211="NEGATIV EV",[1]Übersicht!L211="NO BET"),"NO BET",IF(AND(NOT(L211="NEGATIV EV"),L211&gt;[1]Übersicht!L211),"BET365",IF([1]Übersicht!L211="NO BET","BET365","PINNACLE"))))</f>
        <v>BET365</v>
      </c>
      <c r="O211" s="140" t="e">
        <f>IF(OR(N211="",N211="NO BET"),"",IF(N211="PINNACLE",IF([1]Übersicht!K211="T1",[1]Übersicht!G211*[1]Übersicht!M211-[1]Übersicht!M211,[1]Übersicht!H211*[1]Übersicht!M211-[1]Übersicht!M211),IF(K211="T1",G211*M211*0.95-M211,H211*M211*0.95-M211)))</f>
        <v>#VALUE!</v>
      </c>
      <c r="P211" s="56"/>
      <c r="Q211" s="69"/>
      <c r="R211" s="52">
        <f>IF(OR(P211="",N211="NO BET"),0,IF(K211=P211,O211,IF(N211="PINNACLE",-[1]Übersicht!M211,-M211)))</f>
        <v>0</v>
      </c>
      <c r="S211" s="69"/>
      <c r="T211" s="61" t="s">
        <v>31</v>
      </c>
      <c r="U211" s="9"/>
    </row>
    <row r="212" spans="1:21" ht="15.75" customHeight="1" thickBot="1" x14ac:dyDescent="0.25">
      <c r="A212" s="243"/>
      <c r="B212" s="246"/>
      <c r="C212" s="166"/>
      <c r="D212" s="53"/>
      <c r="E212" s="53"/>
      <c r="F212" s="53" t="str">
        <f t="shared" si="36"/>
        <v/>
      </c>
      <c r="G212" s="53"/>
      <c r="H212" s="53"/>
      <c r="I212" s="53" t="str">
        <f t="shared" si="32"/>
        <v/>
      </c>
      <c r="J212" s="53" t="str">
        <f t="shared" si="37"/>
        <v/>
      </c>
      <c r="K212" s="53" t="str">
        <f t="shared" si="33"/>
        <v/>
      </c>
      <c r="L212" s="130" t="str">
        <f t="shared" si="38"/>
        <v/>
      </c>
      <c r="M212" s="62" t="str">
        <f t="shared" si="39"/>
        <v/>
      </c>
      <c r="N212" s="133" t="str">
        <f>IF(AND(L212="",[1]Übersicht!L212=""),"",IF(AND(L212="NEGATIV EV",[1]Übersicht!L212="NO BET"),"NO BET",IF(AND(NOT(L212="NEGATIV EV"),L212&gt;[1]Übersicht!L212),"BET365",IF([1]Übersicht!L212="NO BET","BET365","PINNACLE"))))</f>
        <v>BET365</v>
      </c>
      <c r="O212" s="138" t="e">
        <f>IF(OR(N212="",N212="NO BET"),"",IF(N212="PINNACLE",IF([1]Übersicht!K212="T1",[1]Übersicht!G212*[1]Übersicht!M212-[1]Übersicht!M212,[1]Übersicht!H212*[1]Übersicht!M212-[1]Übersicht!M212),IF(K212="T1",G212*M212*0.95-M212,H212*M212*0.95-M212)))</f>
        <v>#VALUE!</v>
      </c>
      <c r="P212" s="136"/>
      <c r="Q212" s="69"/>
      <c r="R212" s="52">
        <f>IF(OR(P212="",N212="NO BET"),0,IF(K212=P212,O212,IF(N212="PINNACLE",-[1]Übersicht!M212,-M212)))</f>
        <v>0</v>
      </c>
      <c r="S212" s="69"/>
      <c r="T212" s="248" t="e">
        <f>IF(AND(NOT(N205=0)),T205/N205,0)</f>
        <v>#VALUE!</v>
      </c>
      <c r="U212" s="9"/>
    </row>
    <row r="213" spans="1:21" ht="15.75" customHeight="1" thickBot="1" x14ac:dyDescent="0.25">
      <c r="A213" s="243"/>
      <c r="B213" s="246"/>
      <c r="C213" s="167"/>
      <c r="D213" s="7"/>
      <c r="E213" s="7"/>
      <c r="F213" s="7" t="str">
        <f t="shared" si="36"/>
        <v/>
      </c>
      <c r="G213" s="7"/>
      <c r="H213" s="7"/>
      <c r="I213" s="7" t="str">
        <f t="shared" si="32"/>
        <v/>
      </c>
      <c r="J213" s="7" t="str">
        <f t="shared" si="37"/>
        <v/>
      </c>
      <c r="K213" s="7" t="str">
        <f t="shared" si="33"/>
        <v/>
      </c>
      <c r="L213" s="131" t="str">
        <f t="shared" si="38"/>
        <v/>
      </c>
      <c r="M213" s="60" t="str">
        <f t="shared" si="39"/>
        <v/>
      </c>
      <c r="N213" s="133" t="str">
        <f>IF(AND(L213="",[1]Übersicht!L213=""),"",IF(AND(L213="NEGATIV EV",[1]Übersicht!L213="NO BET"),"NO BET",IF(AND(NOT(L213="NEGATIV EV"),L213&gt;[1]Übersicht!L213),"BET365",IF([1]Übersicht!L213="NO BET","BET365","PINNACLE"))))</f>
        <v>BET365</v>
      </c>
      <c r="O213" s="139" t="e">
        <f>IF(OR(N213="",N213="NO BET"),"",IF(N213="PINNACLE",IF([1]Übersicht!K213="T1",[1]Übersicht!G213*[1]Übersicht!M213-[1]Übersicht!M213,[1]Übersicht!H213*[1]Übersicht!M213-[1]Übersicht!M213),IF(K213="T1",G213*M213*0.95-M213,H213*M213*0.95-M213)))</f>
        <v>#VALUE!</v>
      </c>
      <c r="P213" s="136"/>
      <c r="Q213" s="69"/>
      <c r="R213" s="52">
        <f>IF(OR(P213="",N213="NO BET"),0,IF(K213=P213,O213,IF(N213="PINNACLE",-[1]Übersicht!M213,-M213)))</f>
        <v>0</v>
      </c>
      <c r="S213" s="69"/>
      <c r="T213" s="249"/>
      <c r="U213" s="9"/>
    </row>
    <row r="214" spans="1:21" ht="15.75" customHeight="1" thickBot="1" x14ac:dyDescent="0.25">
      <c r="A214" s="244"/>
      <c r="B214" s="247"/>
      <c r="C214" s="168"/>
      <c r="D214" s="63"/>
      <c r="E214" s="63"/>
      <c r="F214" s="63" t="str">
        <f t="shared" si="36"/>
        <v/>
      </c>
      <c r="G214" s="63"/>
      <c r="H214" s="63"/>
      <c r="I214" s="63" t="str">
        <f t="shared" si="32"/>
        <v/>
      </c>
      <c r="J214" s="63" t="str">
        <f t="shared" si="37"/>
        <v/>
      </c>
      <c r="K214" s="63" t="str">
        <f t="shared" si="33"/>
        <v/>
      </c>
      <c r="L214" s="132" t="str">
        <f t="shared" si="38"/>
        <v/>
      </c>
      <c r="M214" s="65" t="str">
        <f t="shared" si="39"/>
        <v/>
      </c>
      <c r="N214" s="133" t="str">
        <f>IF(AND(L214="",[1]Übersicht!L214=""),"",IF(AND(L214="NEGATIV EV",[1]Übersicht!L214="NO BET"),"NO BET",IF(AND(NOT(L214="NEGATIV EV"),L214&gt;[1]Übersicht!L214),"BET365",IF([1]Übersicht!L214="NO BET","BET365","PINNACLE"))))</f>
        <v>BET365</v>
      </c>
      <c r="O214" s="138" t="e">
        <f>IF(OR(N214="",N214="NO BET"),"",IF(N214="PINNACLE",IF([1]Übersicht!K214="T1",[1]Übersicht!G214*[1]Übersicht!M214-[1]Übersicht!M214,[1]Übersicht!H214*[1]Übersicht!M214-[1]Übersicht!M214),IF(K214="T1",G214*M214*0.95-M214,H214*M214*0.95-M214)))</f>
        <v>#VALUE!</v>
      </c>
      <c r="P214" s="66"/>
      <c r="Q214" s="9"/>
      <c r="R214" s="135">
        <f>IF(OR(P214="",N214="NO BET"),0,IF(K214=P214,O214,IF(N214="PINNACLE",-[1]Übersicht!M214,-M214)))</f>
        <v>0</v>
      </c>
      <c r="S214" s="9"/>
      <c r="T214" s="250"/>
      <c r="U214" s="9"/>
    </row>
    <row r="215" spans="1:21" x14ac:dyDescent="0.2">
      <c r="A215" s="9"/>
      <c r="B215" s="9"/>
      <c r="C215" s="11"/>
      <c r="D215" s="9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10"/>
      <c r="S215" s="9"/>
      <c r="T215" s="11"/>
      <c r="U215" s="9"/>
    </row>
    <row r="216" spans="1:21" x14ac:dyDescent="0.2">
      <c r="A216" s="9"/>
      <c r="B216" s="9"/>
      <c r="C216" s="11"/>
      <c r="D216" s="9"/>
      <c r="E216" s="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10"/>
      <c r="S216" s="9"/>
      <c r="T216" s="11"/>
      <c r="U216" s="9"/>
    </row>
    <row r="217" spans="1:21" ht="15.75" thickBot="1" x14ac:dyDescent="0.25">
      <c r="A217" s="9"/>
      <c r="B217" s="9"/>
      <c r="C217" s="11"/>
      <c r="D217" s="9"/>
      <c r="E217" s="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10"/>
      <c r="S217" s="9"/>
      <c r="T217" s="11"/>
      <c r="U217" s="9"/>
    </row>
    <row r="218" spans="1:21" ht="19.5" customHeight="1" thickBot="1" x14ac:dyDescent="0.25">
      <c r="A218" s="242" t="s">
        <v>5</v>
      </c>
      <c r="B218" s="245" t="s">
        <v>24</v>
      </c>
      <c r="C218" s="160"/>
      <c r="D218" s="43" t="s">
        <v>9</v>
      </c>
      <c r="E218" s="43" t="s">
        <v>10</v>
      </c>
      <c r="F218" s="43" t="s">
        <v>11</v>
      </c>
      <c r="G218" s="43" t="s">
        <v>12</v>
      </c>
      <c r="H218" s="43" t="s">
        <v>13</v>
      </c>
      <c r="I218" s="43" t="s">
        <v>14</v>
      </c>
      <c r="J218" s="43" t="s">
        <v>15</v>
      </c>
      <c r="K218" s="43" t="s">
        <v>33</v>
      </c>
      <c r="L218" s="43" t="s">
        <v>16</v>
      </c>
      <c r="M218" s="43" t="s">
        <v>38</v>
      </c>
      <c r="N218" s="128" t="s">
        <v>87</v>
      </c>
      <c r="O218" s="128" t="s">
        <v>89</v>
      </c>
      <c r="P218" s="137" t="s">
        <v>18</v>
      </c>
      <c r="Q218" s="69"/>
      <c r="R218" s="134" t="s">
        <v>34</v>
      </c>
      <c r="S218" s="69"/>
      <c r="T218" s="47" t="s">
        <v>29</v>
      </c>
      <c r="U218" s="9"/>
    </row>
    <row r="219" spans="1:21" ht="15.75" customHeight="1" thickBot="1" x14ac:dyDescent="0.25">
      <c r="A219" s="243"/>
      <c r="B219" s="246"/>
      <c r="C219" s="165"/>
      <c r="D219" s="48"/>
      <c r="E219" s="48"/>
      <c r="F219" s="48" t="str">
        <f>IF(AND(C219=""),"",1-C219)</f>
        <v/>
      </c>
      <c r="G219" s="48"/>
      <c r="H219" s="48"/>
      <c r="I219" s="48" t="str">
        <f t="shared" ref="I219:I228" si="40">IF(AND(C219=""),"",G219*C219)</f>
        <v/>
      </c>
      <c r="J219" s="48" t="str">
        <f>IF(AND(C219=""),"",H219*F219)</f>
        <v/>
      </c>
      <c r="K219" s="48" t="str">
        <f t="shared" ref="K219:K228" si="41">IF(AND(I219=""),"",IF(AND(I219&gt;J219),"T1","T2"))</f>
        <v/>
      </c>
      <c r="L219" s="129" t="str">
        <f t="shared" ref="L219:L223" si="42">IF(AND(K219=""),"",IF(AND((J219*0.95-1)&lt;0,(I219*0.95-1)&lt;0),"NEGATIV EV", IF(AND(K219="T1"),I219*0.95 - 1,J219*0.95 - 1)))</f>
        <v/>
      </c>
      <c r="M219" s="50" t="str">
        <f t="shared" ref="M219:M223" si="43">IF(L219="","",IF(L219&lt;0.5,K$2*M$2,IF(L219&lt;0.75,K$2*M$3,IF(L219&lt;1,K$2*M$4,IF(L219&lt;1.25,K$2*M$5,IF(L219&lt;1.5,K$2*M$6,IF(L219&lt;2,K$2*M$7,IF(L219&lt;2.5,K$2*M$8,IF(L219="NEGATIV EV","NEGATIV EV",K$2*M$9)))))))))</f>
        <v/>
      </c>
      <c r="N219" s="133" t="str">
        <f>IF(AND(L219="",[1]Übersicht!L219=""),"",IF(AND(L219="NEGATIV EV",[1]Übersicht!L219="NO BET"),"NO BET",IF(AND(NOT(L219="NEGATIV EV"),L219&gt;[1]Übersicht!L219),"BET365",IF([1]Übersicht!L219="NO BET","BET365","PINNACLE"))))</f>
        <v>BET365</v>
      </c>
      <c r="O219" s="140" t="e">
        <f>IF(OR(N219="",N219="NO BET"),"",IF(N219="PINNACLE",IF([1]Übersicht!K219="T1",[1]Übersicht!G219*[1]Übersicht!M219-[1]Übersicht!M219,[1]Übersicht!H219*[1]Übersicht!M219-[1]Übersicht!M219),IF(K219="T1",G219*M219*0.95-M219,H219*M219*0.95-M219)))</f>
        <v>#VALUE!</v>
      </c>
      <c r="P219" s="136"/>
      <c r="Q219" s="70"/>
      <c r="R219" s="52">
        <f>IF(OR(P219="",N219="NO BET"),0,IF(K219=P219,O219,IF(N219="PINNACLE",-[1]Übersicht!M219,-M219)))</f>
        <v>0</v>
      </c>
      <c r="S219" s="69"/>
      <c r="T219" s="241">
        <f>SUM(R219:R228)</f>
        <v>0</v>
      </c>
      <c r="U219" s="9"/>
    </row>
    <row r="220" spans="1:21" ht="15.75" customHeight="1" thickBot="1" x14ac:dyDescent="0.25">
      <c r="A220" s="243"/>
      <c r="B220" s="246"/>
      <c r="C220" s="166"/>
      <c r="D220" s="53"/>
      <c r="E220" s="53"/>
      <c r="F220" s="53" t="str">
        <f t="shared" ref="F220:F228" si="44">IF(AND(C220=""),"",1-C220)</f>
        <v/>
      </c>
      <c r="G220" s="53"/>
      <c r="H220" s="53"/>
      <c r="I220" s="53" t="str">
        <f t="shared" si="40"/>
        <v/>
      </c>
      <c r="J220" s="53" t="str">
        <f t="shared" ref="J220:J228" si="45">IF(AND(C220=""),"",H220*F220)</f>
        <v/>
      </c>
      <c r="K220" s="53" t="str">
        <f t="shared" si="41"/>
        <v/>
      </c>
      <c r="L220" s="130" t="str">
        <f t="shared" si="42"/>
        <v/>
      </c>
      <c r="M220" s="55" t="str">
        <f t="shared" si="43"/>
        <v/>
      </c>
      <c r="N220" s="133" t="str">
        <f>IF(AND(L220="",[1]Übersicht!L220=""),"",IF(AND(L220="NEGATIV EV",[1]Übersicht!L220="NO BET"),"NO BET",IF(AND(NOT(L220="NEGATIV EV"),L220&gt;[1]Übersicht!L220),"BET365",IF([1]Übersicht!L220="NO BET","BET365","PINNACLE"))))</f>
        <v>BET365</v>
      </c>
      <c r="O220" s="138" t="e">
        <f>IF(OR(N220="",N220="NO BET"),"",IF(N220="PINNACLE",IF([1]Übersicht!K220="T1",[1]Übersicht!G220*[1]Übersicht!M220-[1]Übersicht!M220,[1]Übersicht!H220*[1]Übersicht!M220-[1]Übersicht!M220),IF(K220="T1",G220*M220*0.95-M220,H220*M220*0.95-M220)))</f>
        <v>#VALUE!</v>
      </c>
      <c r="P220" s="136"/>
      <c r="Q220" s="69"/>
      <c r="R220" s="52">
        <f>IF(OR(P220="",N220="NO BET"),0,IF(K220=P220,O220,IF(N220="PINNACLE",-[1]Übersicht!M220,-M220)))</f>
        <v>0</v>
      </c>
      <c r="S220" s="69"/>
      <c r="T220" s="241"/>
      <c r="U220" s="9"/>
    </row>
    <row r="221" spans="1:21" ht="15.75" customHeight="1" thickBot="1" x14ac:dyDescent="0.25">
      <c r="A221" s="243"/>
      <c r="B221" s="246"/>
      <c r="C221" s="167"/>
      <c r="D221" s="7"/>
      <c r="E221" s="7"/>
      <c r="F221" s="7" t="str">
        <f t="shared" si="44"/>
        <v/>
      </c>
      <c r="G221" s="7"/>
      <c r="H221" s="7"/>
      <c r="I221" s="7" t="str">
        <f t="shared" si="40"/>
        <v/>
      </c>
      <c r="J221" s="7" t="str">
        <f t="shared" si="45"/>
        <v/>
      </c>
      <c r="K221" s="7" t="str">
        <f t="shared" si="41"/>
        <v/>
      </c>
      <c r="L221" s="131" t="str">
        <f t="shared" si="42"/>
        <v/>
      </c>
      <c r="M221" s="59" t="str">
        <f t="shared" si="43"/>
        <v/>
      </c>
      <c r="N221" s="133" t="str">
        <f>IF(AND(L221="",[1]Übersicht!L221=""),"",IF(AND(L221="NEGATIV EV",[1]Übersicht!L221="NO BET"),"NO BET",IF(AND(NOT(L221="NEGATIV EV"),L221&gt;[1]Übersicht!L221),"BET365",IF([1]Übersicht!L221="NO BET","BET365","PINNACLE"))))</f>
        <v>BET365</v>
      </c>
      <c r="O221" s="140" t="e">
        <f>IF(OR(N221="",N221="NO BET"),"",IF(N221="PINNACLE",IF([1]Übersicht!K221="T1",[1]Übersicht!G221*[1]Übersicht!M221-[1]Übersicht!M221,[1]Übersicht!H221*[1]Übersicht!M221-[1]Übersicht!M221),IF(K221="T1",G221*M221*0.95-M221,H221*M221*0.95-M221)))</f>
        <v>#VALUE!</v>
      </c>
      <c r="P221" s="136"/>
      <c r="Q221" s="69"/>
      <c r="R221" s="52">
        <f>IF(OR(P221="",N221="NO BET"),0,IF(K221=P221,O221,IF(N221="PINNACLE",-[1]Übersicht!M221,-M221)))</f>
        <v>0</v>
      </c>
      <c r="S221" s="69"/>
      <c r="T221" s="241"/>
      <c r="U221" s="9"/>
    </row>
    <row r="222" spans="1:21" ht="15.75" customHeight="1" thickBot="1" x14ac:dyDescent="0.25">
      <c r="A222" s="243"/>
      <c r="B222" s="246"/>
      <c r="C222" s="166"/>
      <c r="D222" s="53"/>
      <c r="E222" s="53"/>
      <c r="F222" s="53" t="str">
        <f t="shared" si="44"/>
        <v/>
      </c>
      <c r="G222" s="53"/>
      <c r="H222" s="53"/>
      <c r="I222" s="53" t="str">
        <f t="shared" si="40"/>
        <v/>
      </c>
      <c r="J222" s="53" t="str">
        <f t="shared" si="45"/>
        <v/>
      </c>
      <c r="K222" s="53" t="str">
        <f t="shared" si="41"/>
        <v/>
      </c>
      <c r="L222" s="130" t="str">
        <f t="shared" si="42"/>
        <v/>
      </c>
      <c r="M222" s="55" t="str">
        <f t="shared" si="43"/>
        <v/>
      </c>
      <c r="N222" s="133" t="str">
        <f>IF(AND(L222="",[1]Übersicht!L222=""),"",IF(AND(L222="NEGATIV EV",[1]Übersicht!L222="NO BET"),"NO BET",IF(AND(NOT(L222="NEGATIV EV"),L222&gt;[1]Übersicht!L222),"BET365",IF([1]Übersicht!L222="NO BET","BET365","PINNACLE"))))</f>
        <v>BET365</v>
      </c>
      <c r="O222" s="138" t="e">
        <f>IF(OR(N222="",N222="NO BET"),"",IF(N222="PINNACLE",IF([1]Übersicht!K222="T1",[1]Übersicht!G222*[1]Übersicht!M222-[1]Übersicht!M222,[1]Übersicht!H222*[1]Übersicht!M222-[1]Übersicht!M222),IF(K222="T1",G222*M222*0.95-M222,H222*M222*0.95-M222)))</f>
        <v>#VALUE!</v>
      </c>
      <c r="P222" s="136"/>
      <c r="Q222" s="69"/>
      <c r="R222" s="52">
        <f>IF(OR(P222="",N222="NO BET"),0,IF(K222=P222,O222,IF(N222="PINNACLE",-[1]Übersicht!M222,-M222)))</f>
        <v>0</v>
      </c>
      <c r="S222" s="69"/>
      <c r="T222" s="241"/>
      <c r="U222" s="9"/>
    </row>
    <row r="223" spans="1:21" ht="15.75" customHeight="1" thickBot="1" x14ac:dyDescent="0.25">
      <c r="A223" s="243"/>
      <c r="B223" s="246"/>
      <c r="C223" s="167"/>
      <c r="D223" s="7"/>
      <c r="E223" s="7"/>
      <c r="F223" s="7" t="str">
        <f t="shared" si="44"/>
        <v/>
      </c>
      <c r="G223" s="7"/>
      <c r="H223" s="7"/>
      <c r="I223" s="7" t="str">
        <f t="shared" si="40"/>
        <v/>
      </c>
      <c r="J223" s="7" t="str">
        <f t="shared" si="45"/>
        <v/>
      </c>
      <c r="K223" s="7" t="str">
        <f t="shared" si="41"/>
        <v/>
      </c>
      <c r="L223" s="131" t="str">
        <f t="shared" si="42"/>
        <v/>
      </c>
      <c r="M223" s="60" t="str">
        <f t="shared" si="43"/>
        <v/>
      </c>
      <c r="N223" s="133" t="str">
        <f>IF(AND(L223="",[1]Übersicht!L223=""),"",IF(AND(L223="NEGATIV EV",[1]Übersicht!L223="NO BET"),"NO BET",IF(AND(NOT(L223="NEGATIV EV"),L223&gt;[1]Übersicht!L223),"BET365",IF([1]Übersicht!L223="NO BET","BET365","PINNACLE"))))</f>
        <v>BET365</v>
      </c>
      <c r="O223" s="140" t="e">
        <f>IF(OR(N223="",N223="NO BET"),"",IF(N223="PINNACLE",IF([1]Übersicht!K223="T1",[1]Übersicht!G223*[1]Übersicht!M223-[1]Übersicht!M223,[1]Übersicht!H223*[1]Übersicht!M223-[1]Übersicht!M223),IF(K223="T1",G223*M223*0.95-M223,H223*M223*0.95-M223)))</f>
        <v>#VALUE!</v>
      </c>
      <c r="P223" s="136"/>
      <c r="Q223" s="69"/>
      <c r="R223" s="52">
        <f>IF(OR(P223="",N223="NO BET"),0,IF(K223=P223,O223,IF(N223="PINNACLE",-[1]Übersicht!M223,-M223)))</f>
        <v>0</v>
      </c>
      <c r="S223" s="69"/>
      <c r="T223" s="241"/>
      <c r="U223" s="9"/>
    </row>
    <row r="224" spans="1:21" ht="15.75" customHeight="1" thickBot="1" x14ac:dyDescent="0.25">
      <c r="A224" s="243"/>
      <c r="B224" s="246"/>
      <c r="C224" s="166"/>
      <c r="D224" s="53"/>
      <c r="E224" s="53"/>
      <c r="F224" s="53" t="str">
        <f t="shared" si="44"/>
        <v/>
      </c>
      <c r="G224" s="53"/>
      <c r="H224" s="53"/>
      <c r="I224" s="53" t="str">
        <f t="shared" si="40"/>
        <v/>
      </c>
      <c r="J224" s="53" t="str">
        <f t="shared" si="45"/>
        <v/>
      </c>
      <c r="K224" s="53" t="str">
        <f t="shared" si="41"/>
        <v/>
      </c>
      <c r="L224" s="130" t="str">
        <f>IF(AND(K224=""),"",IF(AND((J224*0.95-1)&lt;0,(I224*0.95-1)&lt;0),"NEGATIV EV", IF(AND(K224="T1"),I224*0.95 - 1,J224*0.95 - 1)))</f>
        <v/>
      </c>
      <c r="M224" s="55" t="str">
        <f>IF(L224="","",IF(L224&lt;0.5,K$2*M$2,IF(L224&lt;0.75,K$2*M$3,IF(L224&lt;1,K$2*M$4,IF(L224&lt;1.25,K$2*M$5,IF(L224&lt;1.5,K$2*M$6,IF(L224&lt;2,K$2*M$7,IF(L224&lt;2.5,K$2*M$8,IF(L224="NEGATIV EV","NEGATIV EV",K$2*M$9)))))))))</f>
        <v/>
      </c>
      <c r="N224" s="133" t="str">
        <f>IF(AND(L224="",[1]Übersicht!L224=""),"",IF(AND(L224="NEGATIV EV",[1]Übersicht!L224="NO BET"),"NO BET",IF(AND(NOT(L224="NEGATIV EV"),L224&gt;[1]Übersicht!L224),"BET365",IF([1]Übersicht!L224="NO BET","BET365","PINNACLE"))))</f>
        <v>BET365</v>
      </c>
      <c r="O224" s="138" t="e">
        <f>IF(OR(N224="",N224="NO BET"),"",IF(N224="PINNACLE",IF([1]Übersicht!K224="T1",[1]Übersicht!G224*[1]Übersicht!M224-[1]Übersicht!M224,[1]Übersicht!H224*[1]Übersicht!M224-[1]Übersicht!M224),IF(K224="T1",G224*M224*0.95-M224,H224*M224*0.95-M224)))</f>
        <v>#VALUE!</v>
      </c>
      <c r="P224" s="136"/>
      <c r="Q224" s="69"/>
      <c r="R224" s="52">
        <f>IF(OR(P224="",N224="NO BET"),0,IF(K224=P224,O224,IF(N224="PINNACLE",-[1]Übersicht!M224,-M224)))</f>
        <v>0</v>
      </c>
      <c r="S224" s="69"/>
      <c r="T224" s="241"/>
      <c r="U224" s="9"/>
    </row>
    <row r="225" spans="1:21" ht="16.5" thickBot="1" x14ac:dyDescent="0.25">
      <c r="A225" s="243"/>
      <c r="B225" s="246"/>
      <c r="C225" s="167"/>
      <c r="D225" s="7"/>
      <c r="E225" s="7"/>
      <c r="F225" s="7" t="str">
        <f t="shared" si="44"/>
        <v/>
      </c>
      <c r="G225" s="7"/>
      <c r="H225" s="7"/>
      <c r="I225" s="7" t="str">
        <f t="shared" si="40"/>
        <v/>
      </c>
      <c r="J225" s="7" t="str">
        <f t="shared" si="45"/>
        <v/>
      </c>
      <c r="K225" s="7" t="str">
        <f t="shared" si="41"/>
        <v/>
      </c>
      <c r="L225" s="131" t="str">
        <f t="shared" ref="L225:L228" si="46">IF(AND(K225=""),"",IF(AND((J225*0.95-1)&lt;0,(I225*0.95-1)&lt;0),"NEGATIV EV", IF(AND(K225="T1"),I225*0.95 - 1,J225*0.95 - 1)))</f>
        <v/>
      </c>
      <c r="M225" s="59" t="str">
        <f t="shared" ref="M225:M228" si="47">IF(L225="","",IF(L225&lt;0.5,K$2*M$2,IF(L225&lt;0.75,K$2*M$3,IF(L225&lt;1,K$2*M$4,IF(L225&lt;1.25,K$2*M$5,IF(L225&lt;1.5,K$2*M$6,IF(L225&lt;2,K$2*M$7,IF(L225&lt;2.5,K$2*M$8,IF(L225="NEGATIV EV","NEGATIV EV",K$2*M$9)))))))))</f>
        <v/>
      </c>
      <c r="N225" s="133" t="str">
        <f>IF(AND(L225="",[1]Übersicht!L225=""),"",IF(AND(L225="NEGATIV EV",[1]Übersicht!L225="NO BET"),"NO BET",IF(AND(NOT(L225="NEGATIV EV"),L225&gt;[1]Übersicht!L225),"BET365",IF([1]Übersicht!L225="NO BET","BET365","PINNACLE"))))</f>
        <v>BET365</v>
      </c>
      <c r="O225" s="140" t="e">
        <f>IF(OR(N225="",N225="NO BET"),"",IF(N225="PINNACLE",IF([1]Übersicht!K225="T1",[1]Übersicht!G225*[1]Übersicht!M225-[1]Übersicht!M225,[1]Übersicht!H225*[1]Übersicht!M225-[1]Übersicht!M225),IF(K225="T1",G225*M225*0.95-M225,H225*M225*0.95-M225)))</f>
        <v>#VALUE!</v>
      </c>
      <c r="P225" s="56"/>
      <c r="Q225" s="69"/>
      <c r="R225" s="52">
        <f>IF(OR(P225="",N225="NO BET"),0,IF(K225=P225,O225,IF(N225="PINNACLE",-[1]Übersicht!M225,-M225)))</f>
        <v>0</v>
      </c>
      <c r="S225" s="69"/>
      <c r="T225" s="61" t="s">
        <v>31</v>
      </c>
      <c r="U225" s="9"/>
    </row>
    <row r="226" spans="1:21" ht="15.75" customHeight="1" thickBot="1" x14ac:dyDescent="0.25">
      <c r="A226" s="243"/>
      <c r="B226" s="246"/>
      <c r="C226" s="166"/>
      <c r="D226" s="53"/>
      <c r="E226" s="53"/>
      <c r="F226" s="53" t="str">
        <f t="shared" si="44"/>
        <v/>
      </c>
      <c r="G226" s="53"/>
      <c r="H226" s="53"/>
      <c r="I226" s="53" t="str">
        <f t="shared" si="40"/>
        <v/>
      </c>
      <c r="J226" s="53" t="str">
        <f t="shared" si="45"/>
        <v/>
      </c>
      <c r="K226" s="53" t="str">
        <f t="shared" si="41"/>
        <v/>
      </c>
      <c r="L226" s="130" t="str">
        <f t="shared" si="46"/>
        <v/>
      </c>
      <c r="M226" s="62" t="str">
        <f t="shared" si="47"/>
        <v/>
      </c>
      <c r="N226" s="133" t="str">
        <f>IF(AND(L226="",[1]Übersicht!L226=""),"",IF(AND(L226="NEGATIV EV",[1]Übersicht!L226="NO BET"),"NO BET",IF(AND(NOT(L226="NEGATIV EV"),L226&gt;[1]Übersicht!L226),"BET365",IF([1]Übersicht!L226="NO BET","BET365","PINNACLE"))))</f>
        <v>BET365</v>
      </c>
      <c r="O226" s="138" t="e">
        <f>IF(OR(N226="",N226="NO BET"),"",IF(N226="PINNACLE",IF([1]Übersicht!K226="T1",[1]Übersicht!G226*[1]Übersicht!M226-[1]Übersicht!M226,[1]Übersicht!H226*[1]Übersicht!M226-[1]Übersicht!M226),IF(K226="T1",G226*M226*0.95-M226,H226*M226*0.95-M226)))</f>
        <v>#VALUE!</v>
      </c>
      <c r="P226" s="136"/>
      <c r="Q226" s="69"/>
      <c r="R226" s="52">
        <f>IF(OR(P226="",N226="NO BET"),0,IF(K226=P226,O226,IF(N226="PINNACLE",-[1]Übersicht!M226,-M226)))</f>
        <v>0</v>
      </c>
      <c r="S226" s="69"/>
      <c r="T226" s="248" t="e">
        <f>IF(AND(NOT(N219=0)),T219/N219,0)</f>
        <v>#VALUE!</v>
      </c>
      <c r="U226" s="9"/>
    </row>
    <row r="227" spans="1:21" ht="15.75" customHeight="1" thickBot="1" x14ac:dyDescent="0.25">
      <c r="A227" s="243"/>
      <c r="B227" s="246"/>
      <c r="C227" s="167"/>
      <c r="D227" s="7"/>
      <c r="E227" s="7"/>
      <c r="F227" s="7" t="str">
        <f t="shared" si="44"/>
        <v/>
      </c>
      <c r="G227" s="7"/>
      <c r="H227" s="7"/>
      <c r="I227" s="7" t="str">
        <f t="shared" si="40"/>
        <v/>
      </c>
      <c r="J227" s="7" t="str">
        <f t="shared" si="45"/>
        <v/>
      </c>
      <c r="K227" s="7" t="str">
        <f t="shared" si="41"/>
        <v/>
      </c>
      <c r="L227" s="131" t="str">
        <f t="shared" si="46"/>
        <v/>
      </c>
      <c r="M227" s="60" t="str">
        <f t="shared" si="47"/>
        <v/>
      </c>
      <c r="N227" s="133" t="str">
        <f>IF(AND(L227="",[1]Übersicht!L227=""),"",IF(AND(L227="NEGATIV EV",[1]Übersicht!L227="NO BET"),"NO BET",IF(AND(NOT(L227="NEGATIV EV"),L227&gt;[1]Übersicht!L227),"BET365",IF([1]Übersicht!L227="NO BET","BET365","PINNACLE"))))</f>
        <v>BET365</v>
      </c>
      <c r="O227" s="139" t="e">
        <f>IF(OR(N227="",N227="NO BET"),"",IF(N227="PINNACLE",IF([1]Übersicht!K227="T1",[1]Übersicht!G227*[1]Übersicht!M227-[1]Übersicht!M227,[1]Übersicht!H227*[1]Übersicht!M227-[1]Übersicht!M227),IF(K227="T1",G227*M227*0.95-M227,H227*M227*0.95-M227)))</f>
        <v>#VALUE!</v>
      </c>
      <c r="P227" s="136"/>
      <c r="Q227" s="69"/>
      <c r="R227" s="52">
        <f>IF(OR(P227="",N227="NO BET"),0,IF(K227=P227,O227,IF(N227="PINNACLE",-[1]Übersicht!M227,-M227)))</f>
        <v>0</v>
      </c>
      <c r="S227" s="69"/>
      <c r="T227" s="249"/>
      <c r="U227" s="9"/>
    </row>
    <row r="228" spans="1:21" ht="15.75" customHeight="1" thickBot="1" x14ac:dyDescent="0.25">
      <c r="A228" s="244"/>
      <c r="B228" s="247"/>
      <c r="C228" s="168"/>
      <c r="D228" s="63"/>
      <c r="E228" s="63"/>
      <c r="F228" s="63" t="str">
        <f t="shared" si="44"/>
        <v/>
      </c>
      <c r="G228" s="63"/>
      <c r="H228" s="63"/>
      <c r="I228" s="63" t="str">
        <f t="shared" si="40"/>
        <v/>
      </c>
      <c r="J228" s="63" t="str">
        <f t="shared" si="45"/>
        <v/>
      </c>
      <c r="K228" s="63" t="str">
        <f t="shared" si="41"/>
        <v/>
      </c>
      <c r="L228" s="132" t="str">
        <f t="shared" si="46"/>
        <v/>
      </c>
      <c r="M228" s="65" t="str">
        <f t="shared" si="47"/>
        <v/>
      </c>
      <c r="N228" s="133" t="str">
        <f>IF(AND(L228="",[1]Übersicht!L228=""),"",IF(AND(L228="NEGATIV EV",[1]Übersicht!L228="NO BET"),"NO BET",IF(AND(NOT(L228="NEGATIV EV"),L228&gt;[1]Übersicht!L228),"BET365",IF([1]Übersicht!L228="NO BET","BET365","PINNACLE"))))</f>
        <v>BET365</v>
      </c>
      <c r="O228" s="138" t="e">
        <f>IF(OR(N228="",N228="NO BET"),"",IF(N228="PINNACLE",IF([1]Übersicht!K228="T1",[1]Übersicht!G228*[1]Übersicht!M228-[1]Übersicht!M228,[1]Übersicht!H228*[1]Übersicht!M228-[1]Übersicht!M228),IF(K228="T1",G228*M228*0.95-M228,H228*M228*0.95-M228)))</f>
        <v>#VALUE!</v>
      </c>
      <c r="P228" s="66"/>
      <c r="Q228" s="9"/>
      <c r="R228" s="135">
        <f>IF(OR(P228="",N228="NO BET"),0,IF(K228=P228,O228,IF(N228="PINNACLE",-[1]Übersicht!M228,-M228)))</f>
        <v>0</v>
      </c>
      <c r="S228" s="9"/>
      <c r="T228" s="250"/>
      <c r="U228" s="9"/>
    </row>
    <row r="229" spans="1:21" x14ac:dyDescent="0.2">
      <c r="A229" s="9"/>
      <c r="B229" s="9"/>
      <c r="C229" s="11"/>
      <c r="D229" s="9"/>
      <c r="E229" s="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10"/>
      <c r="S229" s="9"/>
      <c r="T229" s="11"/>
      <c r="U229" s="9"/>
    </row>
    <row r="230" spans="1:21" x14ac:dyDescent="0.2">
      <c r="A230" s="9"/>
      <c r="B230" s="9"/>
      <c r="C230" s="11"/>
      <c r="D230" s="9"/>
      <c r="E230" s="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10"/>
      <c r="S230" s="9"/>
      <c r="T230" s="11"/>
      <c r="U230" s="9"/>
    </row>
    <row r="231" spans="1:21" ht="15.75" thickBot="1" x14ac:dyDescent="0.25">
      <c r="A231" s="9"/>
      <c r="B231" s="9"/>
      <c r="C231" s="11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10"/>
      <c r="S231" s="9"/>
      <c r="T231" s="11"/>
      <c r="U231" s="9"/>
    </row>
    <row r="232" spans="1:21" ht="19.5" customHeight="1" thickBot="1" x14ac:dyDescent="0.25">
      <c r="A232" s="242" t="s">
        <v>5</v>
      </c>
      <c r="B232" s="245" t="s">
        <v>25</v>
      </c>
      <c r="C232" s="160"/>
      <c r="D232" s="43" t="s">
        <v>9</v>
      </c>
      <c r="E232" s="43" t="s">
        <v>10</v>
      </c>
      <c r="F232" s="43" t="s">
        <v>11</v>
      </c>
      <c r="G232" s="43" t="s">
        <v>12</v>
      </c>
      <c r="H232" s="43" t="s">
        <v>13</v>
      </c>
      <c r="I232" s="43" t="s">
        <v>14</v>
      </c>
      <c r="J232" s="43" t="s">
        <v>15</v>
      </c>
      <c r="K232" s="43" t="s">
        <v>33</v>
      </c>
      <c r="L232" s="43" t="s">
        <v>16</v>
      </c>
      <c r="M232" s="43" t="s">
        <v>38</v>
      </c>
      <c r="N232" s="128" t="s">
        <v>87</v>
      </c>
      <c r="O232" s="128" t="s">
        <v>89</v>
      </c>
      <c r="P232" s="137" t="s">
        <v>18</v>
      </c>
      <c r="Q232" s="69"/>
      <c r="R232" s="134" t="s">
        <v>34</v>
      </c>
      <c r="S232" s="69"/>
      <c r="T232" s="47" t="s">
        <v>29</v>
      </c>
      <c r="U232" s="9"/>
    </row>
    <row r="233" spans="1:21" ht="15.75" customHeight="1" thickBot="1" x14ac:dyDescent="0.25">
      <c r="A233" s="243"/>
      <c r="B233" s="246"/>
      <c r="C233" s="165"/>
      <c r="D233" s="48"/>
      <c r="E233" s="48"/>
      <c r="F233" s="48" t="str">
        <f>IF(AND(C233=""),"",1-C233)</f>
        <v/>
      </c>
      <c r="G233" s="48"/>
      <c r="H233" s="48"/>
      <c r="I233" s="48" t="str">
        <f t="shared" ref="I233:I242" si="48">IF(AND(C233=""),"",G233*C233)</f>
        <v/>
      </c>
      <c r="J233" s="48" t="str">
        <f>IF(AND(C233=""),"",H233*F233)</f>
        <v/>
      </c>
      <c r="K233" s="48" t="str">
        <f t="shared" ref="K233:K242" si="49">IF(AND(I233=""),"",IF(AND(I233&gt;J233),"T1","T2"))</f>
        <v/>
      </c>
      <c r="L233" s="129" t="str">
        <f t="shared" ref="L233:L237" si="50">IF(AND(K233=""),"",IF(AND((J233*0.95-1)&lt;0,(I233*0.95-1)&lt;0),"NEGATIV EV", IF(AND(K233="T1"),I233*0.95 - 1,J233*0.95 - 1)))</f>
        <v/>
      </c>
      <c r="M233" s="50" t="str">
        <f t="shared" ref="M233:M237" si="51">IF(L233="","",IF(L233&lt;0.5,K$2*M$2,IF(L233&lt;0.75,K$2*M$3,IF(L233&lt;1,K$2*M$4,IF(L233&lt;1.25,K$2*M$5,IF(L233&lt;1.5,K$2*M$6,IF(L233&lt;2,K$2*M$7,IF(L233&lt;2.5,K$2*M$8,IF(L233="NEGATIV EV","NEGATIV EV",K$2*M$9)))))))))</f>
        <v/>
      </c>
      <c r="N233" s="133" t="str">
        <f>IF(AND(L233="",[1]Übersicht!L233=""),"",IF(AND(L233="NEGATIV EV",[1]Übersicht!L233="NO BET"),"NO BET",IF(AND(NOT(L233="NEGATIV EV"),L233&gt;[1]Übersicht!L233),"BET365",IF([1]Übersicht!L233="NO BET","BET365","PINNACLE"))))</f>
        <v>BET365</v>
      </c>
      <c r="O233" s="140" t="e">
        <f>IF(OR(N233="",N233="NO BET"),"",IF(N233="PINNACLE",IF([1]Übersicht!K233="T1",[1]Übersicht!G233*[1]Übersicht!M233-[1]Übersicht!M233,[1]Übersicht!H233*[1]Übersicht!M233-[1]Übersicht!M233),IF(K233="T1",G233*M233*0.95-M233,H233*M233*0.95-M233)))</f>
        <v>#VALUE!</v>
      </c>
      <c r="P233" s="136"/>
      <c r="Q233" s="70"/>
      <c r="R233" s="52">
        <f>IF(OR(P233="",N233="NO BET"),0,IF(K233=P233,O233,IF(N233="PINNACLE",-[1]Übersicht!M233,-M233)))</f>
        <v>0</v>
      </c>
      <c r="S233" s="69"/>
      <c r="T233" s="241">
        <f>SUM(R233:R242)</f>
        <v>0</v>
      </c>
      <c r="U233" s="9"/>
    </row>
    <row r="234" spans="1:21" ht="15.75" customHeight="1" thickBot="1" x14ac:dyDescent="0.25">
      <c r="A234" s="243"/>
      <c r="B234" s="246"/>
      <c r="C234" s="166"/>
      <c r="D234" s="53"/>
      <c r="E234" s="53"/>
      <c r="F234" s="53" t="str">
        <f t="shared" ref="F234:F242" si="52">IF(AND(C234=""),"",1-C234)</f>
        <v/>
      </c>
      <c r="G234" s="53"/>
      <c r="H234" s="53"/>
      <c r="I234" s="53" t="str">
        <f t="shared" si="48"/>
        <v/>
      </c>
      <c r="J234" s="53" t="str">
        <f t="shared" ref="J234:J242" si="53">IF(AND(C234=""),"",H234*F234)</f>
        <v/>
      </c>
      <c r="K234" s="53" t="str">
        <f t="shared" si="49"/>
        <v/>
      </c>
      <c r="L234" s="130" t="str">
        <f t="shared" si="50"/>
        <v/>
      </c>
      <c r="M234" s="55" t="str">
        <f t="shared" si="51"/>
        <v/>
      </c>
      <c r="N234" s="133" t="str">
        <f>IF(AND(L234="",[1]Übersicht!L234=""),"",IF(AND(L234="NEGATIV EV",[1]Übersicht!L234="NO BET"),"NO BET",IF(AND(NOT(L234="NEGATIV EV"),L234&gt;[1]Übersicht!L234),"BET365",IF([1]Übersicht!L234="NO BET","BET365","PINNACLE"))))</f>
        <v>BET365</v>
      </c>
      <c r="O234" s="138" t="e">
        <f>IF(OR(N234="",N234="NO BET"),"",IF(N234="PINNACLE",IF([1]Übersicht!K234="T1",[1]Übersicht!G234*[1]Übersicht!M234-[1]Übersicht!M234,[1]Übersicht!H234*[1]Übersicht!M234-[1]Übersicht!M234),IF(K234="T1",G234*M234*0.95-M234,H234*M234*0.95-M234)))</f>
        <v>#VALUE!</v>
      </c>
      <c r="P234" s="136"/>
      <c r="Q234" s="69"/>
      <c r="R234" s="52">
        <f>IF(OR(P234="",N234="NO BET"),0,IF(K234=P234,O234,IF(N234="PINNACLE",-[1]Übersicht!M234,-M234)))</f>
        <v>0</v>
      </c>
      <c r="S234" s="69"/>
      <c r="T234" s="241"/>
      <c r="U234" s="9"/>
    </row>
    <row r="235" spans="1:21" ht="15.75" customHeight="1" thickBot="1" x14ac:dyDescent="0.25">
      <c r="A235" s="243"/>
      <c r="B235" s="246"/>
      <c r="C235" s="167"/>
      <c r="D235" s="7"/>
      <c r="E235" s="7"/>
      <c r="F235" s="7" t="str">
        <f t="shared" si="52"/>
        <v/>
      </c>
      <c r="G235" s="7"/>
      <c r="H235" s="7"/>
      <c r="I235" s="7" t="str">
        <f t="shared" si="48"/>
        <v/>
      </c>
      <c r="J235" s="7" t="str">
        <f t="shared" si="53"/>
        <v/>
      </c>
      <c r="K235" s="7" t="str">
        <f t="shared" si="49"/>
        <v/>
      </c>
      <c r="L235" s="131" t="str">
        <f t="shared" si="50"/>
        <v/>
      </c>
      <c r="M235" s="59" t="str">
        <f t="shared" si="51"/>
        <v/>
      </c>
      <c r="N235" s="133" t="str">
        <f>IF(AND(L235="",[1]Übersicht!L235=""),"",IF(AND(L235="NEGATIV EV",[1]Übersicht!L235="NO BET"),"NO BET",IF(AND(NOT(L235="NEGATIV EV"),L235&gt;[1]Übersicht!L235),"BET365",IF([1]Übersicht!L235="NO BET","BET365","PINNACLE"))))</f>
        <v>BET365</v>
      </c>
      <c r="O235" s="140" t="e">
        <f>IF(OR(N235="",N235="NO BET"),"",IF(N235="PINNACLE",IF([1]Übersicht!K235="T1",[1]Übersicht!G235*[1]Übersicht!M235-[1]Übersicht!M235,[1]Übersicht!H235*[1]Übersicht!M235-[1]Übersicht!M235),IF(K235="T1",G235*M235*0.95-M235,H235*M235*0.95-M235)))</f>
        <v>#VALUE!</v>
      </c>
      <c r="P235" s="136"/>
      <c r="Q235" s="69"/>
      <c r="R235" s="52">
        <f>IF(OR(P235="",N235="NO BET"),0,IF(K235=P235,O235,IF(N235="PINNACLE",-[1]Übersicht!M235,-M235)))</f>
        <v>0</v>
      </c>
      <c r="S235" s="69"/>
      <c r="T235" s="241"/>
      <c r="U235" s="9"/>
    </row>
    <row r="236" spans="1:21" ht="15.75" customHeight="1" thickBot="1" x14ac:dyDescent="0.25">
      <c r="A236" s="243"/>
      <c r="B236" s="246"/>
      <c r="C236" s="166"/>
      <c r="D236" s="53"/>
      <c r="E236" s="53"/>
      <c r="F236" s="53" t="str">
        <f t="shared" si="52"/>
        <v/>
      </c>
      <c r="G236" s="53"/>
      <c r="H236" s="53"/>
      <c r="I236" s="53" t="str">
        <f t="shared" si="48"/>
        <v/>
      </c>
      <c r="J236" s="53" t="str">
        <f t="shared" si="53"/>
        <v/>
      </c>
      <c r="K236" s="53" t="str">
        <f t="shared" si="49"/>
        <v/>
      </c>
      <c r="L236" s="130" t="str">
        <f t="shared" si="50"/>
        <v/>
      </c>
      <c r="M236" s="55" t="str">
        <f t="shared" si="51"/>
        <v/>
      </c>
      <c r="N236" s="133" t="str">
        <f>IF(AND(L236="",[1]Übersicht!L236=""),"",IF(AND(L236="NEGATIV EV",[1]Übersicht!L236="NO BET"),"NO BET",IF(AND(NOT(L236="NEGATIV EV"),L236&gt;[1]Übersicht!L236),"BET365",IF([1]Übersicht!L236="NO BET","BET365","PINNACLE"))))</f>
        <v>BET365</v>
      </c>
      <c r="O236" s="138" t="e">
        <f>IF(OR(N236="",N236="NO BET"),"",IF(N236="PINNACLE",IF([1]Übersicht!K236="T1",[1]Übersicht!G236*[1]Übersicht!M236-[1]Übersicht!M236,[1]Übersicht!H236*[1]Übersicht!M236-[1]Übersicht!M236),IF(K236="T1",G236*M236*0.95-M236,H236*M236*0.95-M236)))</f>
        <v>#VALUE!</v>
      </c>
      <c r="P236" s="136"/>
      <c r="Q236" s="69"/>
      <c r="R236" s="52">
        <f>IF(OR(P236="",N236="NO BET"),0,IF(K236=P236,O236,IF(N236="PINNACLE",-[1]Übersicht!M236,-M236)))</f>
        <v>0</v>
      </c>
      <c r="S236" s="69"/>
      <c r="T236" s="241"/>
      <c r="U236" s="9"/>
    </row>
    <row r="237" spans="1:21" ht="15.75" customHeight="1" thickBot="1" x14ac:dyDescent="0.25">
      <c r="A237" s="243"/>
      <c r="B237" s="246"/>
      <c r="C237" s="167"/>
      <c r="D237" s="7"/>
      <c r="E237" s="7"/>
      <c r="F237" s="7" t="str">
        <f t="shared" si="52"/>
        <v/>
      </c>
      <c r="G237" s="7"/>
      <c r="H237" s="7"/>
      <c r="I237" s="7" t="str">
        <f t="shared" si="48"/>
        <v/>
      </c>
      <c r="J237" s="7" t="str">
        <f t="shared" si="53"/>
        <v/>
      </c>
      <c r="K237" s="7" t="str">
        <f t="shared" si="49"/>
        <v/>
      </c>
      <c r="L237" s="131" t="str">
        <f t="shared" si="50"/>
        <v/>
      </c>
      <c r="M237" s="60" t="str">
        <f t="shared" si="51"/>
        <v/>
      </c>
      <c r="N237" s="133" t="str">
        <f>IF(AND(L237="",[1]Übersicht!L237=""),"",IF(AND(L237="NEGATIV EV",[1]Übersicht!L237="NO BET"),"NO BET",IF(AND(NOT(L237="NEGATIV EV"),L237&gt;[1]Übersicht!L237),"BET365",IF([1]Übersicht!L237="NO BET","BET365","PINNACLE"))))</f>
        <v>BET365</v>
      </c>
      <c r="O237" s="140" t="e">
        <f>IF(OR(N237="",N237="NO BET"),"",IF(N237="PINNACLE",IF([1]Übersicht!K237="T1",[1]Übersicht!G237*[1]Übersicht!M237-[1]Übersicht!M237,[1]Übersicht!H237*[1]Übersicht!M237-[1]Übersicht!M237),IF(K237="T1",G237*M237*0.95-M237,H237*M237*0.95-M237)))</f>
        <v>#VALUE!</v>
      </c>
      <c r="P237" s="136"/>
      <c r="Q237" s="69"/>
      <c r="R237" s="52">
        <f>IF(OR(P237="",N237="NO BET"),0,IF(K237=P237,O237,IF(N237="PINNACLE",-[1]Übersicht!M237,-M237)))</f>
        <v>0</v>
      </c>
      <c r="S237" s="69"/>
      <c r="T237" s="241"/>
      <c r="U237" s="9"/>
    </row>
    <row r="238" spans="1:21" ht="15.75" customHeight="1" thickBot="1" x14ac:dyDescent="0.25">
      <c r="A238" s="243"/>
      <c r="B238" s="246"/>
      <c r="C238" s="166"/>
      <c r="D238" s="53"/>
      <c r="E238" s="53"/>
      <c r="F238" s="53" t="str">
        <f t="shared" si="52"/>
        <v/>
      </c>
      <c r="G238" s="53"/>
      <c r="H238" s="53"/>
      <c r="I238" s="53" t="str">
        <f t="shared" si="48"/>
        <v/>
      </c>
      <c r="J238" s="53" t="str">
        <f t="shared" si="53"/>
        <v/>
      </c>
      <c r="K238" s="53" t="str">
        <f t="shared" si="49"/>
        <v/>
      </c>
      <c r="L238" s="130" t="str">
        <f>IF(AND(K238=""),"",IF(AND((J238*0.95-1)&lt;0,(I238*0.95-1)&lt;0),"NEGATIV EV", IF(AND(K238="T1"),I238*0.95 - 1,J238*0.95 - 1)))</f>
        <v/>
      </c>
      <c r="M238" s="55" t="str">
        <f>IF(L238="","",IF(L238&lt;0.5,K$2*M$2,IF(L238&lt;0.75,K$2*M$3,IF(L238&lt;1,K$2*M$4,IF(L238&lt;1.25,K$2*M$5,IF(L238&lt;1.5,K$2*M$6,IF(L238&lt;2,K$2*M$7,IF(L238&lt;2.5,K$2*M$8,IF(L238="NEGATIV EV","NEGATIV EV",K$2*M$9)))))))))</f>
        <v/>
      </c>
      <c r="N238" s="133" t="str">
        <f>IF(AND(L238="",[1]Übersicht!L238=""),"",IF(AND(L238="NEGATIV EV",[1]Übersicht!L238="NO BET"),"NO BET",IF(AND(NOT(L238="NEGATIV EV"),L238&gt;[1]Übersicht!L238),"BET365",IF([1]Übersicht!L238="NO BET","BET365","PINNACLE"))))</f>
        <v>BET365</v>
      </c>
      <c r="O238" s="138" t="e">
        <f>IF(OR(N238="",N238="NO BET"),"",IF(N238="PINNACLE",IF([1]Übersicht!K238="T1",[1]Übersicht!G238*[1]Übersicht!M238-[1]Übersicht!M238,[1]Übersicht!H238*[1]Übersicht!M238-[1]Übersicht!M238),IF(K238="T1",G238*M238*0.95-M238,H238*M238*0.95-M238)))</f>
        <v>#VALUE!</v>
      </c>
      <c r="P238" s="136"/>
      <c r="Q238" s="69"/>
      <c r="R238" s="52">
        <f>IF(OR(P238="",N238="NO BET"),0,IF(K238=P238,O238,IF(N238="PINNACLE",-[1]Übersicht!M238,-M238)))</f>
        <v>0</v>
      </c>
      <c r="S238" s="69"/>
      <c r="T238" s="241"/>
      <c r="U238" s="9"/>
    </row>
    <row r="239" spans="1:21" ht="16.5" thickBot="1" x14ac:dyDescent="0.25">
      <c r="A239" s="243"/>
      <c r="B239" s="246"/>
      <c r="C239" s="167"/>
      <c r="D239" s="7"/>
      <c r="E239" s="7"/>
      <c r="F239" s="7" t="str">
        <f t="shared" si="52"/>
        <v/>
      </c>
      <c r="G239" s="7"/>
      <c r="H239" s="7"/>
      <c r="I239" s="7" t="str">
        <f t="shared" si="48"/>
        <v/>
      </c>
      <c r="J239" s="7" t="str">
        <f t="shared" si="53"/>
        <v/>
      </c>
      <c r="K239" s="7" t="str">
        <f t="shared" si="49"/>
        <v/>
      </c>
      <c r="L239" s="131" t="str">
        <f t="shared" ref="L239:L242" si="54">IF(AND(K239=""),"",IF(AND((J239*0.95-1)&lt;0,(I239*0.95-1)&lt;0),"NEGATIV EV", IF(AND(K239="T1"),I239*0.95 - 1,J239*0.95 - 1)))</f>
        <v/>
      </c>
      <c r="M239" s="59" t="str">
        <f t="shared" ref="M239:M242" si="55">IF(L239="","",IF(L239&lt;0.5,K$2*M$2,IF(L239&lt;0.75,K$2*M$3,IF(L239&lt;1,K$2*M$4,IF(L239&lt;1.25,K$2*M$5,IF(L239&lt;1.5,K$2*M$6,IF(L239&lt;2,K$2*M$7,IF(L239&lt;2.5,K$2*M$8,IF(L239="NEGATIV EV","NEGATIV EV",K$2*M$9)))))))))</f>
        <v/>
      </c>
      <c r="N239" s="133" t="str">
        <f>IF(AND(L239="",[1]Übersicht!L239=""),"",IF(AND(L239="NEGATIV EV",[1]Übersicht!L239="NO BET"),"NO BET",IF(AND(NOT(L239="NEGATIV EV"),L239&gt;[1]Übersicht!L239),"BET365",IF([1]Übersicht!L239="NO BET","BET365","PINNACLE"))))</f>
        <v>BET365</v>
      </c>
      <c r="O239" s="140" t="e">
        <f>IF(OR(N239="",N239="NO BET"),"",IF(N239="PINNACLE",IF([1]Übersicht!K239="T1",[1]Übersicht!G239*[1]Übersicht!M239-[1]Übersicht!M239,[1]Übersicht!H239*[1]Übersicht!M239-[1]Übersicht!M239),IF(K239="T1",G239*M239*0.95-M239,H239*M239*0.95-M239)))</f>
        <v>#VALUE!</v>
      </c>
      <c r="P239" s="56"/>
      <c r="Q239" s="69"/>
      <c r="R239" s="52">
        <f>IF(OR(P239="",N239="NO BET"),0,IF(K239=P239,O239,IF(N239="PINNACLE",-[1]Übersicht!M239,-M239)))</f>
        <v>0</v>
      </c>
      <c r="S239" s="69"/>
      <c r="T239" s="61" t="s">
        <v>31</v>
      </c>
      <c r="U239" s="9"/>
    </row>
    <row r="240" spans="1:21" ht="15.75" customHeight="1" thickBot="1" x14ac:dyDescent="0.25">
      <c r="A240" s="243"/>
      <c r="B240" s="246"/>
      <c r="C240" s="166"/>
      <c r="D240" s="53"/>
      <c r="E240" s="53"/>
      <c r="F240" s="53" t="str">
        <f t="shared" si="52"/>
        <v/>
      </c>
      <c r="G240" s="53"/>
      <c r="H240" s="53"/>
      <c r="I240" s="53" t="str">
        <f t="shared" si="48"/>
        <v/>
      </c>
      <c r="J240" s="53" t="str">
        <f t="shared" si="53"/>
        <v/>
      </c>
      <c r="K240" s="53" t="str">
        <f t="shared" si="49"/>
        <v/>
      </c>
      <c r="L240" s="130" t="str">
        <f t="shared" si="54"/>
        <v/>
      </c>
      <c r="M240" s="62" t="str">
        <f t="shared" si="55"/>
        <v/>
      </c>
      <c r="N240" s="133" t="str">
        <f>IF(AND(L240="",[1]Übersicht!L240=""),"",IF(AND(L240="NEGATIV EV",[1]Übersicht!L240="NO BET"),"NO BET",IF(AND(NOT(L240="NEGATIV EV"),L240&gt;[1]Übersicht!L240),"BET365",IF([1]Übersicht!L240="NO BET","BET365","PINNACLE"))))</f>
        <v>BET365</v>
      </c>
      <c r="O240" s="138" t="e">
        <f>IF(OR(N240="",N240="NO BET"),"",IF(N240="PINNACLE",IF([1]Übersicht!K240="T1",[1]Übersicht!G240*[1]Übersicht!M240-[1]Übersicht!M240,[1]Übersicht!H240*[1]Übersicht!M240-[1]Übersicht!M240),IF(K240="T1",G240*M240*0.95-M240,H240*M240*0.95-M240)))</f>
        <v>#VALUE!</v>
      </c>
      <c r="P240" s="136"/>
      <c r="Q240" s="69"/>
      <c r="R240" s="52">
        <f>IF(OR(P240="",N240="NO BET"),0,IF(K240=P240,O240,IF(N240="PINNACLE",-[1]Übersicht!M240,-M240)))</f>
        <v>0</v>
      </c>
      <c r="S240" s="69"/>
      <c r="T240" s="248" t="e">
        <f>IF(AND(NOT(N233=0)),T233/N233,0)</f>
        <v>#VALUE!</v>
      </c>
      <c r="U240" s="9"/>
    </row>
    <row r="241" spans="1:21" ht="15.75" customHeight="1" thickBot="1" x14ac:dyDescent="0.25">
      <c r="A241" s="243"/>
      <c r="B241" s="246"/>
      <c r="C241" s="167"/>
      <c r="D241" s="7"/>
      <c r="E241" s="7"/>
      <c r="F241" s="7" t="str">
        <f t="shared" si="52"/>
        <v/>
      </c>
      <c r="G241" s="7"/>
      <c r="H241" s="7"/>
      <c r="I241" s="7" t="str">
        <f t="shared" si="48"/>
        <v/>
      </c>
      <c r="J241" s="7" t="str">
        <f t="shared" si="53"/>
        <v/>
      </c>
      <c r="K241" s="7" t="str">
        <f t="shared" si="49"/>
        <v/>
      </c>
      <c r="L241" s="131" t="str">
        <f t="shared" si="54"/>
        <v/>
      </c>
      <c r="M241" s="60" t="str">
        <f t="shared" si="55"/>
        <v/>
      </c>
      <c r="N241" s="133" t="str">
        <f>IF(AND(L241="",[1]Übersicht!L241=""),"",IF(AND(L241="NEGATIV EV",[1]Übersicht!L241="NO BET"),"NO BET",IF(AND(NOT(L241="NEGATIV EV"),L241&gt;[1]Übersicht!L241),"BET365",IF([1]Übersicht!L241="NO BET","BET365","PINNACLE"))))</f>
        <v>BET365</v>
      </c>
      <c r="O241" s="139" t="e">
        <f>IF(OR(N241="",N241="NO BET"),"",IF(N241="PINNACLE",IF([1]Übersicht!K241="T1",[1]Übersicht!G241*[1]Übersicht!M241-[1]Übersicht!M241,[1]Übersicht!H241*[1]Übersicht!M241-[1]Übersicht!M241),IF(K241="T1",G241*M241*0.95-M241,H241*M241*0.95-M241)))</f>
        <v>#VALUE!</v>
      </c>
      <c r="P241" s="136"/>
      <c r="Q241" s="69"/>
      <c r="R241" s="52">
        <f>IF(OR(P241="",N241="NO BET"),0,IF(K241=P241,O241,IF(N241="PINNACLE",-[1]Übersicht!M241,-M241)))</f>
        <v>0</v>
      </c>
      <c r="S241" s="69"/>
      <c r="T241" s="249"/>
      <c r="U241" s="9"/>
    </row>
    <row r="242" spans="1:21" ht="15.75" customHeight="1" thickBot="1" x14ac:dyDescent="0.25">
      <c r="A242" s="244"/>
      <c r="B242" s="247"/>
      <c r="C242" s="168"/>
      <c r="D242" s="63"/>
      <c r="E242" s="63"/>
      <c r="F242" s="63" t="str">
        <f t="shared" si="52"/>
        <v/>
      </c>
      <c r="G242" s="63"/>
      <c r="H242" s="63"/>
      <c r="I242" s="63" t="str">
        <f t="shared" si="48"/>
        <v/>
      </c>
      <c r="J242" s="63" t="str">
        <f t="shared" si="53"/>
        <v/>
      </c>
      <c r="K242" s="63" t="str">
        <f t="shared" si="49"/>
        <v/>
      </c>
      <c r="L242" s="132" t="str">
        <f t="shared" si="54"/>
        <v/>
      </c>
      <c r="M242" s="65" t="str">
        <f t="shared" si="55"/>
        <v/>
      </c>
      <c r="N242" s="133" t="str">
        <f>IF(AND(L242="",[1]Übersicht!L242=""),"",IF(AND(L242="NEGATIV EV",[1]Übersicht!L242="NO BET"),"NO BET",IF(AND(NOT(L242="NEGATIV EV"),L242&gt;[1]Übersicht!L242),"BET365",IF([1]Übersicht!L242="NO BET","BET365","PINNACLE"))))</f>
        <v>BET365</v>
      </c>
      <c r="O242" s="138" t="e">
        <f>IF(OR(N242="",N242="NO BET"),"",IF(N242="PINNACLE",IF([1]Übersicht!K242="T1",[1]Übersicht!G242*[1]Übersicht!M242-[1]Übersicht!M242,[1]Übersicht!H242*[1]Übersicht!M242-[1]Übersicht!M242),IF(K242="T1",G242*M242*0.95-M242,H242*M242*0.95-M242)))</f>
        <v>#VALUE!</v>
      </c>
      <c r="P242" s="66"/>
      <c r="Q242" s="9"/>
      <c r="R242" s="135">
        <f>IF(OR(P242="",N242="NO BET"),0,IF(K242=P242,O242,IF(N242="PINNACLE",-[1]Übersicht!M242,-M242)))</f>
        <v>0</v>
      </c>
      <c r="S242" s="9"/>
      <c r="T242" s="250"/>
      <c r="U242" s="9"/>
    </row>
    <row r="243" spans="1:21" x14ac:dyDescent="0.2">
      <c r="A243" s="9"/>
      <c r="B243" s="9"/>
      <c r="C243" s="11"/>
      <c r="D243" s="9"/>
      <c r="E243" s="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10"/>
      <c r="S243" s="9"/>
      <c r="T243" s="11"/>
      <c r="U243" s="9"/>
    </row>
    <row r="244" spans="1:21" x14ac:dyDescent="0.2">
      <c r="A244" s="9"/>
      <c r="B244" s="9"/>
      <c r="C244" s="11"/>
      <c r="D244" s="9"/>
      <c r="E244" s="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10"/>
      <c r="S244" s="9"/>
      <c r="T244" s="11"/>
      <c r="U244" s="9"/>
    </row>
    <row r="245" spans="1:21" ht="15.75" thickBot="1" x14ac:dyDescent="0.25">
      <c r="A245" s="9"/>
      <c r="B245" s="9"/>
      <c r="C245" s="11"/>
      <c r="D245" s="9"/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10"/>
      <c r="S245" s="9"/>
      <c r="T245" s="11"/>
      <c r="U245" s="9"/>
    </row>
    <row r="246" spans="1:21" ht="19.5" customHeight="1" thickBot="1" x14ac:dyDescent="0.25">
      <c r="A246" s="242" t="s">
        <v>5</v>
      </c>
      <c r="B246" s="245" t="s">
        <v>26</v>
      </c>
      <c r="C246" s="160"/>
      <c r="D246" s="43" t="s">
        <v>9</v>
      </c>
      <c r="E246" s="43" t="s">
        <v>10</v>
      </c>
      <c r="F246" s="43" t="s">
        <v>11</v>
      </c>
      <c r="G246" s="43" t="s">
        <v>12</v>
      </c>
      <c r="H246" s="43" t="s">
        <v>13</v>
      </c>
      <c r="I246" s="43" t="s">
        <v>14</v>
      </c>
      <c r="J246" s="43" t="s">
        <v>15</v>
      </c>
      <c r="K246" s="43" t="s">
        <v>33</v>
      </c>
      <c r="L246" s="43" t="s">
        <v>16</v>
      </c>
      <c r="M246" s="43" t="s">
        <v>38</v>
      </c>
      <c r="N246" s="128" t="s">
        <v>87</v>
      </c>
      <c r="O246" s="128" t="s">
        <v>89</v>
      </c>
      <c r="P246" s="137" t="s">
        <v>18</v>
      </c>
      <c r="Q246" s="69"/>
      <c r="R246" s="134" t="s">
        <v>34</v>
      </c>
      <c r="S246" s="69"/>
      <c r="T246" s="47" t="s">
        <v>29</v>
      </c>
      <c r="U246" s="9"/>
    </row>
    <row r="247" spans="1:21" ht="15.75" customHeight="1" thickBot="1" x14ac:dyDescent="0.25">
      <c r="A247" s="243"/>
      <c r="B247" s="246"/>
      <c r="C247" s="165"/>
      <c r="D247" s="48"/>
      <c r="E247" s="48"/>
      <c r="F247" s="48" t="str">
        <f>IF(AND(C247=""),"",1-C247)</f>
        <v/>
      </c>
      <c r="G247" s="48"/>
      <c r="H247" s="48"/>
      <c r="I247" s="48" t="str">
        <f t="shared" ref="I247:I256" si="56">IF(AND(C247=""),"",G247*C247)</f>
        <v/>
      </c>
      <c r="J247" s="48" t="str">
        <f>IF(AND(C247=""),"",H247*F247)</f>
        <v/>
      </c>
      <c r="K247" s="48" t="str">
        <f t="shared" ref="K247:K256" si="57">IF(AND(I247=""),"",IF(AND(I247&gt;J247),"T1","T2"))</f>
        <v/>
      </c>
      <c r="L247" s="129" t="str">
        <f t="shared" ref="L247:L251" si="58">IF(AND(K247=""),"",IF(AND((J247*0.95-1)&lt;0,(I247*0.95-1)&lt;0),"NEGATIV EV", IF(AND(K247="T1"),I247*0.95 - 1,J247*0.95 - 1)))</f>
        <v/>
      </c>
      <c r="M247" s="50" t="str">
        <f t="shared" ref="M247:M251" si="59">IF(L247="","",IF(L247&lt;0.5,K$2*M$2,IF(L247&lt;0.75,K$2*M$3,IF(L247&lt;1,K$2*M$4,IF(L247&lt;1.25,K$2*M$5,IF(L247&lt;1.5,K$2*M$6,IF(L247&lt;2,K$2*M$7,IF(L247&lt;2.5,K$2*M$8,IF(L247="NEGATIV EV","NEGATIV EV",K$2*M$9)))))))))</f>
        <v/>
      </c>
      <c r="N247" s="133" t="str">
        <f>IF(AND(L247="",[1]Übersicht!L247=""),"",IF(AND(L247="NEGATIV EV",[1]Übersicht!L247="NO BET"),"NO BET",IF(AND(NOT(L247="NEGATIV EV"),L247&gt;[1]Übersicht!L247),"BET365",IF([1]Übersicht!L247="NO BET","BET365","PINNACLE"))))</f>
        <v>BET365</v>
      </c>
      <c r="O247" s="140" t="e">
        <f>IF(OR(N247="",N247="NO BET"),"",IF(N247="PINNACLE",IF([1]Übersicht!K247="T1",[1]Übersicht!G247*[1]Übersicht!M247-[1]Übersicht!M247,[1]Übersicht!H247*[1]Übersicht!M247-[1]Übersicht!M247),IF(K247="T1",G247*M247*0.95-M247,H247*M247*0.95-M247)))</f>
        <v>#VALUE!</v>
      </c>
      <c r="P247" s="136"/>
      <c r="Q247" s="70"/>
      <c r="R247" s="52">
        <f>IF(OR(P247="",N247="NO BET"),0,IF(K247=P247,O247,IF(N247="PINNACLE",-[1]Übersicht!M247,-M247)))</f>
        <v>0</v>
      </c>
      <c r="S247" s="69"/>
      <c r="T247" s="241">
        <f>SUM(R247:R256)</f>
        <v>0</v>
      </c>
      <c r="U247" s="9"/>
    </row>
    <row r="248" spans="1:21" ht="15.75" customHeight="1" thickBot="1" x14ac:dyDescent="0.25">
      <c r="A248" s="243"/>
      <c r="B248" s="246"/>
      <c r="C248" s="166"/>
      <c r="D248" s="53"/>
      <c r="E248" s="53"/>
      <c r="F248" s="53" t="str">
        <f t="shared" ref="F248:F256" si="60">IF(AND(C248=""),"",1-C248)</f>
        <v/>
      </c>
      <c r="G248" s="53"/>
      <c r="H248" s="53"/>
      <c r="I248" s="53" t="str">
        <f t="shared" si="56"/>
        <v/>
      </c>
      <c r="J248" s="53" t="str">
        <f t="shared" ref="J248:J256" si="61">IF(AND(C248=""),"",H248*F248)</f>
        <v/>
      </c>
      <c r="K248" s="53" t="str">
        <f t="shared" si="57"/>
        <v/>
      </c>
      <c r="L248" s="130" t="str">
        <f t="shared" si="58"/>
        <v/>
      </c>
      <c r="M248" s="55" t="str">
        <f t="shared" si="59"/>
        <v/>
      </c>
      <c r="N248" s="133" t="str">
        <f>IF(AND(L248="",[1]Übersicht!L248=""),"",IF(AND(L248="NEGATIV EV",[1]Übersicht!L248="NO BET"),"NO BET",IF(AND(NOT(L248="NEGATIV EV"),L248&gt;[1]Übersicht!L248),"BET365",IF([1]Übersicht!L248="NO BET","BET365","PINNACLE"))))</f>
        <v>BET365</v>
      </c>
      <c r="O248" s="138" t="e">
        <f>IF(OR(N248="",N248="NO BET"),"",IF(N248="PINNACLE",IF([1]Übersicht!K248="T1",[1]Übersicht!G248*[1]Übersicht!M248-[1]Übersicht!M248,[1]Übersicht!H248*[1]Übersicht!M248-[1]Übersicht!M248),IF(K248="T1",G248*M248*0.95-M248,H248*M248*0.95-M248)))</f>
        <v>#VALUE!</v>
      </c>
      <c r="P248" s="136"/>
      <c r="Q248" s="69"/>
      <c r="R248" s="52">
        <f>IF(OR(P248="",N248="NO BET"),0,IF(K248=P248,O248,IF(N248="PINNACLE",-[1]Übersicht!M248,-M248)))</f>
        <v>0</v>
      </c>
      <c r="S248" s="69"/>
      <c r="T248" s="241"/>
      <c r="U248" s="9"/>
    </row>
    <row r="249" spans="1:21" ht="15.75" customHeight="1" thickBot="1" x14ac:dyDescent="0.25">
      <c r="A249" s="243"/>
      <c r="B249" s="246"/>
      <c r="C249" s="167"/>
      <c r="D249" s="7"/>
      <c r="E249" s="7"/>
      <c r="F249" s="7" t="str">
        <f t="shared" si="60"/>
        <v/>
      </c>
      <c r="G249" s="7"/>
      <c r="H249" s="7"/>
      <c r="I249" s="7" t="str">
        <f t="shared" si="56"/>
        <v/>
      </c>
      <c r="J249" s="7" t="str">
        <f t="shared" si="61"/>
        <v/>
      </c>
      <c r="K249" s="7" t="str">
        <f t="shared" si="57"/>
        <v/>
      </c>
      <c r="L249" s="131" t="str">
        <f t="shared" si="58"/>
        <v/>
      </c>
      <c r="M249" s="59" t="str">
        <f t="shared" si="59"/>
        <v/>
      </c>
      <c r="N249" s="133" t="str">
        <f>IF(AND(L249="",[1]Übersicht!L249=""),"",IF(AND(L249="NEGATIV EV",[1]Übersicht!L249="NO BET"),"NO BET",IF(AND(NOT(L249="NEGATIV EV"),L249&gt;[1]Übersicht!L249),"BET365",IF([1]Übersicht!L249="NO BET","BET365","PINNACLE"))))</f>
        <v>BET365</v>
      </c>
      <c r="O249" s="140" t="e">
        <f>IF(OR(N249="",N249="NO BET"),"",IF(N249="PINNACLE",IF([1]Übersicht!K249="T1",[1]Übersicht!G249*[1]Übersicht!M249-[1]Übersicht!M249,[1]Übersicht!H249*[1]Übersicht!M249-[1]Übersicht!M249),IF(K249="T1",G249*M249*0.95-M249,H249*M249*0.95-M249)))</f>
        <v>#VALUE!</v>
      </c>
      <c r="P249" s="136"/>
      <c r="Q249" s="69"/>
      <c r="R249" s="52">
        <f>IF(OR(P249="",N249="NO BET"),0,IF(K249=P249,O249,IF(N249="PINNACLE",-[1]Übersicht!M249,-M249)))</f>
        <v>0</v>
      </c>
      <c r="S249" s="69"/>
      <c r="T249" s="241"/>
      <c r="U249" s="9"/>
    </row>
    <row r="250" spans="1:21" ht="15.75" customHeight="1" thickBot="1" x14ac:dyDescent="0.25">
      <c r="A250" s="243"/>
      <c r="B250" s="246"/>
      <c r="C250" s="166"/>
      <c r="D250" s="53"/>
      <c r="E250" s="53"/>
      <c r="F250" s="53" t="str">
        <f t="shared" si="60"/>
        <v/>
      </c>
      <c r="G250" s="53"/>
      <c r="H250" s="53"/>
      <c r="I250" s="53" t="str">
        <f t="shared" si="56"/>
        <v/>
      </c>
      <c r="J250" s="53" t="str">
        <f t="shared" si="61"/>
        <v/>
      </c>
      <c r="K250" s="53" t="str">
        <f t="shared" si="57"/>
        <v/>
      </c>
      <c r="L250" s="130" t="str">
        <f t="shared" si="58"/>
        <v/>
      </c>
      <c r="M250" s="55" t="str">
        <f t="shared" si="59"/>
        <v/>
      </c>
      <c r="N250" s="133" t="str">
        <f>IF(AND(L250="",[1]Übersicht!L250=""),"",IF(AND(L250="NEGATIV EV",[1]Übersicht!L250="NO BET"),"NO BET",IF(AND(NOT(L250="NEGATIV EV"),L250&gt;[1]Übersicht!L250),"BET365",IF([1]Übersicht!L250="NO BET","BET365","PINNACLE"))))</f>
        <v>BET365</v>
      </c>
      <c r="O250" s="138" t="e">
        <f>IF(OR(N250="",N250="NO BET"),"",IF(N250="PINNACLE",IF([1]Übersicht!K250="T1",[1]Übersicht!G250*[1]Übersicht!M250-[1]Übersicht!M250,[1]Übersicht!H250*[1]Übersicht!M250-[1]Übersicht!M250),IF(K250="T1",G250*M250*0.95-M250,H250*M250*0.95-M250)))</f>
        <v>#VALUE!</v>
      </c>
      <c r="P250" s="136"/>
      <c r="Q250" s="69"/>
      <c r="R250" s="52">
        <f>IF(OR(P250="",N250="NO BET"),0,IF(K250=P250,O250,IF(N250="PINNACLE",-[1]Übersicht!M250,-M250)))</f>
        <v>0</v>
      </c>
      <c r="S250" s="69"/>
      <c r="T250" s="241"/>
      <c r="U250" s="9"/>
    </row>
    <row r="251" spans="1:21" ht="15.75" customHeight="1" thickBot="1" x14ac:dyDescent="0.25">
      <c r="A251" s="243"/>
      <c r="B251" s="246"/>
      <c r="C251" s="167"/>
      <c r="D251" s="7"/>
      <c r="E251" s="7"/>
      <c r="F251" s="7" t="str">
        <f t="shared" si="60"/>
        <v/>
      </c>
      <c r="G251" s="7"/>
      <c r="H251" s="7"/>
      <c r="I251" s="7" t="str">
        <f t="shared" si="56"/>
        <v/>
      </c>
      <c r="J251" s="7" t="str">
        <f t="shared" si="61"/>
        <v/>
      </c>
      <c r="K251" s="7" t="str">
        <f t="shared" si="57"/>
        <v/>
      </c>
      <c r="L251" s="131" t="str">
        <f t="shared" si="58"/>
        <v/>
      </c>
      <c r="M251" s="60" t="str">
        <f t="shared" si="59"/>
        <v/>
      </c>
      <c r="N251" s="133" t="str">
        <f>IF(AND(L251="",[1]Übersicht!L251=""),"",IF(AND(L251="NEGATIV EV",[1]Übersicht!L251="NO BET"),"NO BET",IF(AND(NOT(L251="NEGATIV EV"),L251&gt;[1]Übersicht!L251),"BET365",IF([1]Übersicht!L251="NO BET","BET365","PINNACLE"))))</f>
        <v>BET365</v>
      </c>
      <c r="O251" s="140" t="e">
        <f>IF(OR(N251="",N251="NO BET"),"",IF(N251="PINNACLE",IF([1]Übersicht!K251="T1",[1]Übersicht!G251*[1]Übersicht!M251-[1]Übersicht!M251,[1]Übersicht!H251*[1]Übersicht!M251-[1]Übersicht!M251),IF(K251="T1",G251*M251*0.95-M251,H251*M251*0.95-M251)))</f>
        <v>#VALUE!</v>
      </c>
      <c r="P251" s="136"/>
      <c r="Q251" s="69"/>
      <c r="R251" s="52">
        <f>IF(OR(P251="",N251="NO BET"),0,IF(K251=P251,O251,IF(N251="PINNACLE",-[1]Übersicht!M251,-M251)))</f>
        <v>0</v>
      </c>
      <c r="S251" s="69"/>
      <c r="T251" s="241"/>
      <c r="U251" s="9"/>
    </row>
    <row r="252" spans="1:21" ht="15.75" customHeight="1" thickBot="1" x14ac:dyDescent="0.25">
      <c r="A252" s="243"/>
      <c r="B252" s="246"/>
      <c r="C252" s="166"/>
      <c r="D252" s="53"/>
      <c r="E252" s="53"/>
      <c r="F252" s="53" t="str">
        <f t="shared" si="60"/>
        <v/>
      </c>
      <c r="G252" s="53"/>
      <c r="H252" s="53"/>
      <c r="I252" s="53" t="str">
        <f t="shared" si="56"/>
        <v/>
      </c>
      <c r="J252" s="53" t="str">
        <f t="shared" si="61"/>
        <v/>
      </c>
      <c r="K252" s="53" t="str">
        <f t="shared" si="57"/>
        <v/>
      </c>
      <c r="L252" s="130" t="str">
        <f>IF(AND(K252=""),"",IF(AND((J252*0.95-1)&lt;0,(I252*0.95-1)&lt;0),"NEGATIV EV", IF(AND(K252="T1"),I252*0.95 - 1,J252*0.95 - 1)))</f>
        <v/>
      </c>
      <c r="M252" s="55" t="str">
        <f>IF(L252="","",IF(L252&lt;0.5,K$2*M$2,IF(L252&lt;0.75,K$2*M$3,IF(L252&lt;1,K$2*M$4,IF(L252&lt;1.25,K$2*M$5,IF(L252&lt;1.5,K$2*M$6,IF(L252&lt;2,K$2*M$7,IF(L252&lt;2.5,K$2*M$8,IF(L252="NEGATIV EV","NEGATIV EV",K$2*M$9)))))))))</f>
        <v/>
      </c>
      <c r="N252" s="133" t="str">
        <f>IF(AND(L252="",[1]Übersicht!L252=""),"",IF(AND(L252="NEGATIV EV",[1]Übersicht!L252="NO BET"),"NO BET",IF(AND(NOT(L252="NEGATIV EV"),L252&gt;[1]Übersicht!L252),"BET365",IF([1]Übersicht!L252="NO BET","BET365","PINNACLE"))))</f>
        <v>BET365</v>
      </c>
      <c r="O252" s="138" t="e">
        <f>IF(OR(N252="",N252="NO BET"),"",IF(N252="PINNACLE",IF([1]Übersicht!K252="T1",[1]Übersicht!G252*[1]Übersicht!M252-[1]Übersicht!M252,[1]Übersicht!H252*[1]Übersicht!M252-[1]Übersicht!M252),IF(K252="T1",G252*M252*0.95-M252,H252*M252*0.95-M252)))</f>
        <v>#VALUE!</v>
      </c>
      <c r="P252" s="136"/>
      <c r="Q252" s="69"/>
      <c r="R252" s="52">
        <f>IF(OR(P252="",N252="NO BET"),0,IF(K252=P252,O252,IF(N252="PINNACLE",-[1]Übersicht!M252,-M252)))</f>
        <v>0</v>
      </c>
      <c r="S252" s="69"/>
      <c r="T252" s="241"/>
      <c r="U252" s="9"/>
    </row>
    <row r="253" spans="1:21" ht="16.5" thickBot="1" x14ac:dyDescent="0.25">
      <c r="A253" s="243"/>
      <c r="B253" s="246"/>
      <c r="C253" s="167"/>
      <c r="D253" s="7"/>
      <c r="E253" s="7"/>
      <c r="F253" s="7" t="str">
        <f t="shared" si="60"/>
        <v/>
      </c>
      <c r="G253" s="7"/>
      <c r="H253" s="7"/>
      <c r="I253" s="7" t="str">
        <f t="shared" si="56"/>
        <v/>
      </c>
      <c r="J253" s="7" t="str">
        <f t="shared" si="61"/>
        <v/>
      </c>
      <c r="K253" s="7" t="str">
        <f t="shared" si="57"/>
        <v/>
      </c>
      <c r="L253" s="131" t="str">
        <f t="shared" ref="L253:L256" si="62">IF(AND(K253=""),"",IF(AND((J253*0.95-1)&lt;0,(I253*0.95-1)&lt;0),"NEGATIV EV", IF(AND(K253="T1"),I253*0.95 - 1,J253*0.95 - 1)))</f>
        <v/>
      </c>
      <c r="M253" s="59" t="str">
        <f t="shared" ref="M253:M256" si="63">IF(L253="","",IF(L253&lt;0.5,K$2*M$2,IF(L253&lt;0.75,K$2*M$3,IF(L253&lt;1,K$2*M$4,IF(L253&lt;1.25,K$2*M$5,IF(L253&lt;1.5,K$2*M$6,IF(L253&lt;2,K$2*M$7,IF(L253&lt;2.5,K$2*M$8,IF(L253="NEGATIV EV","NEGATIV EV",K$2*M$9)))))))))</f>
        <v/>
      </c>
      <c r="N253" s="133" t="str">
        <f>IF(AND(L253="",[1]Übersicht!L253=""),"",IF(AND(L253="NEGATIV EV",[1]Übersicht!L253="NO BET"),"NO BET",IF(AND(NOT(L253="NEGATIV EV"),L253&gt;[1]Übersicht!L253),"BET365",IF([1]Übersicht!L253="NO BET","BET365","PINNACLE"))))</f>
        <v>BET365</v>
      </c>
      <c r="O253" s="140" t="e">
        <f>IF(OR(N253="",N253="NO BET"),"",IF(N253="PINNACLE",IF([1]Übersicht!K253="T1",[1]Übersicht!G253*[1]Übersicht!M253-[1]Übersicht!M253,[1]Übersicht!H253*[1]Übersicht!M253-[1]Übersicht!M253),IF(K253="T1",G253*M253*0.95-M253,H253*M253*0.95-M253)))</f>
        <v>#VALUE!</v>
      </c>
      <c r="P253" s="56"/>
      <c r="Q253" s="69"/>
      <c r="R253" s="52">
        <f>IF(OR(P253="",N253="NO BET"),0,IF(K253=P253,O253,IF(N253="PINNACLE",-[1]Übersicht!M253,-M253)))</f>
        <v>0</v>
      </c>
      <c r="S253" s="69"/>
      <c r="T253" s="61" t="s">
        <v>31</v>
      </c>
      <c r="U253" s="9"/>
    </row>
    <row r="254" spans="1:21" ht="15.75" customHeight="1" thickBot="1" x14ac:dyDescent="0.25">
      <c r="A254" s="243"/>
      <c r="B254" s="246"/>
      <c r="C254" s="166"/>
      <c r="D254" s="53"/>
      <c r="E254" s="53"/>
      <c r="F254" s="53" t="str">
        <f t="shared" si="60"/>
        <v/>
      </c>
      <c r="G254" s="53"/>
      <c r="H254" s="53"/>
      <c r="I254" s="53" t="str">
        <f t="shared" si="56"/>
        <v/>
      </c>
      <c r="J254" s="53" t="str">
        <f t="shared" si="61"/>
        <v/>
      </c>
      <c r="K254" s="53" t="str">
        <f t="shared" si="57"/>
        <v/>
      </c>
      <c r="L254" s="130" t="str">
        <f t="shared" si="62"/>
        <v/>
      </c>
      <c r="M254" s="62" t="str">
        <f t="shared" si="63"/>
        <v/>
      </c>
      <c r="N254" s="133" t="str">
        <f>IF(AND(L254="",[1]Übersicht!L254=""),"",IF(AND(L254="NEGATIV EV",[1]Übersicht!L254="NO BET"),"NO BET",IF(AND(NOT(L254="NEGATIV EV"),L254&gt;[1]Übersicht!L254),"BET365",IF([1]Übersicht!L254="NO BET","BET365","PINNACLE"))))</f>
        <v>BET365</v>
      </c>
      <c r="O254" s="138" t="e">
        <f>IF(OR(N254="",N254="NO BET"),"",IF(N254="PINNACLE",IF([1]Übersicht!K254="T1",[1]Übersicht!G254*[1]Übersicht!M254-[1]Übersicht!M254,[1]Übersicht!H254*[1]Übersicht!M254-[1]Übersicht!M254),IF(K254="T1",G254*M254*0.95-M254,H254*M254*0.95-M254)))</f>
        <v>#VALUE!</v>
      </c>
      <c r="P254" s="136"/>
      <c r="Q254" s="69"/>
      <c r="R254" s="52">
        <f>IF(OR(P254="",N254="NO BET"),0,IF(K254=P254,O254,IF(N254="PINNACLE",-[1]Übersicht!M254,-M254)))</f>
        <v>0</v>
      </c>
      <c r="S254" s="69"/>
      <c r="T254" s="248" t="e">
        <f>IF(AND(NOT(N247=0)),T247/N247,0)</f>
        <v>#VALUE!</v>
      </c>
      <c r="U254" s="9"/>
    </row>
    <row r="255" spans="1:21" ht="15.75" customHeight="1" thickBot="1" x14ac:dyDescent="0.25">
      <c r="A255" s="243"/>
      <c r="B255" s="246"/>
      <c r="C255" s="167"/>
      <c r="D255" s="7"/>
      <c r="E255" s="7"/>
      <c r="F255" s="7" t="str">
        <f t="shared" si="60"/>
        <v/>
      </c>
      <c r="G255" s="7"/>
      <c r="H255" s="7"/>
      <c r="I255" s="7" t="str">
        <f t="shared" si="56"/>
        <v/>
      </c>
      <c r="J255" s="7" t="str">
        <f t="shared" si="61"/>
        <v/>
      </c>
      <c r="K255" s="7" t="str">
        <f t="shared" si="57"/>
        <v/>
      </c>
      <c r="L255" s="131" t="str">
        <f t="shared" si="62"/>
        <v/>
      </c>
      <c r="M255" s="60" t="str">
        <f t="shared" si="63"/>
        <v/>
      </c>
      <c r="N255" s="133" t="str">
        <f>IF(AND(L255="",[1]Übersicht!L255=""),"",IF(AND(L255="NEGATIV EV",[1]Übersicht!L255="NO BET"),"NO BET",IF(AND(NOT(L255="NEGATIV EV"),L255&gt;[1]Übersicht!L255),"BET365",IF([1]Übersicht!L255="NO BET","BET365","PINNACLE"))))</f>
        <v>BET365</v>
      </c>
      <c r="O255" s="139" t="e">
        <f>IF(OR(N255="",N255="NO BET"),"",IF(N255="PINNACLE",IF([1]Übersicht!K255="T1",[1]Übersicht!G255*[1]Übersicht!M255-[1]Übersicht!M255,[1]Übersicht!H255*[1]Übersicht!M255-[1]Übersicht!M255),IF(K255="T1",G255*M255*0.95-M255,H255*M255*0.95-M255)))</f>
        <v>#VALUE!</v>
      </c>
      <c r="P255" s="136"/>
      <c r="Q255" s="69"/>
      <c r="R255" s="52">
        <f>IF(OR(P255="",N255="NO BET"),0,IF(K255=P255,O255,IF(N255="PINNACLE",-[1]Übersicht!M255,-M255)))</f>
        <v>0</v>
      </c>
      <c r="S255" s="69"/>
      <c r="T255" s="249"/>
      <c r="U255" s="9"/>
    </row>
    <row r="256" spans="1:21" ht="15.75" customHeight="1" thickBot="1" x14ac:dyDescent="0.25">
      <c r="A256" s="244"/>
      <c r="B256" s="247"/>
      <c r="C256" s="168"/>
      <c r="D256" s="63"/>
      <c r="E256" s="63"/>
      <c r="F256" s="63" t="str">
        <f t="shared" si="60"/>
        <v/>
      </c>
      <c r="G256" s="63"/>
      <c r="H256" s="63"/>
      <c r="I256" s="63" t="str">
        <f t="shared" si="56"/>
        <v/>
      </c>
      <c r="J256" s="63" t="str">
        <f t="shared" si="61"/>
        <v/>
      </c>
      <c r="K256" s="63" t="str">
        <f t="shared" si="57"/>
        <v/>
      </c>
      <c r="L256" s="132" t="str">
        <f t="shared" si="62"/>
        <v/>
      </c>
      <c r="M256" s="65" t="str">
        <f t="shared" si="63"/>
        <v/>
      </c>
      <c r="N256" s="133" t="str">
        <f>IF(AND(L256="",[1]Übersicht!L256=""),"",IF(AND(L256="NEGATIV EV",[1]Übersicht!L256="NO BET"),"NO BET",IF(AND(NOT(L256="NEGATIV EV"),L256&gt;[1]Übersicht!L256),"BET365",IF([1]Übersicht!L256="NO BET","BET365","PINNACLE"))))</f>
        <v>BET365</v>
      </c>
      <c r="O256" s="138" t="e">
        <f>IF(OR(N256="",N256="NO BET"),"",IF(N256="PINNACLE",IF([1]Übersicht!K256="T1",[1]Übersicht!G256*[1]Übersicht!M256-[1]Übersicht!M256,[1]Übersicht!H256*[1]Übersicht!M256-[1]Übersicht!M256),IF(K256="T1",G256*M256*0.95-M256,H256*M256*0.95-M256)))</f>
        <v>#VALUE!</v>
      </c>
      <c r="P256" s="66"/>
      <c r="Q256" s="9"/>
      <c r="R256" s="135">
        <f>IF(OR(P256="",N256="NO BET"),0,IF(K256=P256,O256,IF(N256="PINNACLE",-[1]Übersicht!M256,-M256)))</f>
        <v>0</v>
      </c>
      <c r="S256" s="9"/>
      <c r="T256" s="250"/>
      <c r="U256" s="9"/>
    </row>
    <row r="257" spans="1:21" x14ac:dyDescent="0.2">
      <c r="A257" s="9"/>
      <c r="B257" s="9"/>
      <c r="C257" s="11"/>
      <c r="D257" s="9"/>
      <c r="E257" s="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10"/>
      <c r="S257" s="9"/>
      <c r="T257" s="11"/>
      <c r="U257" s="9"/>
    </row>
    <row r="258" spans="1:21" x14ac:dyDescent="0.2">
      <c r="A258" s="9"/>
      <c r="B258" s="9"/>
      <c r="C258" s="11"/>
      <c r="D258" s="9"/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10"/>
      <c r="S258" s="9"/>
      <c r="T258" s="11"/>
      <c r="U258" s="9"/>
    </row>
    <row r="259" spans="1:21" ht="15.75" thickBot="1" x14ac:dyDescent="0.25">
      <c r="A259" s="9"/>
      <c r="B259" s="9"/>
      <c r="C259" s="11"/>
      <c r="D259" s="9"/>
      <c r="E259" s="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10"/>
      <c r="S259" s="9"/>
      <c r="T259" s="11"/>
      <c r="U259" s="9"/>
    </row>
    <row r="260" spans="1:21" ht="19.5" customHeight="1" thickBot="1" x14ac:dyDescent="0.25">
      <c r="A260" s="242" t="s">
        <v>5</v>
      </c>
      <c r="B260" s="245" t="s">
        <v>27</v>
      </c>
      <c r="C260" s="160"/>
      <c r="D260" s="43" t="s">
        <v>9</v>
      </c>
      <c r="E260" s="43" t="s">
        <v>10</v>
      </c>
      <c r="F260" s="43" t="s">
        <v>11</v>
      </c>
      <c r="G260" s="43" t="s">
        <v>12</v>
      </c>
      <c r="H260" s="43" t="s">
        <v>13</v>
      </c>
      <c r="I260" s="43" t="s">
        <v>14</v>
      </c>
      <c r="J260" s="43" t="s">
        <v>15</v>
      </c>
      <c r="K260" s="43" t="s">
        <v>33</v>
      </c>
      <c r="L260" s="43" t="s">
        <v>16</v>
      </c>
      <c r="M260" s="43" t="s">
        <v>38</v>
      </c>
      <c r="N260" s="128" t="s">
        <v>87</v>
      </c>
      <c r="O260" s="128" t="s">
        <v>89</v>
      </c>
      <c r="P260" s="137" t="s">
        <v>18</v>
      </c>
      <c r="Q260" s="69"/>
      <c r="R260" s="134" t="s">
        <v>34</v>
      </c>
      <c r="S260" s="69"/>
      <c r="T260" s="47" t="s">
        <v>29</v>
      </c>
      <c r="U260" s="9"/>
    </row>
    <row r="261" spans="1:21" ht="15.75" customHeight="1" thickBot="1" x14ac:dyDescent="0.25">
      <c r="A261" s="243"/>
      <c r="B261" s="246"/>
      <c r="C261" s="165"/>
      <c r="D261" s="48"/>
      <c r="E261" s="48"/>
      <c r="F261" s="48" t="str">
        <f>IF(AND(C261=""),"",1-C261)</f>
        <v/>
      </c>
      <c r="G261" s="48"/>
      <c r="H261" s="48"/>
      <c r="I261" s="48" t="str">
        <f t="shared" ref="I261:I270" si="64">IF(AND(C261=""),"",G261*C261)</f>
        <v/>
      </c>
      <c r="J261" s="48" t="str">
        <f>IF(AND(C261=""),"",H261*F261)</f>
        <v/>
      </c>
      <c r="K261" s="48" t="str">
        <f t="shared" ref="K261:K270" si="65">IF(AND(I261=""),"",IF(AND(I261&gt;J261),"T1","T2"))</f>
        <v/>
      </c>
      <c r="L261" s="129" t="str">
        <f t="shared" ref="L261:L265" si="66">IF(AND(K261=""),"",IF(AND((J261*0.95-1)&lt;0,(I261*0.95-1)&lt;0),"NEGATIV EV", IF(AND(K261="T1"),I261*0.95 - 1,J261*0.95 - 1)))</f>
        <v/>
      </c>
      <c r="M261" s="50" t="str">
        <f t="shared" ref="M261:M265" si="67">IF(L261="","",IF(L261&lt;0.5,K$2*M$2,IF(L261&lt;0.75,K$2*M$3,IF(L261&lt;1,K$2*M$4,IF(L261&lt;1.25,K$2*M$5,IF(L261&lt;1.5,K$2*M$6,IF(L261&lt;2,K$2*M$7,IF(L261&lt;2.5,K$2*M$8,IF(L261="NEGATIV EV","NEGATIV EV",K$2*M$9)))))))))</f>
        <v/>
      </c>
      <c r="N261" s="133" t="str">
        <f>IF(AND(L261="",[1]Übersicht!L261=""),"",IF(AND(L261="NEGATIV EV",[1]Übersicht!L261="NO BET"),"NO BET",IF(AND(NOT(L261="NEGATIV EV"),L261&gt;[1]Übersicht!L261),"BET365",IF([1]Übersicht!L261="NO BET","BET365","PINNACLE"))))</f>
        <v>BET365</v>
      </c>
      <c r="O261" s="140" t="e">
        <f>IF(OR(N261="",N261="NO BET"),"",IF(N261="PINNACLE",IF([1]Übersicht!K261="T1",[1]Übersicht!G261*[1]Übersicht!M261-[1]Übersicht!M261,[1]Übersicht!H261*[1]Übersicht!M261-[1]Übersicht!M261),IF(K261="T1",G261*M261*0.95-M261,H261*M261*0.95-M261)))</f>
        <v>#VALUE!</v>
      </c>
      <c r="P261" s="136"/>
      <c r="Q261" s="70"/>
      <c r="R261" s="52">
        <f>IF(OR(P261="",N261="NO BET"),0,IF(K261=P261,O261,IF(N261="PINNACLE",-[1]Übersicht!M261,-M261)))</f>
        <v>0</v>
      </c>
      <c r="S261" s="69"/>
      <c r="T261" s="241">
        <f>SUM(R261:R270)</f>
        <v>0</v>
      </c>
      <c r="U261" s="9"/>
    </row>
    <row r="262" spans="1:21" ht="15.75" customHeight="1" thickBot="1" x14ac:dyDescent="0.25">
      <c r="A262" s="243"/>
      <c r="B262" s="246"/>
      <c r="C262" s="166"/>
      <c r="D262" s="53"/>
      <c r="E262" s="53"/>
      <c r="F262" s="53" t="str">
        <f t="shared" ref="F262:F270" si="68">IF(AND(C262=""),"",1-C262)</f>
        <v/>
      </c>
      <c r="G262" s="53"/>
      <c r="H262" s="53"/>
      <c r="I262" s="53" t="str">
        <f t="shared" si="64"/>
        <v/>
      </c>
      <c r="J262" s="53" t="str">
        <f t="shared" ref="J262:J270" si="69">IF(AND(C262=""),"",H262*F262)</f>
        <v/>
      </c>
      <c r="K262" s="53" t="str">
        <f t="shared" si="65"/>
        <v/>
      </c>
      <c r="L262" s="130" t="str">
        <f t="shared" si="66"/>
        <v/>
      </c>
      <c r="M262" s="55" t="str">
        <f t="shared" si="67"/>
        <v/>
      </c>
      <c r="N262" s="133" t="str">
        <f>IF(AND(L262="",[1]Übersicht!L262=""),"",IF(AND(L262="NEGATIV EV",[1]Übersicht!L262="NO BET"),"NO BET",IF(AND(NOT(L262="NEGATIV EV"),L262&gt;[1]Übersicht!L262),"BET365",IF([1]Übersicht!L262="NO BET","BET365","PINNACLE"))))</f>
        <v>BET365</v>
      </c>
      <c r="O262" s="138" t="e">
        <f>IF(OR(N262="",N262="NO BET"),"",IF(N262="PINNACLE",IF([1]Übersicht!K262="T1",[1]Übersicht!G262*[1]Übersicht!M262-[1]Übersicht!M262,[1]Übersicht!H262*[1]Übersicht!M262-[1]Übersicht!M262),IF(K262="T1",G262*M262*0.95-M262,H262*M262*0.95-M262)))</f>
        <v>#VALUE!</v>
      </c>
      <c r="P262" s="136"/>
      <c r="Q262" s="69"/>
      <c r="R262" s="52">
        <f>IF(OR(P262="",N262="NO BET"),0,IF(K262=P262,O262,IF(N262="PINNACLE",-[1]Übersicht!M262,-M262)))</f>
        <v>0</v>
      </c>
      <c r="S262" s="69"/>
      <c r="T262" s="241"/>
      <c r="U262" s="9"/>
    </row>
    <row r="263" spans="1:21" ht="15.75" customHeight="1" thickBot="1" x14ac:dyDescent="0.25">
      <c r="A263" s="243"/>
      <c r="B263" s="246"/>
      <c r="C263" s="167"/>
      <c r="D263" s="7"/>
      <c r="E263" s="7"/>
      <c r="F263" s="7" t="str">
        <f t="shared" si="68"/>
        <v/>
      </c>
      <c r="G263" s="7"/>
      <c r="H263" s="7"/>
      <c r="I263" s="7" t="str">
        <f t="shared" si="64"/>
        <v/>
      </c>
      <c r="J263" s="7" t="str">
        <f t="shared" si="69"/>
        <v/>
      </c>
      <c r="K263" s="7" t="str">
        <f t="shared" si="65"/>
        <v/>
      </c>
      <c r="L263" s="131" t="str">
        <f t="shared" si="66"/>
        <v/>
      </c>
      <c r="M263" s="59" t="str">
        <f t="shared" si="67"/>
        <v/>
      </c>
      <c r="N263" s="133" t="str">
        <f>IF(AND(L263="",[1]Übersicht!L263=""),"",IF(AND(L263="NEGATIV EV",[1]Übersicht!L263="NO BET"),"NO BET",IF(AND(NOT(L263="NEGATIV EV"),L263&gt;[1]Übersicht!L263),"BET365",IF([1]Übersicht!L263="NO BET","BET365","PINNACLE"))))</f>
        <v>BET365</v>
      </c>
      <c r="O263" s="140" t="e">
        <f>IF(OR(N263="",N263="NO BET"),"",IF(N263="PINNACLE",IF([1]Übersicht!K263="T1",[1]Übersicht!G263*[1]Übersicht!M263-[1]Übersicht!M263,[1]Übersicht!H263*[1]Übersicht!M263-[1]Übersicht!M263),IF(K263="T1",G263*M263*0.95-M263,H263*M263*0.95-M263)))</f>
        <v>#VALUE!</v>
      </c>
      <c r="P263" s="136"/>
      <c r="Q263" s="69"/>
      <c r="R263" s="52">
        <f>IF(OR(P263="",N263="NO BET"),0,IF(K263=P263,O263,IF(N263="PINNACLE",-[1]Übersicht!M263,-M263)))</f>
        <v>0</v>
      </c>
      <c r="S263" s="69"/>
      <c r="T263" s="241"/>
      <c r="U263" s="9"/>
    </row>
    <row r="264" spans="1:21" ht="15.75" customHeight="1" thickBot="1" x14ac:dyDescent="0.25">
      <c r="A264" s="243"/>
      <c r="B264" s="246"/>
      <c r="C264" s="166"/>
      <c r="D264" s="53"/>
      <c r="E264" s="53"/>
      <c r="F264" s="53" t="str">
        <f t="shared" si="68"/>
        <v/>
      </c>
      <c r="G264" s="53"/>
      <c r="H264" s="53"/>
      <c r="I264" s="53" t="str">
        <f t="shared" si="64"/>
        <v/>
      </c>
      <c r="J264" s="53" t="str">
        <f t="shared" si="69"/>
        <v/>
      </c>
      <c r="K264" s="53" t="str">
        <f t="shared" si="65"/>
        <v/>
      </c>
      <c r="L264" s="130" t="str">
        <f t="shared" si="66"/>
        <v/>
      </c>
      <c r="M264" s="55" t="str">
        <f t="shared" si="67"/>
        <v/>
      </c>
      <c r="N264" s="133" t="str">
        <f>IF(AND(L264="",[1]Übersicht!L264=""),"",IF(AND(L264="NEGATIV EV",[1]Übersicht!L264="NO BET"),"NO BET",IF(AND(NOT(L264="NEGATIV EV"),L264&gt;[1]Übersicht!L264),"BET365",IF([1]Übersicht!L264="NO BET","BET365","PINNACLE"))))</f>
        <v>BET365</v>
      </c>
      <c r="O264" s="138" t="e">
        <f>IF(OR(N264="",N264="NO BET"),"",IF(N264="PINNACLE",IF([1]Übersicht!K264="T1",[1]Übersicht!G264*[1]Übersicht!M264-[1]Übersicht!M264,[1]Übersicht!H264*[1]Übersicht!M264-[1]Übersicht!M264),IF(K264="T1",G264*M264*0.95-M264,H264*M264*0.95-M264)))</f>
        <v>#VALUE!</v>
      </c>
      <c r="P264" s="136"/>
      <c r="Q264" s="69"/>
      <c r="R264" s="52">
        <f>IF(OR(P264="",N264="NO BET"),0,IF(K264=P264,O264,IF(N264="PINNACLE",-[1]Übersicht!M264,-M264)))</f>
        <v>0</v>
      </c>
      <c r="S264" s="69"/>
      <c r="T264" s="241"/>
      <c r="U264" s="9"/>
    </row>
    <row r="265" spans="1:21" ht="15.75" customHeight="1" thickBot="1" x14ac:dyDescent="0.25">
      <c r="A265" s="243"/>
      <c r="B265" s="246"/>
      <c r="C265" s="167"/>
      <c r="D265" s="7"/>
      <c r="E265" s="7"/>
      <c r="F265" s="7" t="str">
        <f t="shared" si="68"/>
        <v/>
      </c>
      <c r="G265" s="7"/>
      <c r="H265" s="7"/>
      <c r="I265" s="7" t="str">
        <f t="shared" si="64"/>
        <v/>
      </c>
      <c r="J265" s="7" t="str">
        <f t="shared" si="69"/>
        <v/>
      </c>
      <c r="K265" s="7" t="str">
        <f t="shared" si="65"/>
        <v/>
      </c>
      <c r="L265" s="131" t="str">
        <f t="shared" si="66"/>
        <v/>
      </c>
      <c r="M265" s="60" t="str">
        <f t="shared" si="67"/>
        <v/>
      </c>
      <c r="N265" s="133" t="str">
        <f>IF(AND(L265="",[1]Übersicht!L265=""),"",IF(AND(L265="NEGATIV EV",[1]Übersicht!L265="NO BET"),"NO BET",IF(AND(NOT(L265="NEGATIV EV"),L265&gt;[1]Übersicht!L265),"BET365",IF([1]Übersicht!L265="NO BET","BET365","PINNACLE"))))</f>
        <v>BET365</v>
      </c>
      <c r="O265" s="140" t="e">
        <f>IF(OR(N265="",N265="NO BET"),"",IF(N265="PINNACLE",IF([1]Übersicht!K265="T1",[1]Übersicht!G265*[1]Übersicht!M265-[1]Übersicht!M265,[1]Übersicht!H265*[1]Übersicht!M265-[1]Übersicht!M265),IF(K265="T1",G265*M265*0.95-M265,H265*M265*0.95-M265)))</f>
        <v>#VALUE!</v>
      </c>
      <c r="P265" s="136"/>
      <c r="Q265" s="69"/>
      <c r="R265" s="52">
        <f>IF(OR(P265="",N265="NO BET"),0,IF(K265=P265,O265,IF(N265="PINNACLE",-[1]Übersicht!M265,-M265)))</f>
        <v>0</v>
      </c>
      <c r="S265" s="69"/>
      <c r="T265" s="241"/>
      <c r="U265" s="9"/>
    </row>
    <row r="266" spans="1:21" ht="15.75" customHeight="1" thickBot="1" x14ac:dyDescent="0.25">
      <c r="A266" s="243"/>
      <c r="B266" s="246"/>
      <c r="C266" s="166"/>
      <c r="D266" s="53"/>
      <c r="E266" s="53"/>
      <c r="F266" s="53" t="str">
        <f t="shared" si="68"/>
        <v/>
      </c>
      <c r="G266" s="53"/>
      <c r="H266" s="53"/>
      <c r="I266" s="53" t="str">
        <f t="shared" si="64"/>
        <v/>
      </c>
      <c r="J266" s="53" t="str">
        <f t="shared" si="69"/>
        <v/>
      </c>
      <c r="K266" s="53" t="str">
        <f t="shared" si="65"/>
        <v/>
      </c>
      <c r="L266" s="130" t="str">
        <f>IF(AND(K266=""),"",IF(AND((J266*0.95-1)&lt;0,(I266*0.95-1)&lt;0),"NEGATIV EV", IF(AND(K266="T1"),I266*0.95 - 1,J266*0.95 - 1)))</f>
        <v/>
      </c>
      <c r="M266" s="55" t="str">
        <f>IF(L266="","",IF(L266&lt;0.5,K$2*M$2,IF(L266&lt;0.75,K$2*M$3,IF(L266&lt;1,K$2*M$4,IF(L266&lt;1.25,K$2*M$5,IF(L266&lt;1.5,K$2*M$6,IF(L266&lt;2,K$2*M$7,IF(L266&lt;2.5,K$2*M$8,IF(L266="NEGATIV EV","NEGATIV EV",K$2*M$9)))))))))</f>
        <v/>
      </c>
      <c r="N266" s="133" t="str">
        <f>IF(AND(L266="",[1]Übersicht!L266=""),"",IF(AND(L266="NEGATIV EV",[1]Übersicht!L266="NO BET"),"NO BET",IF(AND(NOT(L266="NEGATIV EV"),L266&gt;[1]Übersicht!L266),"BET365",IF([1]Übersicht!L266="NO BET","BET365","PINNACLE"))))</f>
        <v>BET365</v>
      </c>
      <c r="O266" s="138" t="e">
        <f>IF(OR(N266="",N266="NO BET"),"",IF(N266="PINNACLE",IF([1]Übersicht!K266="T1",[1]Übersicht!G266*[1]Übersicht!M266-[1]Übersicht!M266,[1]Übersicht!H266*[1]Übersicht!M266-[1]Übersicht!M266),IF(K266="T1",G266*M266*0.95-M266,H266*M266*0.95-M266)))</f>
        <v>#VALUE!</v>
      </c>
      <c r="P266" s="136"/>
      <c r="Q266" s="69"/>
      <c r="R266" s="52">
        <f>IF(OR(P266="",N266="NO BET"),0,IF(K266=P266,O266,IF(N266="PINNACLE",-[1]Übersicht!M266,-M266)))</f>
        <v>0</v>
      </c>
      <c r="S266" s="69"/>
      <c r="T266" s="241"/>
      <c r="U266" s="9"/>
    </row>
    <row r="267" spans="1:21" ht="16.5" thickBot="1" x14ac:dyDescent="0.25">
      <c r="A267" s="243"/>
      <c r="B267" s="246"/>
      <c r="C267" s="167"/>
      <c r="D267" s="7"/>
      <c r="E267" s="7"/>
      <c r="F267" s="7" t="str">
        <f t="shared" si="68"/>
        <v/>
      </c>
      <c r="G267" s="7"/>
      <c r="H267" s="7"/>
      <c r="I267" s="7" t="str">
        <f t="shared" si="64"/>
        <v/>
      </c>
      <c r="J267" s="7" t="str">
        <f t="shared" si="69"/>
        <v/>
      </c>
      <c r="K267" s="7" t="str">
        <f t="shared" si="65"/>
        <v/>
      </c>
      <c r="L267" s="131" t="str">
        <f t="shared" ref="L267:L270" si="70">IF(AND(K267=""),"",IF(AND((J267*0.95-1)&lt;0,(I267*0.95-1)&lt;0),"NEGATIV EV", IF(AND(K267="T1"),I267*0.95 - 1,J267*0.95 - 1)))</f>
        <v/>
      </c>
      <c r="M267" s="59" t="str">
        <f t="shared" ref="M267:M270" si="71">IF(L267="","",IF(L267&lt;0.5,K$2*M$2,IF(L267&lt;0.75,K$2*M$3,IF(L267&lt;1,K$2*M$4,IF(L267&lt;1.25,K$2*M$5,IF(L267&lt;1.5,K$2*M$6,IF(L267&lt;2,K$2*M$7,IF(L267&lt;2.5,K$2*M$8,IF(L267="NEGATIV EV","NEGATIV EV",K$2*M$9)))))))))</f>
        <v/>
      </c>
      <c r="N267" s="133" t="str">
        <f>IF(AND(L267="",[1]Übersicht!L267=""),"",IF(AND(L267="NEGATIV EV",[1]Übersicht!L267="NO BET"),"NO BET",IF(AND(NOT(L267="NEGATIV EV"),L267&gt;[1]Übersicht!L267),"BET365",IF([1]Übersicht!L267="NO BET","BET365","PINNACLE"))))</f>
        <v>BET365</v>
      </c>
      <c r="O267" s="140" t="e">
        <f>IF(OR(N267="",N267="NO BET"),"",IF(N267="PINNACLE",IF([1]Übersicht!K267="T1",[1]Übersicht!G267*[1]Übersicht!M267-[1]Übersicht!M267,[1]Übersicht!H267*[1]Übersicht!M267-[1]Übersicht!M267),IF(K267="T1",G267*M267*0.95-M267,H267*M267*0.95-M267)))</f>
        <v>#VALUE!</v>
      </c>
      <c r="P267" s="56"/>
      <c r="Q267" s="69"/>
      <c r="R267" s="52">
        <f>IF(OR(P267="",N267="NO BET"),0,IF(K267=P267,O267,IF(N267="PINNACLE",-[1]Übersicht!M267,-M267)))</f>
        <v>0</v>
      </c>
      <c r="S267" s="69"/>
      <c r="T267" s="61" t="s">
        <v>31</v>
      </c>
      <c r="U267" s="9"/>
    </row>
    <row r="268" spans="1:21" ht="15.75" customHeight="1" thickBot="1" x14ac:dyDescent="0.25">
      <c r="A268" s="243"/>
      <c r="B268" s="246"/>
      <c r="C268" s="166"/>
      <c r="D268" s="53"/>
      <c r="E268" s="53"/>
      <c r="F268" s="53" t="str">
        <f t="shared" si="68"/>
        <v/>
      </c>
      <c r="G268" s="53"/>
      <c r="H268" s="53"/>
      <c r="I268" s="53" t="str">
        <f t="shared" si="64"/>
        <v/>
      </c>
      <c r="J268" s="53" t="str">
        <f t="shared" si="69"/>
        <v/>
      </c>
      <c r="K268" s="53" t="str">
        <f t="shared" si="65"/>
        <v/>
      </c>
      <c r="L268" s="130" t="str">
        <f t="shared" si="70"/>
        <v/>
      </c>
      <c r="M268" s="62" t="str">
        <f t="shared" si="71"/>
        <v/>
      </c>
      <c r="N268" s="133" t="str">
        <f>IF(AND(L268="",[1]Übersicht!L268=""),"",IF(AND(L268="NEGATIV EV",[1]Übersicht!L268="NO BET"),"NO BET",IF(AND(NOT(L268="NEGATIV EV"),L268&gt;[1]Übersicht!L268),"BET365",IF([1]Übersicht!L268="NO BET","BET365","PINNACLE"))))</f>
        <v>BET365</v>
      </c>
      <c r="O268" s="138" t="e">
        <f>IF(OR(N268="",N268="NO BET"),"",IF(N268="PINNACLE",IF([1]Übersicht!K268="T1",[1]Übersicht!G268*[1]Übersicht!M268-[1]Übersicht!M268,[1]Übersicht!H268*[1]Übersicht!M268-[1]Übersicht!M268),IF(K268="T1",G268*M268*0.95-M268,H268*M268*0.95-M268)))</f>
        <v>#VALUE!</v>
      </c>
      <c r="P268" s="136"/>
      <c r="Q268" s="69"/>
      <c r="R268" s="52">
        <f>IF(OR(P268="",N268="NO BET"),0,IF(K268=P268,O268,IF(N268="PINNACLE",-[1]Übersicht!M268,-M268)))</f>
        <v>0</v>
      </c>
      <c r="S268" s="69"/>
      <c r="T268" s="248" t="e">
        <f>IF(AND(NOT(N261=0)),T261/N261,0)</f>
        <v>#VALUE!</v>
      </c>
      <c r="U268" s="9"/>
    </row>
    <row r="269" spans="1:21" ht="15.75" customHeight="1" thickBot="1" x14ac:dyDescent="0.25">
      <c r="A269" s="243"/>
      <c r="B269" s="246"/>
      <c r="C269" s="167"/>
      <c r="D269" s="7"/>
      <c r="E269" s="7"/>
      <c r="F269" s="7" t="str">
        <f t="shared" si="68"/>
        <v/>
      </c>
      <c r="G269" s="7"/>
      <c r="H269" s="7"/>
      <c r="I269" s="7" t="str">
        <f t="shared" si="64"/>
        <v/>
      </c>
      <c r="J269" s="7" t="str">
        <f t="shared" si="69"/>
        <v/>
      </c>
      <c r="K269" s="7" t="str">
        <f t="shared" si="65"/>
        <v/>
      </c>
      <c r="L269" s="131" t="str">
        <f t="shared" si="70"/>
        <v/>
      </c>
      <c r="M269" s="60" t="str">
        <f t="shared" si="71"/>
        <v/>
      </c>
      <c r="N269" s="133" t="str">
        <f>IF(AND(L269="",[1]Übersicht!L269=""),"",IF(AND(L269="NEGATIV EV",[1]Übersicht!L269="NO BET"),"NO BET",IF(AND(NOT(L269="NEGATIV EV"),L269&gt;[1]Übersicht!L269),"BET365",IF([1]Übersicht!L269="NO BET","BET365","PINNACLE"))))</f>
        <v>BET365</v>
      </c>
      <c r="O269" s="139" t="e">
        <f>IF(OR(N269="",N269="NO BET"),"",IF(N269="PINNACLE",IF([1]Übersicht!K269="T1",[1]Übersicht!G269*[1]Übersicht!M269-[1]Übersicht!M269,[1]Übersicht!H269*[1]Übersicht!M269-[1]Übersicht!M269),IF(K269="T1",G269*M269*0.95-M269,H269*M269*0.95-M269)))</f>
        <v>#VALUE!</v>
      </c>
      <c r="P269" s="136"/>
      <c r="Q269" s="69"/>
      <c r="R269" s="52">
        <f>IF(OR(P269="",N269="NO BET"),0,IF(K269=P269,O269,IF(N269="PINNACLE",-[1]Übersicht!M269,-M269)))</f>
        <v>0</v>
      </c>
      <c r="S269" s="69"/>
      <c r="T269" s="249"/>
      <c r="U269" s="9"/>
    </row>
    <row r="270" spans="1:21" ht="15.75" customHeight="1" thickBot="1" x14ac:dyDescent="0.25">
      <c r="A270" s="244"/>
      <c r="B270" s="247"/>
      <c r="C270" s="168"/>
      <c r="D270" s="63"/>
      <c r="E270" s="63"/>
      <c r="F270" s="63" t="str">
        <f t="shared" si="68"/>
        <v/>
      </c>
      <c r="G270" s="63"/>
      <c r="H270" s="63"/>
      <c r="I270" s="63" t="str">
        <f t="shared" si="64"/>
        <v/>
      </c>
      <c r="J270" s="63" t="str">
        <f t="shared" si="69"/>
        <v/>
      </c>
      <c r="K270" s="63" t="str">
        <f t="shared" si="65"/>
        <v/>
      </c>
      <c r="L270" s="132" t="str">
        <f t="shared" si="70"/>
        <v/>
      </c>
      <c r="M270" s="65" t="str">
        <f t="shared" si="71"/>
        <v/>
      </c>
      <c r="N270" s="133" t="str">
        <f>IF(AND(L270="",[1]Übersicht!L270=""),"",IF(AND(L270="NEGATIV EV",[1]Übersicht!L270="NO BET"),"NO BET",IF(AND(NOT(L270="NEGATIV EV"),L270&gt;[1]Übersicht!L270),"BET365",IF([1]Übersicht!L270="NO BET","BET365","PINNACLE"))))</f>
        <v>BET365</v>
      </c>
      <c r="O270" s="138" t="e">
        <f>IF(OR(N270="",N270="NO BET"),"",IF(N270="PINNACLE",IF([1]Übersicht!K270="T1",[1]Übersicht!G270*[1]Übersicht!M270-[1]Übersicht!M270,[1]Übersicht!H270*[1]Übersicht!M270-[1]Übersicht!M270),IF(K270="T1",G270*M270*0.95-M270,H270*M270*0.95-M270)))</f>
        <v>#VALUE!</v>
      </c>
      <c r="P270" s="66"/>
      <c r="Q270" s="9"/>
      <c r="R270" s="135">
        <f>IF(OR(P270="",N270="NO BET"),0,IF(K270=P270,O270,IF(N270="PINNACLE",-[1]Übersicht!M270,-M270)))</f>
        <v>0</v>
      </c>
      <c r="S270" s="9"/>
      <c r="T270" s="250"/>
      <c r="U270" s="9"/>
    </row>
    <row r="271" spans="1:21" x14ac:dyDescent="0.2">
      <c r="A271" s="9"/>
      <c r="B271" s="9"/>
      <c r="C271" s="11"/>
      <c r="D271" s="9"/>
      <c r="E271" s="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10"/>
      <c r="S271" s="9"/>
      <c r="T271" s="11"/>
      <c r="U271" s="9"/>
    </row>
    <row r="272" spans="1:21" x14ac:dyDescent="0.2">
      <c r="A272" s="9"/>
      <c r="B272" s="9"/>
      <c r="C272" s="11"/>
      <c r="D272" s="9"/>
      <c r="E272" s="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10"/>
      <c r="S272" s="9"/>
      <c r="T272" s="11"/>
      <c r="U272" s="9"/>
    </row>
    <row r="273" spans="1:21" ht="15.75" thickBot="1" x14ac:dyDescent="0.25">
      <c r="A273" s="9"/>
      <c r="B273" s="9"/>
      <c r="C273" s="11"/>
      <c r="D273" s="9"/>
      <c r="E273" s="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10"/>
      <c r="S273" s="9"/>
      <c r="T273" s="11"/>
      <c r="U273" s="9"/>
    </row>
    <row r="274" spans="1:21" ht="19.5" customHeight="1" thickBot="1" x14ac:dyDescent="0.25">
      <c r="A274" s="242" t="s">
        <v>5</v>
      </c>
      <c r="B274" s="245" t="s">
        <v>28</v>
      </c>
      <c r="C274" s="160"/>
      <c r="D274" s="43" t="s">
        <v>9</v>
      </c>
      <c r="E274" s="43" t="s">
        <v>10</v>
      </c>
      <c r="F274" s="43" t="s">
        <v>11</v>
      </c>
      <c r="G274" s="43" t="s">
        <v>12</v>
      </c>
      <c r="H274" s="43" t="s">
        <v>13</v>
      </c>
      <c r="I274" s="43" t="s">
        <v>14</v>
      </c>
      <c r="J274" s="43" t="s">
        <v>15</v>
      </c>
      <c r="K274" s="43" t="s">
        <v>33</v>
      </c>
      <c r="L274" s="43" t="s">
        <v>16</v>
      </c>
      <c r="M274" s="43" t="s">
        <v>38</v>
      </c>
      <c r="N274" s="128" t="s">
        <v>87</v>
      </c>
      <c r="O274" s="128" t="s">
        <v>89</v>
      </c>
      <c r="P274" s="137" t="s">
        <v>18</v>
      </c>
      <c r="Q274" s="69"/>
      <c r="R274" s="134" t="s">
        <v>34</v>
      </c>
      <c r="S274" s="69"/>
      <c r="T274" s="47" t="s">
        <v>29</v>
      </c>
      <c r="U274" s="9"/>
    </row>
    <row r="275" spans="1:21" ht="15.75" customHeight="1" thickBot="1" x14ac:dyDescent="0.25">
      <c r="A275" s="243"/>
      <c r="B275" s="246"/>
      <c r="C275" s="165"/>
      <c r="D275" s="48"/>
      <c r="E275" s="48"/>
      <c r="F275" s="48" t="str">
        <f>IF(AND(C275=""),"",1-C275)</f>
        <v/>
      </c>
      <c r="G275" s="48"/>
      <c r="H275" s="48"/>
      <c r="I275" s="48" t="str">
        <f t="shared" ref="I275:I284" si="72">IF(AND(C275=""),"",G275*C275)</f>
        <v/>
      </c>
      <c r="J275" s="48" t="str">
        <f>IF(AND(C275=""),"",H275*F275)</f>
        <v/>
      </c>
      <c r="K275" s="48" t="str">
        <f t="shared" ref="K275:K284" si="73">IF(AND(I275=""),"",IF(AND(I275&gt;J275),"T1","T2"))</f>
        <v/>
      </c>
      <c r="L275" s="129" t="str">
        <f t="shared" ref="L275:L279" si="74">IF(AND(K275=""),"",IF(AND((J275*0.95-1)&lt;0,(I275*0.95-1)&lt;0),"NEGATIV EV", IF(AND(K275="T1"),I275*0.95 - 1,J275*0.95 - 1)))</f>
        <v/>
      </c>
      <c r="M275" s="50" t="str">
        <f t="shared" ref="M275:M279" si="75">IF(L275="","",IF(L275&lt;0.5,K$2*M$2,IF(L275&lt;0.75,K$2*M$3,IF(L275&lt;1,K$2*M$4,IF(L275&lt;1.25,K$2*M$5,IF(L275&lt;1.5,K$2*M$6,IF(L275&lt;2,K$2*M$7,IF(L275&lt;2.5,K$2*M$8,IF(L275="NEGATIV EV","NEGATIV EV",K$2*M$9)))))))))</f>
        <v/>
      </c>
      <c r="N275" s="133" t="str">
        <f>IF(AND(L275="",[1]Übersicht!L275=""),"",IF(AND(L275="NEGATIV EV",[1]Übersicht!L275="NO BET"),"NO BET",IF(AND(NOT(L275="NEGATIV EV"),L275&gt;[1]Übersicht!L275),"BET365",IF([1]Übersicht!L275="NO BET","BET365","PINNACLE"))))</f>
        <v>BET365</v>
      </c>
      <c r="O275" s="140" t="e">
        <f>IF(OR(N275="",N275="NO BET"),"",IF(N275="PINNACLE",IF([1]Übersicht!K275="T1",[1]Übersicht!G275*[1]Übersicht!M275-[1]Übersicht!M275,[1]Übersicht!H275*[1]Übersicht!M275-[1]Übersicht!M275),IF(K275="T1",G275*M275*0.95-M275,H275*M275*0.95-M275)))</f>
        <v>#VALUE!</v>
      </c>
      <c r="P275" s="136"/>
      <c r="Q275" s="70"/>
      <c r="R275" s="52">
        <f>IF(OR(P275="",N275="NO BET"),0,IF(K275=P275,O275,IF(N275="PINNACLE",-[1]Übersicht!M275,-M275)))</f>
        <v>0</v>
      </c>
      <c r="S275" s="69"/>
      <c r="T275" s="241">
        <f>SUM(R275:R284)</f>
        <v>0</v>
      </c>
      <c r="U275" s="9"/>
    </row>
    <row r="276" spans="1:21" ht="15.75" customHeight="1" thickBot="1" x14ac:dyDescent="0.25">
      <c r="A276" s="243"/>
      <c r="B276" s="246"/>
      <c r="C276" s="166"/>
      <c r="D276" s="53"/>
      <c r="E276" s="53"/>
      <c r="F276" s="53" t="str">
        <f t="shared" ref="F276:F284" si="76">IF(AND(C276=""),"",1-C276)</f>
        <v/>
      </c>
      <c r="G276" s="53"/>
      <c r="H276" s="53"/>
      <c r="I276" s="53" t="str">
        <f t="shared" si="72"/>
        <v/>
      </c>
      <c r="J276" s="53" t="str">
        <f t="shared" ref="J276:J284" si="77">IF(AND(C276=""),"",H276*F276)</f>
        <v/>
      </c>
      <c r="K276" s="53" t="str">
        <f t="shared" si="73"/>
        <v/>
      </c>
      <c r="L276" s="130" t="str">
        <f t="shared" si="74"/>
        <v/>
      </c>
      <c r="M276" s="55" t="str">
        <f t="shared" si="75"/>
        <v/>
      </c>
      <c r="N276" s="133" t="str">
        <f>IF(AND(L276="",[1]Übersicht!L276=""),"",IF(AND(L276="NEGATIV EV",[1]Übersicht!L276="NO BET"),"NO BET",IF(AND(NOT(L276="NEGATIV EV"),L276&gt;[1]Übersicht!L276),"BET365",IF([1]Übersicht!L276="NO BET","BET365","PINNACLE"))))</f>
        <v>BET365</v>
      </c>
      <c r="O276" s="138" t="e">
        <f>IF(OR(N276="",N276="NO BET"),"",IF(N276="PINNACLE",IF([1]Übersicht!K276="T1",[1]Übersicht!G276*[1]Übersicht!M276-[1]Übersicht!M276,[1]Übersicht!H276*[1]Übersicht!M276-[1]Übersicht!M276),IF(K276="T1",G276*M276*0.95-M276,H276*M276*0.95-M276)))</f>
        <v>#VALUE!</v>
      </c>
      <c r="P276" s="136"/>
      <c r="Q276" s="69"/>
      <c r="R276" s="52">
        <f>IF(OR(P276="",N276="NO BET"),0,IF(K276=P276,O276,IF(N276="PINNACLE",-[1]Übersicht!M276,-M276)))</f>
        <v>0</v>
      </c>
      <c r="S276" s="69"/>
      <c r="T276" s="241"/>
      <c r="U276" s="9"/>
    </row>
    <row r="277" spans="1:21" ht="15.75" customHeight="1" thickBot="1" x14ac:dyDescent="0.25">
      <c r="A277" s="243"/>
      <c r="B277" s="246"/>
      <c r="C277" s="167"/>
      <c r="D277" s="7"/>
      <c r="E277" s="7"/>
      <c r="F277" s="7" t="str">
        <f t="shared" si="76"/>
        <v/>
      </c>
      <c r="G277" s="7"/>
      <c r="H277" s="7"/>
      <c r="I277" s="7" t="str">
        <f t="shared" si="72"/>
        <v/>
      </c>
      <c r="J277" s="7" t="str">
        <f t="shared" si="77"/>
        <v/>
      </c>
      <c r="K277" s="7" t="str">
        <f t="shared" si="73"/>
        <v/>
      </c>
      <c r="L277" s="131" t="str">
        <f t="shared" si="74"/>
        <v/>
      </c>
      <c r="M277" s="59" t="str">
        <f t="shared" si="75"/>
        <v/>
      </c>
      <c r="N277" s="133" t="str">
        <f>IF(AND(L277="",[1]Übersicht!L277=""),"",IF(AND(L277="NEGATIV EV",[1]Übersicht!L277="NO BET"),"NO BET",IF(AND(NOT(L277="NEGATIV EV"),L277&gt;[1]Übersicht!L277),"BET365",IF([1]Übersicht!L277="NO BET","BET365","PINNACLE"))))</f>
        <v>BET365</v>
      </c>
      <c r="O277" s="140" t="e">
        <f>IF(OR(N277="",N277="NO BET"),"",IF(N277="PINNACLE",IF([1]Übersicht!K277="T1",[1]Übersicht!G277*[1]Übersicht!M277-[1]Übersicht!M277,[1]Übersicht!H277*[1]Übersicht!M277-[1]Übersicht!M277),IF(K277="T1",G277*M277*0.95-M277,H277*M277*0.95-M277)))</f>
        <v>#VALUE!</v>
      </c>
      <c r="P277" s="136"/>
      <c r="Q277" s="69"/>
      <c r="R277" s="52">
        <f>IF(OR(P277="",N277="NO BET"),0,IF(K277=P277,O277,IF(N277="PINNACLE",-[1]Übersicht!M277,-M277)))</f>
        <v>0</v>
      </c>
      <c r="S277" s="69"/>
      <c r="T277" s="241"/>
      <c r="U277" s="9"/>
    </row>
    <row r="278" spans="1:21" ht="15.75" customHeight="1" thickBot="1" x14ac:dyDescent="0.25">
      <c r="A278" s="243"/>
      <c r="B278" s="246"/>
      <c r="C278" s="166"/>
      <c r="D278" s="53"/>
      <c r="E278" s="53"/>
      <c r="F278" s="53" t="str">
        <f t="shared" si="76"/>
        <v/>
      </c>
      <c r="G278" s="53"/>
      <c r="H278" s="53"/>
      <c r="I278" s="53" t="str">
        <f t="shared" si="72"/>
        <v/>
      </c>
      <c r="J278" s="53" t="str">
        <f t="shared" si="77"/>
        <v/>
      </c>
      <c r="K278" s="53" t="str">
        <f t="shared" si="73"/>
        <v/>
      </c>
      <c r="L278" s="130" t="str">
        <f t="shared" si="74"/>
        <v/>
      </c>
      <c r="M278" s="55" t="str">
        <f t="shared" si="75"/>
        <v/>
      </c>
      <c r="N278" s="133" t="str">
        <f>IF(AND(L278="",[1]Übersicht!L278=""),"",IF(AND(L278="NEGATIV EV",[1]Übersicht!L278="NO BET"),"NO BET",IF(AND(NOT(L278="NEGATIV EV"),L278&gt;[1]Übersicht!L278),"BET365",IF([1]Übersicht!L278="NO BET","BET365","PINNACLE"))))</f>
        <v>BET365</v>
      </c>
      <c r="O278" s="138" t="e">
        <f>IF(OR(N278="",N278="NO BET"),"",IF(N278="PINNACLE",IF([1]Übersicht!K278="T1",[1]Übersicht!G278*[1]Übersicht!M278-[1]Übersicht!M278,[1]Übersicht!H278*[1]Übersicht!M278-[1]Übersicht!M278),IF(K278="T1",G278*M278*0.95-M278,H278*M278*0.95-M278)))</f>
        <v>#VALUE!</v>
      </c>
      <c r="P278" s="136"/>
      <c r="Q278" s="69"/>
      <c r="R278" s="52">
        <f>IF(OR(P278="",N278="NO BET"),0,IF(K278=P278,O278,IF(N278="PINNACLE",-[1]Übersicht!M278,-M278)))</f>
        <v>0</v>
      </c>
      <c r="S278" s="69"/>
      <c r="T278" s="241"/>
      <c r="U278" s="9"/>
    </row>
    <row r="279" spans="1:21" ht="15.75" customHeight="1" thickBot="1" x14ac:dyDescent="0.25">
      <c r="A279" s="243"/>
      <c r="B279" s="246"/>
      <c r="C279" s="167"/>
      <c r="D279" s="7"/>
      <c r="E279" s="7"/>
      <c r="F279" s="7" t="str">
        <f t="shared" si="76"/>
        <v/>
      </c>
      <c r="G279" s="7"/>
      <c r="H279" s="7"/>
      <c r="I279" s="7" t="str">
        <f t="shared" si="72"/>
        <v/>
      </c>
      <c r="J279" s="7" t="str">
        <f t="shared" si="77"/>
        <v/>
      </c>
      <c r="K279" s="7" t="str">
        <f t="shared" si="73"/>
        <v/>
      </c>
      <c r="L279" s="131" t="str">
        <f t="shared" si="74"/>
        <v/>
      </c>
      <c r="M279" s="60" t="str">
        <f t="shared" si="75"/>
        <v/>
      </c>
      <c r="N279" s="133" t="str">
        <f>IF(AND(L279="",[1]Übersicht!L279=""),"",IF(AND(L279="NEGATIV EV",[1]Übersicht!L279="NO BET"),"NO BET",IF(AND(NOT(L279="NEGATIV EV"),L279&gt;[1]Übersicht!L279),"BET365",IF([1]Übersicht!L279="NO BET","BET365","PINNACLE"))))</f>
        <v>BET365</v>
      </c>
      <c r="O279" s="140" t="e">
        <f>IF(OR(N279="",N279="NO BET"),"",IF(N279="PINNACLE",IF([1]Übersicht!K279="T1",[1]Übersicht!G279*[1]Übersicht!M279-[1]Übersicht!M279,[1]Übersicht!H279*[1]Übersicht!M279-[1]Übersicht!M279),IF(K279="T1",G279*M279*0.95-M279,H279*M279*0.95-M279)))</f>
        <v>#VALUE!</v>
      </c>
      <c r="P279" s="136"/>
      <c r="Q279" s="69"/>
      <c r="R279" s="52">
        <f>IF(OR(P279="",N279="NO BET"),0,IF(K279=P279,O279,IF(N279="PINNACLE",-[1]Übersicht!M279,-M279)))</f>
        <v>0</v>
      </c>
      <c r="S279" s="69"/>
      <c r="T279" s="241"/>
      <c r="U279" s="9"/>
    </row>
    <row r="280" spans="1:21" ht="15.75" customHeight="1" thickBot="1" x14ac:dyDescent="0.25">
      <c r="A280" s="243"/>
      <c r="B280" s="246"/>
      <c r="C280" s="166"/>
      <c r="D280" s="53"/>
      <c r="E280" s="53"/>
      <c r="F280" s="53" t="str">
        <f t="shared" si="76"/>
        <v/>
      </c>
      <c r="G280" s="53"/>
      <c r="H280" s="53"/>
      <c r="I280" s="53" t="str">
        <f t="shared" si="72"/>
        <v/>
      </c>
      <c r="J280" s="53" t="str">
        <f t="shared" si="77"/>
        <v/>
      </c>
      <c r="K280" s="53" t="str">
        <f t="shared" si="73"/>
        <v/>
      </c>
      <c r="L280" s="130" t="str">
        <f>IF(AND(K280=""),"",IF(AND((J280*0.95-1)&lt;0,(I280*0.95-1)&lt;0),"NEGATIV EV", IF(AND(K280="T1"),I280*0.95 - 1,J280*0.95 - 1)))</f>
        <v/>
      </c>
      <c r="M280" s="55" t="str">
        <f>IF(L280="","",IF(L280&lt;0.5,K$2*M$2,IF(L280&lt;0.75,K$2*M$3,IF(L280&lt;1,K$2*M$4,IF(L280&lt;1.25,K$2*M$5,IF(L280&lt;1.5,K$2*M$6,IF(L280&lt;2,K$2*M$7,IF(L280&lt;2.5,K$2*M$8,IF(L280="NEGATIV EV","NEGATIV EV",K$2*M$9)))))))))</f>
        <v/>
      </c>
      <c r="N280" s="133" t="str">
        <f>IF(AND(L280="",[1]Übersicht!L280=""),"",IF(AND(L280="NEGATIV EV",[1]Übersicht!L280="NO BET"),"NO BET",IF(AND(NOT(L280="NEGATIV EV"),L280&gt;[1]Übersicht!L280),"BET365",IF([1]Übersicht!L280="NO BET","BET365","PINNACLE"))))</f>
        <v>BET365</v>
      </c>
      <c r="O280" s="138" t="e">
        <f>IF(OR(N280="",N280="NO BET"),"",IF(N280="PINNACLE",IF([1]Übersicht!K280="T1",[1]Übersicht!G280*[1]Übersicht!M280-[1]Übersicht!M280,[1]Übersicht!H280*[1]Übersicht!M280-[1]Übersicht!M280),IF(K280="T1",G280*M280*0.95-M280,H280*M280*0.95-M280)))</f>
        <v>#VALUE!</v>
      </c>
      <c r="P280" s="136"/>
      <c r="Q280" s="69"/>
      <c r="R280" s="52">
        <f>IF(OR(P280="",N280="NO BET"),0,IF(K280=P280,O280,IF(N280="PINNACLE",-[1]Übersicht!M280,-M280)))</f>
        <v>0</v>
      </c>
      <c r="S280" s="69"/>
      <c r="T280" s="241"/>
      <c r="U280" s="9"/>
    </row>
    <row r="281" spans="1:21" ht="16.5" thickBot="1" x14ac:dyDescent="0.25">
      <c r="A281" s="243"/>
      <c r="B281" s="246"/>
      <c r="C281" s="167"/>
      <c r="D281" s="7"/>
      <c r="E281" s="7"/>
      <c r="F281" s="7" t="str">
        <f t="shared" si="76"/>
        <v/>
      </c>
      <c r="G281" s="7"/>
      <c r="H281" s="7"/>
      <c r="I281" s="7" t="str">
        <f t="shared" si="72"/>
        <v/>
      </c>
      <c r="J281" s="7" t="str">
        <f t="shared" si="77"/>
        <v/>
      </c>
      <c r="K281" s="7" t="str">
        <f t="shared" si="73"/>
        <v/>
      </c>
      <c r="L281" s="131" t="str">
        <f t="shared" ref="L281:L284" si="78">IF(AND(K281=""),"",IF(AND((J281*0.95-1)&lt;0,(I281*0.95-1)&lt;0),"NEGATIV EV", IF(AND(K281="T1"),I281*0.95 - 1,J281*0.95 - 1)))</f>
        <v/>
      </c>
      <c r="M281" s="59" t="str">
        <f t="shared" ref="M281:M284" si="79">IF(L281="","",IF(L281&lt;0.5,K$2*M$2,IF(L281&lt;0.75,K$2*M$3,IF(L281&lt;1,K$2*M$4,IF(L281&lt;1.25,K$2*M$5,IF(L281&lt;1.5,K$2*M$6,IF(L281&lt;2,K$2*M$7,IF(L281&lt;2.5,K$2*M$8,IF(L281="NEGATIV EV","NEGATIV EV",K$2*M$9)))))))))</f>
        <v/>
      </c>
      <c r="N281" s="133" t="str">
        <f>IF(AND(L281="",[1]Übersicht!L281=""),"",IF(AND(L281="NEGATIV EV",[1]Übersicht!L281="NO BET"),"NO BET",IF(AND(NOT(L281="NEGATIV EV"),L281&gt;[1]Übersicht!L281),"BET365",IF([1]Übersicht!L281="NO BET","BET365","PINNACLE"))))</f>
        <v>BET365</v>
      </c>
      <c r="O281" s="140" t="e">
        <f>IF(OR(N281="",N281="NO BET"),"",IF(N281="PINNACLE",IF([1]Übersicht!K281="T1",[1]Übersicht!G281*[1]Übersicht!M281-[1]Übersicht!M281,[1]Übersicht!H281*[1]Übersicht!M281-[1]Übersicht!M281),IF(K281="T1",G281*M281*0.95-M281,H281*M281*0.95-M281)))</f>
        <v>#VALUE!</v>
      </c>
      <c r="P281" s="56"/>
      <c r="Q281" s="69"/>
      <c r="R281" s="52">
        <f>IF(OR(P281="",N281="NO BET"),0,IF(K281=P281,O281,IF(N281="PINNACLE",-[1]Übersicht!M281,-M281)))</f>
        <v>0</v>
      </c>
      <c r="S281" s="69"/>
      <c r="T281" s="61" t="s">
        <v>31</v>
      </c>
      <c r="U281" s="9"/>
    </row>
    <row r="282" spans="1:21" ht="15.75" customHeight="1" thickBot="1" x14ac:dyDescent="0.25">
      <c r="A282" s="243"/>
      <c r="B282" s="246"/>
      <c r="C282" s="166"/>
      <c r="D282" s="53"/>
      <c r="E282" s="53"/>
      <c r="F282" s="53" t="str">
        <f t="shared" si="76"/>
        <v/>
      </c>
      <c r="G282" s="53"/>
      <c r="H282" s="53"/>
      <c r="I282" s="53" t="str">
        <f t="shared" si="72"/>
        <v/>
      </c>
      <c r="J282" s="53" t="str">
        <f t="shared" si="77"/>
        <v/>
      </c>
      <c r="K282" s="53" t="str">
        <f t="shared" si="73"/>
        <v/>
      </c>
      <c r="L282" s="130" t="str">
        <f t="shared" si="78"/>
        <v/>
      </c>
      <c r="M282" s="62" t="str">
        <f t="shared" si="79"/>
        <v/>
      </c>
      <c r="N282" s="133" t="str">
        <f>IF(AND(L282="",[1]Übersicht!L282=""),"",IF(AND(L282="NEGATIV EV",[1]Übersicht!L282="NO BET"),"NO BET",IF(AND(NOT(L282="NEGATIV EV"),L282&gt;[1]Übersicht!L282),"BET365",IF([1]Übersicht!L282="NO BET","BET365","PINNACLE"))))</f>
        <v>BET365</v>
      </c>
      <c r="O282" s="138" t="e">
        <f>IF(OR(N282="",N282="NO BET"),"",IF(N282="PINNACLE",IF([1]Übersicht!K282="T1",[1]Übersicht!G282*[1]Übersicht!M282-[1]Übersicht!M282,[1]Übersicht!H282*[1]Übersicht!M282-[1]Übersicht!M282),IF(K282="T1",G282*M282*0.95-M282,H282*M282*0.95-M282)))</f>
        <v>#VALUE!</v>
      </c>
      <c r="P282" s="136"/>
      <c r="Q282" s="69"/>
      <c r="R282" s="52">
        <f>IF(OR(P282="",N282="NO BET"),0,IF(K282=P282,O282,IF(N282="PINNACLE",-[1]Übersicht!M282,-M282)))</f>
        <v>0</v>
      </c>
      <c r="S282" s="69"/>
      <c r="T282" s="248" t="e">
        <f>IF(AND(NOT(N275=0)),T275/N275,0)</f>
        <v>#VALUE!</v>
      </c>
      <c r="U282" s="9"/>
    </row>
    <row r="283" spans="1:21" ht="15.75" customHeight="1" thickBot="1" x14ac:dyDescent="0.25">
      <c r="A283" s="243"/>
      <c r="B283" s="246"/>
      <c r="C283" s="167"/>
      <c r="D283" s="7"/>
      <c r="E283" s="7"/>
      <c r="F283" s="7" t="str">
        <f t="shared" si="76"/>
        <v/>
      </c>
      <c r="G283" s="7"/>
      <c r="H283" s="7"/>
      <c r="I283" s="7" t="str">
        <f t="shared" si="72"/>
        <v/>
      </c>
      <c r="J283" s="7" t="str">
        <f t="shared" si="77"/>
        <v/>
      </c>
      <c r="K283" s="7" t="str">
        <f t="shared" si="73"/>
        <v/>
      </c>
      <c r="L283" s="131" t="str">
        <f t="shared" si="78"/>
        <v/>
      </c>
      <c r="M283" s="60" t="str">
        <f t="shared" si="79"/>
        <v/>
      </c>
      <c r="N283" s="133" t="str">
        <f>IF(AND(L283="",[1]Übersicht!L283=""),"",IF(AND(L283="NEGATIV EV",[1]Übersicht!L283="NO BET"),"NO BET",IF(AND(NOT(L283="NEGATIV EV"),L283&gt;[1]Übersicht!L283),"BET365",IF([1]Übersicht!L283="NO BET","BET365","PINNACLE"))))</f>
        <v>BET365</v>
      </c>
      <c r="O283" s="139" t="e">
        <f>IF(OR(N283="",N283="NO BET"),"",IF(N283="PINNACLE",IF([1]Übersicht!K283="T1",[1]Übersicht!G283*[1]Übersicht!M283-[1]Übersicht!M283,[1]Übersicht!H283*[1]Übersicht!M283-[1]Übersicht!M283),IF(K283="T1",G283*M283*0.95-M283,H283*M283*0.95-M283)))</f>
        <v>#VALUE!</v>
      </c>
      <c r="P283" s="136"/>
      <c r="Q283" s="69"/>
      <c r="R283" s="52">
        <f>IF(OR(P283="",N283="NO BET"),0,IF(K283=P283,O283,IF(N283="PINNACLE",-[1]Übersicht!M283,-M283)))</f>
        <v>0</v>
      </c>
      <c r="S283" s="69"/>
      <c r="T283" s="249"/>
      <c r="U283" s="9"/>
    </row>
    <row r="284" spans="1:21" ht="15.75" customHeight="1" thickBot="1" x14ac:dyDescent="0.25">
      <c r="A284" s="244"/>
      <c r="B284" s="247"/>
      <c r="C284" s="168"/>
      <c r="D284" s="63"/>
      <c r="E284" s="63"/>
      <c r="F284" s="63" t="str">
        <f t="shared" si="76"/>
        <v/>
      </c>
      <c r="G284" s="63"/>
      <c r="H284" s="63"/>
      <c r="I284" s="63" t="str">
        <f t="shared" si="72"/>
        <v/>
      </c>
      <c r="J284" s="63" t="str">
        <f t="shared" si="77"/>
        <v/>
      </c>
      <c r="K284" s="63" t="str">
        <f t="shared" si="73"/>
        <v/>
      </c>
      <c r="L284" s="132" t="str">
        <f t="shared" si="78"/>
        <v/>
      </c>
      <c r="M284" s="65" t="str">
        <f t="shared" si="79"/>
        <v/>
      </c>
      <c r="N284" s="133" t="str">
        <f>IF(AND(L284="",[1]Übersicht!L284=""),"",IF(AND(L284="NEGATIV EV",[1]Übersicht!L284="NO BET"),"NO BET",IF(AND(NOT(L284="NEGATIV EV"),L284&gt;[1]Übersicht!L284),"BET365",IF([1]Übersicht!L284="NO BET","BET365","PINNACLE"))))</f>
        <v>BET365</v>
      </c>
      <c r="O284" s="138" t="e">
        <f>IF(OR(N284="",N284="NO BET"),"",IF(N284="PINNACLE",IF([1]Übersicht!K284="T1",[1]Übersicht!G284*[1]Übersicht!M284-[1]Übersicht!M284,[1]Übersicht!H284*[1]Übersicht!M284-[1]Übersicht!M284),IF(K284="T1",G284*M284*0.95-M284,H284*M284*0.95-M284)))</f>
        <v>#VALUE!</v>
      </c>
      <c r="P284" s="66"/>
      <c r="Q284" s="9"/>
      <c r="R284" s="135">
        <f>IF(OR(P284="",N284="NO BET"),0,IF(K284=P284,O284,IF(N284="PINNACLE",-[1]Übersicht!M284,-M284)))</f>
        <v>0</v>
      </c>
      <c r="S284" s="9"/>
      <c r="T284" s="250"/>
      <c r="U284" s="9"/>
    </row>
    <row r="285" spans="1:21" x14ac:dyDescent="0.2">
      <c r="A285" s="9"/>
      <c r="B285" s="9"/>
      <c r="C285" s="11"/>
      <c r="D285" s="9"/>
      <c r="E285" s="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10"/>
      <c r="S285" s="9"/>
      <c r="T285" s="11"/>
      <c r="U285" s="9"/>
    </row>
    <row r="286" spans="1:21" x14ac:dyDescent="0.2">
      <c r="A286" s="76"/>
      <c r="B286" s="76"/>
      <c r="C286" s="78"/>
      <c r="D286" s="76"/>
      <c r="E286" s="76"/>
      <c r="F286" s="76"/>
      <c r="G286" s="76"/>
      <c r="H286" s="76"/>
      <c r="I286" s="76"/>
      <c r="J286" s="76"/>
      <c r="K286" s="76"/>
      <c r="L286" s="76"/>
      <c r="M286" s="76"/>
      <c r="N286" s="76"/>
      <c r="O286" s="76"/>
      <c r="P286" s="76"/>
      <c r="Q286" s="76"/>
      <c r="R286" s="77"/>
      <c r="S286" s="76"/>
      <c r="T286" s="78"/>
      <c r="U286" s="9"/>
    </row>
    <row r="287" spans="1:21" x14ac:dyDescent="0.2">
      <c r="A287" s="76"/>
      <c r="B287" s="76"/>
      <c r="C287" s="78"/>
      <c r="D287" s="76"/>
      <c r="E287" s="76"/>
      <c r="F287" s="76"/>
      <c r="G287" s="76"/>
      <c r="H287" s="76"/>
      <c r="I287" s="76"/>
      <c r="J287" s="76"/>
      <c r="K287" s="76"/>
      <c r="L287" s="76"/>
      <c r="M287" s="76"/>
      <c r="N287" s="76"/>
      <c r="O287" s="76"/>
      <c r="P287" s="76"/>
      <c r="Q287" s="76"/>
      <c r="R287" s="77"/>
      <c r="S287" s="76"/>
      <c r="T287" s="78"/>
      <c r="U287" s="9"/>
    </row>
    <row r="288" spans="1:21" x14ac:dyDescent="0.2">
      <c r="A288" s="76"/>
      <c r="B288" s="76"/>
      <c r="C288" s="78"/>
      <c r="D288" s="76"/>
      <c r="E288" s="76"/>
      <c r="F288" s="76"/>
      <c r="G288" s="76"/>
      <c r="H288" s="76"/>
      <c r="I288" s="76"/>
      <c r="J288" s="76"/>
      <c r="K288" s="76"/>
      <c r="L288" s="76"/>
      <c r="M288" s="76"/>
      <c r="N288" s="76"/>
      <c r="O288" s="76"/>
      <c r="P288" s="76"/>
      <c r="Q288" s="76"/>
      <c r="R288" s="77"/>
      <c r="S288" s="76"/>
      <c r="T288" s="78"/>
      <c r="U288" s="9"/>
    </row>
    <row r="289" spans="1:21" x14ac:dyDescent="0.2">
      <c r="A289" s="76"/>
      <c r="B289" s="76"/>
      <c r="C289" s="78"/>
      <c r="D289" s="76"/>
      <c r="E289" s="76"/>
      <c r="F289" s="76"/>
      <c r="G289" s="76"/>
      <c r="H289" s="76"/>
      <c r="I289" s="76"/>
      <c r="J289" s="76"/>
      <c r="K289" s="76"/>
      <c r="L289" s="76"/>
      <c r="M289" s="76"/>
      <c r="N289" s="76"/>
      <c r="O289" s="76"/>
      <c r="P289" s="76"/>
      <c r="Q289" s="76"/>
      <c r="R289" s="77"/>
      <c r="S289" s="76"/>
      <c r="T289" s="78"/>
      <c r="U289" s="9"/>
    </row>
    <row r="290" spans="1:21" x14ac:dyDescent="0.2">
      <c r="A290" s="76"/>
      <c r="B290" s="76"/>
      <c r="C290" s="78"/>
      <c r="D290" s="76"/>
      <c r="E290" s="76"/>
      <c r="F290" s="76"/>
      <c r="G290" s="76"/>
      <c r="H290" s="76"/>
      <c r="I290" s="76"/>
      <c r="J290" s="76"/>
      <c r="K290" s="76"/>
      <c r="L290" s="76"/>
      <c r="M290" s="76"/>
      <c r="N290" s="76"/>
      <c r="O290" s="76"/>
      <c r="P290" s="76"/>
      <c r="Q290" s="76"/>
      <c r="R290" s="77"/>
      <c r="S290" s="76"/>
      <c r="T290" s="78"/>
      <c r="U290" s="9"/>
    </row>
    <row r="291" spans="1:21" x14ac:dyDescent="0.2">
      <c r="A291" s="76"/>
      <c r="B291" s="76"/>
      <c r="C291" s="78"/>
      <c r="D291" s="76"/>
      <c r="E291" s="76"/>
      <c r="F291" s="76"/>
      <c r="G291" s="76"/>
      <c r="H291" s="76"/>
      <c r="I291" s="76"/>
      <c r="J291" s="76"/>
      <c r="K291" s="76"/>
      <c r="L291" s="76"/>
      <c r="M291" s="76"/>
      <c r="N291" s="76"/>
      <c r="O291" s="76"/>
      <c r="P291" s="76"/>
      <c r="Q291" s="76"/>
      <c r="R291" s="77"/>
      <c r="S291" s="76"/>
      <c r="T291" s="78"/>
      <c r="U291" s="9"/>
    </row>
    <row r="292" spans="1:21" x14ac:dyDescent="0.2">
      <c r="A292" s="76"/>
      <c r="B292" s="76"/>
      <c r="C292" s="78"/>
      <c r="D292" s="76"/>
      <c r="E292" s="76"/>
      <c r="F292" s="76"/>
      <c r="G292" s="76"/>
      <c r="H292" s="76"/>
      <c r="I292" s="76"/>
      <c r="J292" s="76"/>
      <c r="K292" s="76"/>
      <c r="L292" s="76"/>
      <c r="M292" s="76"/>
      <c r="N292" s="76"/>
      <c r="O292" s="76"/>
      <c r="P292" s="76"/>
      <c r="Q292" s="76"/>
      <c r="R292" s="77"/>
      <c r="S292" s="76"/>
      <c r="T292" s="78"/>
      <c r="U292" s="9"/>
    </row>
    <row r="293" spans="1:21" x14ac:dyDescent="0.2">
      <c r="A293" s="76"/>
      <c r="B293" s="76"/>
      <c r="C293" s="78"/>
      <c r="D293" s="76"/>
      <c r="E293" s="76"/>
      <c r="F293" s="76"/>
      <c r="G293" s="76"/>
      <c r="H293" s="76"/>
      <c r="I293" s="76"/>
      <c r="J293" s="76"/>
      <c r="K293" s="76"/>
      <c r="L293" s="76"/>
      <c r="M293" s="76"/>
      <c r="N293" s="76"/>
      <c r="O293" s="76"/>
      <c r="P293" s="76"/>
      <c r="Q293" s="76"/>
      <c r="R293" s="77"/>
      <c r="S293" s="76"/>
      <c r="T293" s="78"/>
      <c r="U293" s="9"/>
    </row>
    <row r="294" spans="1:21" x14ac:dyDescent="0.2">
      <c r="A294" s="76"/>
      <c r="B294" s="76"/>
      <c r="C294" s="78"/>
      <c r="D294" s="76"/>
      <c r="E294" s="76"/>
      <c r="F294" s="76"/>
      <c r="G294" s="76"/>
      <c r="H294" s="76"/>
      <c r="I294" s="76"/>
      <c r="J294" s="76"/>
      <c r="K294" s="76"/>
      <c r="L294" s="76"/>
      <c r="M294" s="76"/>
      <c r="N294" s="76"/>
      <c r="O294" s="76"/>
      <c r="P294" s="76"/>
      <c r="Q294" s="76"/>
      <c r="R294" s="77"/>
      <c r="S294" s="76"/>
      <c r="T294" s="78"/>
      <c r="U294" s="9"/>
    </row>
    <row r="295" spans="1:21" x14ac:dyDescent="0.2">
      <c r="A295" s="76"/>
      <c r="B295" s="76"/>
      <c r="C295" s="78"/>
      <c r="D295" s="76"/>
      <c r="E295" s="76"/>
      <c r="F295" s="76"/>
      <c r="G295" s="76"/>
      <c r="H295" s="76"/>
      <c r="I295" s="76"/>
      <c r="J295" s="76"/>
      <c r="K295" s="76"/>
      <c r="L295" s="76"/>
      <c r="M295" s="76"/>
      <c r="N295" s="76"/>
      <c r="O295" s="76"/>
      <c r="P295" s="76"/>
      <c r="Q295" s="76"/>
      <c r="R295" s="77"/>
      <c r="S295" s="76"/>
      <c r="T295" s="78"/>
      <c r="U295" s="9"/>
    </row>
    <row r="296" spans="1:21" x14ac:dyDescent="0.2">
      <c r="A296" s="76"/>
      <c r="B296" s="76"/>
      <c r="C296" s="78"/>
      <c r="D296" s="76"/>
      <c r="E296" s="76"/>
      <c r="F296" s="76"/>
      <c r="G296" s="76"/>
      <c r="H296" s="76"/>
      <c r="I296" s="76"/>
      <c r="J296" s="76"/>
      <c r="K296" s="76"/>
      <c r="L296" s="76"/>
      <c r="M296" s="76"/>
      <c r="N296" s="76"/>
      <c r="O296" s="76"/>
      <c r="P296" s="76"/>
      <c r="Q296" s="76"/>
      <c r="R296" s="77"/>
      <c r="S296" s="76"/>
      <c r="T296" s="78"/>
      <c r="U296" s="9"/>
    </row>
    <row r="297" spans="1:21" x14ac:dyDescent="0.2">
      <c r="A297" s="76"/>
      <c r="B297" s="76"/>
      <c r="C297" s="78"/>
      <c r="D297" s="76"/>
      <c r="E297" s="76"/>
      <c r="F297" s="76"/>
      <c r="G297" s="76"/>
      <c r="H297" s="76"/>
      <c r="I297" s="76"/>
      <c r="J297" s="76"/>
      <c r="K297" s="76"/>
      <c r="L297" s="76"/>
      <c r="M297" s="76"/>
      <c r="N297" s="76"/>
      <c r="O297" s="76"/>
      <c r="P297" s="76"/>
      <c r="Q297" s="76"/>
      <c r="R297" s="77"/>
      <c r="S297" s="76"/>
      <c r="T297" s="78"/>
      <c r="U297" s="9"/>
    </row>
    <row r="298" spans="1:21" x14ac:dyDescent="0.2">
      <c r="A298" s="76"/>
      <c r="B298" s="76"/>
      <c r="C298" s="78"/>
      <c r="D298" s="76"/>
      <c r="E298" s="76"/>
      <c r="F298" s="76"/>
      <c r="G298" s="76"/>
      <c r="H298" s="76"/>
      <c r="I298" s="76"/>
      <c r="J298" s="76"/>
      <c r="K298" s="76"/>
      <c r="L298" s="76"/>
      <c r="M298" s="76"/>
      <c r="N298" s="76"/>
      <c r="O298" s="76"/>
      <c r="P298" s="76"/>
      <c r="Q298" s="76"/>
      <c r="R298" s="77"/>
      <c r="S298" s="76"/>
      <c r="T298" s="78"/>
      <c r="U298" s="9"/>
    </row>
    <row r="299" spans="1:21" x14ac:dyDescent="0.2">
      <c r="A299" s="76"/>
      <c r="B299" s="76"/>
      <c r="C299" s="78"/>
      <c r="D299" s="76"/>
      <c r="E299" s="76"/>
      <c r="F299" s="76"/>
      <c r="G299" s="76"/>
      <c r="H299" s="76"/>
      <c r="I299" s="76"/>
      <c r="J299" s="76"/>
      <c r="K299" s="76"/>
      <c r="L299" s="76"/>
      <c r="M299" s="76"/>
      <c r="N299" s="76"/>
      <c r="O299" s="76"/>
      <c r="P299" s="76"/>
      <c r="Q299" s="76"/>
      <c r="R299" s="77"/>
      <c r="S299" s="76"/>
      <c r="T299" s="78"/>
      <c r="U299" s="9"/>
    </row>
    <row r="300" spans="1:21" x14ac:dyDescent="0.2">
      <c r="A300" s="76"/>
      <c r="B300" s="76"/>
      <c r="C300" s="78"/>
      <c r="D300" s="76"/>
      <c r="E300" s="76"/>
      <c r="F300" s="76"/>
      <c r="G300" s="76"/>
      <c r="H300" s="76"/>
      <c r="I300" s="76"/>
      <c r="J300" s="76"/>
      <c r="K300" s="76"/>
      <c r="L300" s="76"/>
      <c r="M300" s="76"/>
      <c r="N300" s="76"/>
      <c r="O300" s="76"/>
      <c r="P300" s="76"/>
      <c r="Q300" s="76"/>
      <c r="R300" s="77"/>
      <c r="S300" s="76"/>
      <c r="T300" s="78"/>
      <c r="U300" s="9"/>
    </row>
    <row r="301" spans="1:21" x14ac:dyDescent="0.2">
      <c r="A301" s="76"/>
      <c r="B301" s="76"/>
      <c r="C301" s="78"/>
      <c r="D301" s="76"/>
      <c r="E301" s="76"/>
      <c r="F301" s="76"/>
      <c r="G301" s="76"/>
      <c r="H301" s="76"/>
      <c r="I301" s="76"/>
      <c r="J301" s="76"/>
      <c r="K301" s="76"/>
      <c r="L301" s="76"/>
      <c r="M301" s="76"/>
      <c r="N301" s="76"/>
      <c r="O301" s="76"/>
      <c r="P301" s="76"/>
      <c r="Q301" s="76"/>
      <c r="R301" s="77"/>
      <c r="S301" s="76"/>
      <c r="T301" s="78"/>
      <c r="U301" s="9"/>
    </row>
    <row r="302" spans="1:21" x14ac:dyDescent="0.2">
      <c r="A302" s="76"/>
      <c r="B302" s="76"/>
      <c r="C302" s="78"/>
      <c r="D302" s="76"/>
      <c r="E302" s="76"/>
      <c r="F302" s="76"/>
      <c r="G302" s="76"/>
      <c r="H302" s="76"/>
      <c r="I302" s="76"/>
      <c r="J302" s="76"/>
      <c r="K302" s="76"/>
      <c r="L302" s="76"/>
      <c r="M302" s="76"/>
      <c r="N302" s="76"/>
      <c r="O302" s="76"/>
      <c r="P302" s="76"/>
      <c r="Q302" s="76"/>
      <c r="R302" s="77"/>
      <c r="S302" s="76"/>
      <c r="T302" s="78"/>
      <c r="U302" s="9"/>
    </row>
    <row r="303" spans="1:21" ht="15.75" thickBot="1" x14ac:dyDescent="0.25">
      <c r="A303" s="9"/>
      <c r="B303" s="9"/>
      <c r="C303" s="11"/>
      <c r="D303" s="9"/>
      <c r="E303" s="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69"/>
      <c r="R303" s="10"/>
      <c r="S303" s="69"/>
      <c r="T303" s="11"/>
      <c r="U303" s="9"/>
    </row>
    <row r="304" spans="1:21" ht="19.5" customHeight="1" thickBot="1" x14ac:dyDescent="0.25">
      <c r="A304" s="79" t="s">
        <v>6</v>
      </c>
      <c r="B304" s="245" t="s">
        <v>8</v>
      </c>
      <c r="C304" s="160" t="s">
        <v>39</v>
      </c>
      <c r="D304" s="43" t="s">
        <v>9</v>
      </c>
      <c r="E304" s="43" t="s">
        <v>10</v>
      </c>
      <c r="F304" s="43" t="s">
        <v>11</v>
      </c>
      <c r="G304" s="43" t="s">
        <v>12</v>
      </c>
      <c r="H304" s="43" t="s">
        <v>13</v>
      </c>
      <c r="I304" s="43" t="s">
        <v>14</v>
      </c>
      <c r="J304" s="43" t="s">
        <v>15</v>
      </c>
      <c r="K304" s="43" t="s">
        <v>33</v>
      </c>
      <c r="L304" s="43" t="s">
        <v>16</v>
      </c>
      <c r="M304" s="43" t="s">
        <v>38</v>
      </c>
      <c r="N304" s="128" t="s">
        <v>87</v>
      </c>
      <c r="O304" s="128" t="s">
        <v>89</v>
      </c>
      <c r="P304" s="137" t="s">
        <v>18</v>
      </c>
      <c r="Q304" s="69"/>
      <c r="R304" s="134" t="s">
        <v>34</v>
      </c>
      <c r="S304" s="69"/>
      <c r="T304" s="47" t="s">
        <v>29</v>
      </c>
      <c r="U304" s="9"/>
    </row>
    <row r="305" spans="1:21" ht="18" customHeight="1" thickBot="1" x14ac:dyDescent="0.25">
      <c r="A305" s="80"/>
      <c r="B305" s="246"/>
      <c r="C305" s="165">
        <v>0.56000000000000005</v>
      </c>
      <c r="D305" s="48" t="s">
        <v>66</v>
      </c>
      <c r="E305" s="48" t="s">
        <v>62</v>
      </c>
      <c r="F305" s="48">
        <f>IF(AND(C305=""),"",1-C305)</f>
        <v>0.43999999999999995</v>
      </c>
      <c r="G305" s="48">
        <v>2</v>
      </c>
      <c r="H305" s="48">
        <v>1.72</v>
      </c>
      <c r="I305" s="48">
        <f>IF(AND(C305=""),"",G305*C305)</f>
        <v>1.1200000000000001</v>
      </c>
      <c r="J305" s="48">
        <f>IF(AND(C305=""),"",H305*F305)</f>
        <v>0.75679999999999992</v>
      </c>
      <c r="K305" s="48" t="str">
        <f t="shared" ref="K305:K314" si="80">IF(AND(I305=""),"",IF(AND(I305&gt;J305),"T1","T2"))</f>
        <v>T1</v>
      </c>
      <c r="L305" s="129">
        <f t="shared" ref="L305:L309" si="81">IF(AND(K305=""),"",IF(AND((J305*0.95-1)&lt;0,(I305*0.95-1)&lt;0),"NEGATIV EV", IF(AND(K305="T1"),I305*0.95 - 1,J305*0.95 - 1)))</f>
        <v>6.4000000000000057E-2</v>
      </c>
      <c r="M305" s="50">
        <f t="shared" ref="M305:M309" si="82">IF(L305="","",IF(L305&lt;0.5,K$2*M$2,IF(L305&lt;0.75,K$2*M$3,IF(L305&lt;1,K$2*M$4,IF(L305&lt;1.25,K$2*M$5,IF(L305&lt;1.5,K$2*M$6,IF(L305&lt;2,K$2*M$7,IF(L305&lt;2.5,K$2*M$8,IF(L305="NEGATIV EV","NEGATIV EV",K$2*M$9)))))))))</f>
        <v>56.25</v>
      </c>
      <c r="N305" s="133" t="str">
        <f>IF(AND(L305="",[1]Übersicht!L305=""),"",IF(AND(L305="NEGATIV EV",[1]Übersicht!L305="NO BET"),"NO BET",IF(AND(NOT(L305="NEGATIV EV"),L305&gt;[1]Übersicht!L305),"BET365",IF([1]Übersicht!L305="NO BET","BET365","PINNACLE"))))</f>
        <v>PINNACLE</v>
      </c>
      <c r="O305" s="140">
        <f>IF(OR(N305="",N305="NO BET"),"",IF(N305="PINNACLE",IF([1]Übersicht!K305="T1",[1]Übersicht!G305*[1]Übersicht!M305-[1]Übersicht!M305,[1]Übersicht!H305*[1]Übersicht!M305-[1]Übersicht!M305),IF(K305="T1",G305*M305*0.95-M305,H305*M305*0.95-M305)))</f>
        <v>87.1875</v>
      </c>
      <c r="P305" s="136" t="s">
        <v>88</v>
      </c>
      <c r="Q305" s="70"/>
      <c r="R305" s="52">
        <f>IF(OR(P305="",N305="NO BET"),0,IF(K305=P305,O305,IF(N305="PINNACLE",-[1]Übersicht!M305,-M305)))</f>
        <v>87.1875</v>
      </c>
      <c r="S305" s="69"/>
      <c r="T305" s="241">
        <f>SUM(R305:R314)</f>
        <v>-61.875</v>
      </c>
      <c r="U305" s="9"/>
    </row>
    <row r="306" spans="1:21" ht="18" customHeight="1" thickBot="1" x14ac:dyDescent="0.25">
      <c r="A306" s="257" t="s">
        <v>42</v>
      </c>
      <c r="B306" s="246"/>
      <c r="C306" s="166">
        <v>0.48</v>
      </c>
      <c r="D306" s="53" t="s">
        <v>52</v>
      </c>
      <c r="E306" s="53" t="s">
        <v>53</v>
      </c>
      <c r="F306" s="53">
        <f t="shared" ref="F306:F314" si="83">IF(AND(C306=""),"",1-C306)</f>
        <v>0.52</v>
      </c>
      <c r="G306" s="53">
        <v>2.1</v>
      </c>
      <c r="H306" s="53">
        <v>1.66</v>
      </c>
      <c r="I306" s="53">
        <f t="shared" ref="I306:I314" si="84">IF(AND(C306=""),"",G306*C306)</f>
        <v>1.008</v>
      </c>
      <c r="J306" s="53">
        <f t="shared" ref="J306:J314" si="85">IF(AND(C306=""),"",H306*F306)</f>
        <v>0.86319999999999997</v>
      </c>
      <c r="K306" s="53" t="str">
        <f t="shared" si="80"/>
        <v>T1</v>
      </c>
      <c r="L306" s="130" t="str">
        <f t="shared" si="81"/>
        <v>NEGATIV EV</v>
      </c>
      <c r="M306" s="55" t="str">
        <f t="shared" si="82"/>
        <v>NEGATIV EV</v>
      </c>
      <c r="N306" s="133" t="str">
        <f>IF(AND(L306="",[1]Übersicht!L306=""),"",IF(AND(L306="NEGATIV EV",[1]Übersicht!L306="NO BET"),"NO BET",IF(AND(NOT(L306="NEGATIV EV"),L306&gt;[1]Übersicht!L306),"BET365",IF([1]Übersicht!L306="NO BET","BET365","PINNACLE"))))</f>
        <v>PINNACLE</v>
      </c>
      <c r="O306" s="138">
        <f>IF(OR(N306="",N306="NO BET"),"",IF(N306="PINNACLE",IF([1]Übersicht!K306="T1",[1]Übersicht!G306*[1]Übersicht!M306-[1]Übersicht!M306,[1]Übersicht!H306*[1]Übersicht!M306-[1]Übersicht!M306),IF(K306="T1",G306*M306*0.95-M306,H306*M306*0.95-M306)))</f>
        <v>87.1875</v>
      </c>
      <c r="P306" s="136" t="s">
        <v>88</v>
      </c>
      <c r="Q306" s="69"/>
      <c r="R306" s="52">
        <f>IF(OR(P306="",N306="NO BET"),0,IF(K306=P306,O306,IF(N306="PINNACLE",-[1]Übersicht!M306,-M306)))</f>
        <v>87.1875</v>
      </c>
      <c r="S306" s="69"/>
      <c r="T306" s="241"/>
      <c r="U306" s="9"/>
    </row>
    <row r="307" spans="1:21" ht="18" customHeight="1" thickBot="1" x14ac:dyDescent="0.25">
      <c r="A307" s="257"/>
      <c r="B307" s="246"/>
      <c r="C307" s="167">
        <v>0.5</v>
      </c>
      <c r="D307" s="7" t="s">
        <v>65</v>
      </c>
      <c r="E307" s="7" t="s">
        <v>60</v>
      </c>
      <c r="F307" s="7">
        <f t="shared" si="83"/>
        <v>0.5</v>
      </c>
      <c r="G307" s="7">
        <v>2.25</v>
      </c>
      <c r="H307" s="7">
        <v>1.57</v>
      </c>
      <c r="I307" s="7">
        <f t="shared" si="84"/>
        <v>1.125</v>
      </c>
      <c r="J307" s="7">
        <f t="shared" si="85"/>
        <v>0.78500000000000003</v>
      </c>
      <c r="K307" s="7" t="str">
        <f t="shared" si="80"/>
        <v>T1</v>
      </c>
      <c r="L307" s="131">
        <f t="shared" si="81"/>
        <v>6.8749999999999867E-2</v>
      </c>
      <c r="M307" s="59">
        <f t="shared" si="82"/>
        <v>56.25</v>
      </c>
      <c r="N307" s="133" t="str">
        <f>IF(AND(L307="",[1]Übersicht!L307=""),"",IF(AND(L307="NEGATIV EV",[1]Übersicht!L307="NO BET"),"NO BET",IF(AND(NOT(L307="NEGATIV EV"),L307&gt;[1]Übersicht!L307),"BET365",IF([1]Übersicht!L307="NO BET","BET365","PINNACLE"))))</f>
        <v>PINNACLE</v>
      </c>
      <c r="O307" s="140">
        <f>IF(OR(N307="",N307="NO BET"),"",IF(N307="PINNACLE",IF([1]Übersicht!K307="T1",[1]Übersicht!G307*[1]Übersicht!M307-[1]Übersicht!M307,[1]Übersicht!H307*[1]Übersicht!M307-[1]Übersicht!M307),IF(K307="T1",G307*M307*0.95-M307,H307*M307*0.95-M307)))</f>
        <v>77.0625</v>
      </c>
      <c r="P307" s="136" t="s">
        <v>40</v>
      </c>
      <c r="Q307" s="69"/>
      <c r="R307" s="52">
        <f>IF(OR(P307="",N307="NO BET"),0,IF(K307=P307,O307,IF(N307="PINNACLE",-[1]Übersicht!M307,-M307)))</f>
        <v>-56.25</v>
      </c>
      <c r="S307" s="69"/>
      <c r="T307" s="241"/>
      <c r="U307" s="9"/>
    </row>
    <row r="308" spans="1:21" ht="18" customHeight="1" thickBot="1" x14ac:dyDescent="0.25">
      <c r="A308" s="257"/>
      <c r="B308" s="246"/>
      <c r="C308" s="166">
        <v>0.61</v>
      </c>
      <c r="D308" s="53" t="s">
        <v>50</v>
      </c>
      <c r="E308" s="53" t="s">
        <v>59</v>
      </c>
      <c r="F308" s="53">
        <f t="shared" si="83"/>
        <v>0.39</v>
      </c>
      <c r="G308" s="53">
        <v>1.36</v>
      </c>
      <c r="H308" s="53">
        <v>3</v>
      </c>
      <c r="I308" s="53">
        <f t="shared" si="84"/>
        <v>0.8296</v>
      </c>
      <c r="J308" s="53">
        <f t="shared" si="85"/>
        <v>1.17</v>
      </c>
      <c r="K308" s="53" t="str">
        <f t="shared" si="80"/>
        <v>T2</v>
      </c>
      <c r="L308" s="130">
        <f t="shared" si="81"/>
        <v>0.11149999999999993</v>
      </c>
      <c r="M308" s="55">
        <f t="shared" si="82"/>
        <v>56.25</v>
      </c>
      <c r="N308" s="133" t="str">
        <f>IF(AND(L308="",[1]Übersicht!L308=""),"",IF(AND(L308="NEGATIV EV",[1]Übersicht!L308="NO BET"),"NO BET",IF(AND(NOT(L308="NEGATIV EV"),L308&gt;[1]Übersicht!L308),"BET365",IF([1]Übersicht!L308="NO BET","BET365","PINNACLE"))))</f>
        <v>BET365</v>
      </c>
      <c r="O308" s="138">
        <f>IF(OR(N308="",N308="NO BET"),"",IF(N308="PINNACLE",IF([1]Übersicht!K308="T1",[1]Übersicht!G308*[1]Übersicht!M308-[1]Übersicht!M308,[1]Übersicht!H308*[1]Übersicht!M308-[1]Übersicht!M308),IF(K308="T1",G308*M308*0.95-M308,H308*M308*0.95-M308)))</f>
        <v>104.0625</v>
      </c>
      <c r="P308" s="136" t="s">
        <v>88</v>
      </c>
      <c r="Q308" s="69"/>
      <c r="R308" s="52">
        <f>IF(OR(P308="",N308="NO BET"),0,IF(K308=P308,O308,IF(N308="PINNACLE",-[1]Übersicht!M308,-M308)))</f>
        <v>-56.25</v>
      </c>
      <c r="S308" s="69"/>
      <c r="T308" s="241"/>
      <c r="U308" s="9"/>
    </row>
    <row r="309" spans="1:21" ht="18" customHeight="1" thickBot="1" x14ac:dyDescent="0.25">
      <c r="A309" s="257"/>
      <c r="B309" s="246"/>
      <c r="C309" s="167">
        <v>0.55000000000000004</v>
      </c>
      <c r="D309" s="7" t="s">
        <v>48</v>
      </c>
      <c r="E309" s="7" t="s">
        <v>86</v>
      </c>
      <c r="F309" s="7">
        <f t="shared" si="83"/>
        <v>0.44999999999999996</v>
      </c>
      <c r="G309" s="7">
        <v>1.44</v>
      </c>
      <c r="H309" s="7">
        <v>2.62</v>
      </c>
      <c r="I309" s="7">
        <f t="shared" si="84"/>
        <v>0.79200000000000004</v>
      </c>
      <c r="J309" s="7">
        <f t="shared" si="85"/>
        <v>1.1789999999999998</v>
      </c>
      <c r="K309" s="7" t="str">
        <f t="shared" si="80"/>
        <v>T2</v>
      </c>
      <c r="L309" s="131">
        <f t="shared" si="81"/>
        <v>0.12004999999999977</v>
      </c>
      <c r="M309" s="60">
        <f t="shared" si="82"/>
        <v>56.25</v>
      </c>
      <c r="N309" s="133" t="str">
        <f>IF(AND(L309="",[1]Übersicht!L309=""),"",IF(AND(L309="NEGATIV EV",[1]Übersicht!L309="NO BET"),"NO BET",IF(AND(NOT(L309="NEGATIV EV"),L309&gt;[1]Übersicht!L309),"BET365",IF([1]Übersicht!L309="NO BET","BET365","PINNACLE"))))</f>
        <v>PINNACLE</v>
      </c>
      <c r="O309" s="140">
        <f>IF(OR(N309="",N309="NO BET"),"",IF(N309="PINNACLE",IF([1]Übersicht!K309="T1",[1]Übersicht!G309*[1]Übersicht!M309-[1]Übersicht!M309,[1]Übersicht!H309*[1]Übersicht!M309-[1]Übersicht!M309),IF(K309="T1",G309*M309*0.95-M309,H309*M309*0.95-M309)))</f>
        <v>101.25</v>
      </c>
      <c r="P309" s="136" t="s">
        <v>40</v>
      </c>
      <c r="Q309" s="69"/>
      <c r="R309" s="52">
        <f>IF(OR(P309="",N309="NO BET"),0,IF(K309=P309,O309,IF(N309="PINNACLE",-[1]Übersicht!M309,-M309)))</f>
        <v>101.25</v>
      </c>
      <c r="S309" s="69"/>
      <c r="T309" s="241"/>
      <c r="U309" s="9"/>
    </row>
    <row r="310" spans="1:21" ht="18" customHeight="1" thickBot="1" x14ac:dyDescent="0.25">
      <c r="A310" s="257"/>
      <c r="B310" s="246"/>
      <c r="C310" s="166">
        <v>0.48</v>
      </c>
      <c r="D310" s="53" t="s">
        <v>59</v>
      </c>
      <c r="E310" s="53" t="s">
        <v>53</v>
      </c>
      <c r="F310" s="53">
        <f t="shared" si="83"/>
        <v>0.52</v>
      </c>
      <c r="G310" s="53">
        <v>2.1</v>
      </c>
      <c r="H310" s="53">
        <v>1.66</v>
      </c>
      <c r="I310" s="53">
        <f t="shared" si="84"/>
        <v>1.008</v>
      </c>
      <c r="J310" s="53">
        <f t="shared" si="85"/>
        <v>0.86319999999999997</v>
      </c>
      <c r="K310" s="53" t="str">
        <f t="shared" si="80"/>
        <v>T1</v>
      </c>
      <c r="L310" s="130" t="str">
        <f>IF(AND(K310=""),"",IF(AND((J310*0.95-1)&lt;0,(I310*0.95-1)&lt;0),"NEGATIV EV", IF(AND(K310="T1"),I310*0.95 - 1,J310*0.95 - 1)))</f>
        <v>NEGATIV EV</v>
      </c>
      <c r="M310" s="55" t="str">
        <f>IF(L310="","",IF(L310&lt;0.5,K$2*M$2,IF(L310&lt;0.75,K$2*M$3,IF(L310&lt;1,K$2*M$4,IF(L310&lt;1.25,K$2*M$5,IF(L310&lt;1.5,K$2*M$6,IF(L310&lt;2,K$2*M$7,IF(L310&lt;2.5,K$2*M$8,IF(L310="NEGATIV EV","NEGATIV EV",K$2*M$9)))))))))</f>
        <v>NEGATIV EV</v>
      </c>
      <c r="N310" s="133" t="str">
        <f>IF(AND(L310="",[1]Übersicht!L310=""),"",IF(AND(L310="NEGATIV EV",[1]Übersicht!L310="NO BET"),"NO BET",IF(AND(NOT(L310="NEGATIV EV"),L310&gt;[1]Übersicht!L310),"BET365",IF([1]Übersicht!L310="NO BET","BET365","PINNACLE"))))</f>
        <v>NO BET</v>
      </c>
      <c r="O310" s="138" t="str">
        <f>IF(OR(N310="",N310="NO BET"),"",IF(N310="PINNACLE",IF([1]Übersicht!K310="T1",[1]Übersicht!G310*[1]Übersicht!M310-[1]Übersicht!M310,[1]Übersicht!H310*[1]Übersicht!M310-[1]Übersicht!M310),IF(K310="T1",G310*M310*0.95-M310,H310*M310*0.95-M310)))</f>
        <v/>
      </c>
      <c r="P310" s="136"/>
      <c r="Q310" s="69"/>
      <c r="R310" s="52">
        <f>IF(OR(P310="",N310="NO BET"),0,IF(K310=P310,O310,IF(N310="PINNACLE",-[1]Übersicht!M310,-M310)))</f>
        <v>0</v>
      </c>
      <c r="S310" s="69"/>
      <c r="T310" s="241"/>
      <c r="U310" s="9"/>
    </row>
    <row r="311" spans="1:21" ht="16.5" thickBot="1" x14ac:dyDescent="0.25">
      <c r="A311" s="257"/>
      <c r="B311" s="246"/>
      <c r="C311" s="167">
        <v>0.55000000000000004</v>
      </c>
      <c r="D311" s="7" t="s">
        <v>86</v>
      </c>
      <c r="E311" s="7" t="s">
        <v>65</v>
      </c>
      <c r="F311" s="7">
        <f t="shared" si="83"/>
        <v>0.44999999999999996</v>
      </c>
      <c r="G311" s="7">
        <v>1.5</v>
      </c>
      <c r="H311" s="7">
        <v>2.5</v>
      </c>
      <c r="I311" s="7">
        <f t="shared" si="84"/>
        <v>0.82500000000000007</v>
      </c>
      <c r="J311" s="7">
        <f t="shared" si="85"/>
        <v>1.125</v>
      </c>
      <c r="K311" s="7" t="str">
        <f t="shared" si="80"/>
        <v>T2</v>
      </c>
      <c r="L311" s="131">
        <f t="shared" ref="L311:L314" si="86">IF(AND(K311=""),"",IF(AND((J311*0.95-1)&lt;0,(I311*0.95-1)&lt;0),"NEGATIV EV", IF(AND(K311="T1"),I311*0.95 - 1,J311*0.95 - 1)))</f>
        <v>6.8749999999999867E-2</v>
      </c>
      <c r="M311" s="59">
        <f t="shared" ref="M311:M314" si="87">IF(L311="","",IF(L311&lt;0.5,K$2*M$2,IF(L311&lt;0.75,K$2*M$3,IF(L311&lt;1,K$2*M$4,IF(L311&lt;1.25,K$2*M$5,IF(L311&lt;1.5,K$2*M$6,IF(L311&lt;2,K$2*M$7,IF(L311&lt;2.5,K$2*M$8,IF(L311="NEGATIV EV","NEGATIV EV",K$2*M$9)))))))))</f>
        <v>56.25</v>
      </c>
      <c r="N311" s="133" t="str">
        <f>IF(AND(L311="",[1]Übersicht!L311=""),"",IF(AND(L311="NEGATIV EV",[1]Übersicht!L311="NO BET"),"NO BET",IF(AND(NOT(L311="NEGATIV EV"),L311&gt;[1]Übersicht!L311),"BET365",IF([1]Übersicht!L311="NO BET","BET365","PINNACLE"))))</f>
        <v>PINNACLE</v>
      </c>
      <c r="O311" s="140">
        <f>IF(OR(N311="",N311="NO BET"),"",IF(N311="PINNACLE",IF([1]Übersicht!K311="T1",[1]Übersicht!G311*[1]Übersicht!M311-[1]Übersicht!M311,[1]Übersicht!H311*[1]Übersicht!M311-[1]Übersicht!M311),IF(K311="T1",G311*M311*0.95-M311,H311*M311*0.95-M311)))</f>
        <v>84.9375</v>
      </c>
      <c r="P311" s="56" t="s">
        <v>88</v>
      </c>
      <c r="Q311" s="69"/>
      <c r="R311" s="52">
        <f>IF(OR(P311="",N311="NO BET"),0,IF(K311=P311,O311,IF(N311="PINNACLE",-[1]Übersicht!M311,-M311)))</f>
        <v>-56.25</v>
      </c>
      <c r="S311" s="69"/>
      <c r="T311" s="61" t="s">
        <v>31</v>
      </c>
      <c r="U311" s="9"/>
    </row>
    <row r="312" spans="1:21" ht="18.75" customHeight="1" thickBot="1" x14ac:dyDescent="0.25">
      <c r="A312" s="257"/>
      <c r="B312" s="246"/>
      <c r="C312" s="166">
        <v>0.5</v>
      </c>
      <c r="D312" s="53" t="s">
        <v>52</v>
      </c>
      <c r="E312" s="53" t="s">
        <v>66</v>
      </c>
      <c r="F312" s="53">
        <f t="shared" si="83"/>
        <v>0.5</v>
      </c>
      <c r="G312" s="53">
        <v>2.25</v>
      </c>
      <c r="H312" s="53">
        <v>1.57</v>
      </c>
      <c r="I312" s="53">
        <f t="shared" si="84"/>
        <v>1.125</v>
      </c>
      <c r="J312" s="53">
        <f t="shared" si="85"/>
        <v>0.78500000000000003</v>
      </c>
      <c r="K312" s="53" t="str">
        <f t="shared" si="80"/>
        <v>T1</v>
      </c>
      <c r="L312" s="130">
        <f t="shared" si="86"/>
        <v>6.8749999999999867E-2</v>
      </c>
      <c r="M312" s="62">
        <f t="shared" si="87"/>
        <v>56.25</v>
      </c>
      <c r="N312" s="133" t="str">
        <f>IF(AND(L312="",[1]Übersicht!L312=""),"",IF(AND(L312="NEGATIV EV",[1]Übersicht!L312="NO BET"),"NO BET",IF(AND(NOT(L312="NEGATIV EV"),L312&gt;[1]Übersicht!L312),"BET365",IF([1]Übersicht!L312="NO BET","BET365","PINNACLE"))))</f>
        <v>PINNACLE</v>
      </c>
      <c r="O312" s="138">
        <f>IF(OR(N312="",N312="NO BET"),"",IF(N312="PINNACLE",IF([1]Übersicht!K312="T1",[1]Übersicht!G312*[1]Übersicht!M312-[1]Übersicht!M312,[1]Übersicht!H312*[1]Übersicht!M312-[1]Übersicht!M312),IF(K312="T1",G312*M312*0.95-M312,H312*M312*0.95-M312)))</f>
        <v>87.75</v>
      </c>
      <c r="P312" s="136" t="s">
        <v>40</v>
      </c>
      <c r="Q312" s="69"/>
      <c r="R312" s="52">
        <f>IF(OR(P312="",N312="NO BET"),0,IF(K312=P312,O312,IF(N312="PINNACLE",-[1]Übersicht!M312,-M312)))</f>
        <v>-56.25</v>
      </c>
      <c r="S312" s="69"/>
      <c r="T312" s="248" t="e">
        <f>IF(AND(NOT(N305=0)),T305/N305,0)</f>
        <v>#VALUE!</v>
      </c>
      <c r="U312" s="9"/>
    </row>
    <row r="313" spans="1:21" ht="18" customHeight="1" thickBot="1" x14ac:dyDescent="0.25">
      <c r="A313" s="257"/>
      <c r="B313" s="246"/>
      <c r="C313" s="167">
        <v>0.44</v>
      </c>
      <c r="D313" s="7" t="s">
        <v>60</v>
      </c>
      <c r="E313" s="7" t="s">
        <v>48</v>
      </c>
      <c r="F313" s="7">
        <f t="shared" si="83"/>
        <v>0.56000000000000005</v>
      </c>
      <c r="G313" s="7">
        <v>2.75</v>
      </c>
      <c r="H313" s="7">
        <v>1.4</v>
      </c>
      <c r="I313" s="7">
        <f t="shared" si="84"/>
        <v>1.21</v>
      </c>
      <c r="J313" s="7">
        <f t="shared" si="85"/>
        <v>0.78400000000000003</v>
      </c>
      <c r="K313" s="7" t="str">
        <f t="shared" si="80"/>
        <v>T1</v>
      </c>
      <c r="L313" s="131">
        <f t="shared" si="86"/>
        <v>0.14949999999999997</v>
      </c>
      <c r="M313" s="60">
        <f t="shared" si="87"/>
        <v>56.25</v>
      </c>
      <c r="N313" s="133" t="str">
        <f>IF(AND(L313="",[1]Übersicht!L313=""),"",IF(AND(L313="NEGATIV EV",[1]Übersicht!L313="NO BET"),"NO BET",IF(AND(NOT(L313="NEGATIV EV"),L313&gt;[1]Übersicht!L313),"BET365",IF([1]Übersicht!L313="NO BET","BET365","PINNACLE"))))</f>
        <v>BET365</v>
      </c>
      <c r="O313" s="139">
        <f>IF(OR(N313="",N313="NO BET"),"",IF(N313="PINNACLE",IF([1]Übersicht!K313="T1",[1]Übersicht!G313*[1]Übersicht!M313-[1]Übersicht!M313,[1]Übersicht!H313*[1]Übersicht!M313-[1]Übersicht!M313),IF(K313="T1",G313*M313*0.95-M313,H313*M313*0.95-M313)))</f>
        <v>90.703125</v>
      </c>
      <c r="P313" s="136" t="s">
        <v>40</v>
      </c>
      <c r="Q313" s="69"/>
      <c r="R313" s="52">
        <f>IF(OR(P313="",N313="NO BET"),0,IF(K313=P313,O313,IF(N313="PINNACLE",-[1]Übersicht!M313,-M313)))</f>
        <v>-56.25</v>
      </c>
      <c r="S313" s="69"/>
      <c r="T313" s="249"/>
      <c r="U313" s="9"/>
    </row>
    <row r="314" spans="1:21" ht="18.75" customHeight="1" thickBot="1" x14ac:dyDescent="0.25">
      <c r="A314" s="258"/>
      <c r="B314" s="247"/>
      <c r="C314" s="168">
        <v>0.48</v>
      </c>
      <c r="D314" s="63" t="s">
        <v>62</v>
      </c>
      <c r="E314" s="63" t="s">
        <v>50</v>
      </c>
      <c r="F314" s="63">
        <f t="shared" si="83"/>
        <v>0.52</v>
      </c>
      <c r="G314" s="63">
        <v>2.2000000000000002</v>
      </c>
      <c r="H314" s="63">
        <v>1.61</v>
      </c>
      <c r="I314" s="63">
        <f t="shared" si="84"/>
        <v>1.056</v>
      </c>
      <c r="J314" s="63">
        <f t="shared" si="85"/>
        <v>0.83720000000000006</v>
      </c>
      <c r="K314" s="63" t="str">
        <f t="shared" si="80"/>
        <v>T1</v>
      </c>
      <c r="L314" s="132">
        <f t="shared" si="86"/>
        <v>3.2000000000000917E-3</v>
      </c>
      <c r="M314" s="65">
        <f t="shared" si="87"/>
        <v>56.25</v>
      </c>
      <c r="N314" s="133" t="str">
        <f>IF(AND(L314="",[1]Übersicht!L314=""),"",IF(AND(L314="NEGATIV EV",[1]Übersicht!L314="NO BET"),"NO BET",IF(AND(NOT(L314="NEGATIV EV"),L314&gt;[1]Übersicht!L314),"BET365",IF([1]Übersicht!L314="NO BET","BET365","PINNACLE"))))</f>
        <v>PINNACLE</v>
      </c>
      <c r="O314" s="138">
        <f>IF(OR(N314="",N314="NO BET"),"",IF(N314="PINNACLE",IF([1]Übersicht!K314="T1",[1]Übersicht!G314*[1]Übersicht!M314-[1]Übersicht!M314,[1]Übersicht!H314*[1]Übersicht!M314-[1]Übersicht!M314),IF(K314="T1",G314*M314*0.95-M314,H314*M314*0.95-M314)))</f>
        <v>92.8125</v>
      </c>
      <c r="P314" s="66" t="s">
        <v>40</v>
      </c>
      <c r="Q314" s="9"/>
      <c r="R314" s="135">
        <f>IF(OR(P314="",N314="NO BET"),0,IF(K314=P314,O314,IF(N314="PINNACLE",-[1]Übersicht!M314,-M314)))</f>
        <v>-56.25</v>
      </c>
      <c r="S314" s="9"/>
      <c r="T314" s="250"/>
      <c r="U314" s="9"/>
    </row>
    <row r="315" spans="1:21" x14ac:dyDescent="0.2">
      <c r="A315" s="9"/>
      <c r="B315" s="9"/>
      <c r="C315" s="11"/>
      <c r="D315" s="9"/>
      <c r="E315" s="9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69"/>
      <c r="R315" s="10"/>
      <c r="S315" s="69"/>
      <c r="T315" s="11"/>
      <c r="U315" s="9"/>
    </row>
    <row r="316" spans="1:21" x14ac:dyDescent="0.2">
      <c r="A316" s="9"/>
      <c r="B316" s="9"/>
      <c r="C316" s="11"/>
      <c r="D316" s="9"/>
      <c r="E316" s="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10"/>
      <c r="S316" s="9"/>
      <c r="T316" s="11"/>
      <c r="U316" s="9"/>
    </row>
    <row r="317" spans="1:21" ht="15.75" thickBot="1" x14ac:dyDescent="0.25">
      <c r="A317" s="9"/>
      <c r="B317" s="9"/>
      <c r="C317" s="11"/>
      <c r="D317" s="9"/>
      <c r="E317" s="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10"/>
      <c r="S317" s="9"/>
      <c r="T317" s="11"/>
      <c r="U317" s="9"/>
    </row>
    <row r="318" spans="1:21" ht="19.5" customHeight="1" thickBot="1" x14ac:dyDescent="0.25">
      <c r="A318" s="79" t="s">
        <v>6</v>
      </c>
      <c r="B318" s="245" t="s">
        <v>20</v>
      </c>
      <c r="C318" s="160"/>
      <c r="D318" s="43" t="s">
        <v>9</v>
      </c>
      <c r="E318" s="43" t="s">
        <v>10</v>
      </c>
      <c r="F318" s="43" t="s">
        <v>11</v>
      </c>
      <c r="G318" s="43" t="s">
        <v>12</v>
      </c>
      <c r="H318" s="43" t="s">
        <v>13</v>
      </c>
      <c r="I318" s="43" t="s">
        <v>14</v>
      </c>
      <c r="J318" s="43" t="s">
        <v>15</v>
      </c>
      <c r="K318" s="43" t="s">
        <v>33</v>
      </c>
      <c r="L318" s="43" t="s">
        <v>16</v>
      </c>
      <c r="M318" s="43" t="s">
        <v>38</v>
      </c>
      <c r="N318" s="128" t="s">
        <v>87</v>
      </c>
      <c r="O318" s="128" t="s">
        <v>89</v>
      </c>
      <c r="P318" s="137" t="s">
        <v>18</v>
      </c>
      <c r="Q318" s="69"/>
      <c r="R318" s="134" t="s">
        <v>34</v>
      </c>
      <c r="S318" s="69"/>
      <c r="T318" s="47" t="s">
        <v>29</v>
      </c>
      <c r="U318" s="9"/>
    </row>
    <row r="319" spans="1:21" ht="15.75" customHeight="1" thickBot="1" x14ac:dyDescent="0.25">
      <c r="A319" s="80"/>
      <c r="B319" s="246"/>
      <c r="C319" s="165">
        <v>0.54</v>
      </c>
      <c r="D319" s="71" t="s">
        <v>65</v>
      </c>
      <c r="E319" s="71" t="s">
        <v>52</v>
      </c>
      <c r="F319" s="48">
        <f>IF(AND(C319=""),"",1-C319)</f>
        <v>0.45999999999999996</v>
      </c>
      <c r="G319" s="48">
        <v>2.2000000000000002</v>
      </c>
      <c r="H319" s="48">
        <v>1.61</v>
      </c>
      <c r="I319" s="48">
        <f>IF(AND(C319=""),"",G319*C319)</f>
        <v>1.1880000000000002</v>
      </c>
      <c r="J319" s="48">
        <f>IF(AND(C319=""),"",H319*F319)</f>
        <v>0.74060000000000004</v>
      </c>
      <c r="K319" s="48" t="str">
        <f t="shared" ref="K319:K328" si="88">IF(AND(I319=""),"",IF(AND(I319&gt;J319),"T1","T2"))</f>
        <v>T1</v>
      </c>
      <c r="L319" s="129">
        <f t="shared" ref="L319:L323" si="89">IF(AND(K319=""),"",IF(AND((J319*0.95-1)&lt;0,(I319*0.95-1)&lt;0),"NEGATIV EV", IF(AND(K319="T1"),I319*0.95 - 1,J319*0.95 - 1)))</f>
        <v>0.12860000000000005</v>
      </c>
      <c r="M319" s="50">
        <f t="shared" ref="M319:M323" si="90">IF(L319="","",IF(L319&lt;0.5,K$2*M$2,IF(L319&lt;0.75,K$2*M$3,IF(L319&lt;1,K$2*M$4,IF(L319&lt;1.25,K$2*M$5,IF(L319&lt;1.5,K$2*M$6,IF(L319&lt;2,K$2*M$7,IF(L319&lt;2.5,K$2*M$8,IF(L319="NEGATIV EV","NEGATIV EV",K$2*M$9)))))))))</f>
        <v>56.25</v>
      </c>
      <c r="N319" s="133" t="str">
        <f>IF(AND(L319="",[1]Übersicht!L319=""),"",IF(AND(L319="NEGATIV EV",[1]Übersicht!L319="NO BET"),"NO BET",IF(AND(NOT(L319="NEGATIV EV"),L319&gt;[1]Übersicht!L319),"BET365",IF([1]Übersicht!L319="NO BET","BET365","PINNACLE"))))</f>
        <v>BET365</v>
      </c>
      <c r="O319" s="140">
        <f>IF(OR(N319="",N319="NO BET"),"",IF(N319="PINNACLE",IF([1]Übersicht!K319="T1",[1]Übersicht!G319*[1]Übersicht!M319-[1]Übersicht!M319,[1]Übersicht!H319*[1]Übersicht!M319-[1]Übersicht!M319),IF(K319="T1",G319*M319*0.95-M319,H319*M319*0.95-M319)))</f>
        <v>61.312500000000014</v>
      </c>
      <c r="P319" s="136"/>
      <c r="Q319" s="70"/>
      <c r="R319" s="52">
        <f>IF(OR(P319="",N319="NO BET"),0,IF(K319=P319,O319,IF(N319="PINNACLE",-[1]Übersicht!M319,-M319)))</f>
        <v>0</v>
      </c>
      <c r="S319" s="69"/>
      <c r="T319" s="241">
        <f>SUM(R319:R328)</f>
        <v>0</v>
      </c>
      <c r="U319" s="9"/>
    </row>
    <row r="320" spans="1:21" ht="15.75" customHeight="1" thickBot="1" x14ac:dyDescent="0.25">
      <c r="A320" s="257" t="s">
        <v>6</v>
      </c>
      <c r="B320" s="246"/>
      <c r="C320" s="166">
        <v>0.51</v>
      </c>
      <c r="D320" s="72" t="s">
        <v>66</v>
      </c>
      <c r="E320" s="72" t="s">
        <v>59</v>
      </c>
      <c r="F320" s="53">
        <f t="shared" ref="F320:F328" si="91">IF(AND(C320=""),"",1-C320)</f>
        <v>0.49</v>
      </c>
      <c r="G320" s="53">
        <v>1.5</v>
      </c>
      <c r="H320" s="53">
        <v>2.5</v>
      </c>
      <c r="I320" s="53">
        <f t="shared" ref="I320:I328" si="92">IF(AND(C320=""),"",G320*C320)</f>
        <v>0.76500000000000001</v>
      </c>
      <c r="J320" s="53">
        <f t="shared" ref="J320:J328" si="93">IF(AND(C320=""),"",H320*F320)</f>
        <v>1.2250000000000001</v>
      </c>
      <c r="K320" s="53" t="str">
        <f t="shared" si="88"/>
        <v>T2</v>
      </c>
      <c r="L320" s="130">
        <f t="shared" si="89"/>
        <v>0.16375000000000006</v>
      </c>
      <c r="M320" s="55">
        <f t="shared" si="90"/>
        <v>56.25</v>
      </c>
      <c r="N320" s="133" t="str">
        <f>IF(AND(L320="",[1]Übersicht!L320=""),"",IF(AND(L320="NEGATIV EV",[1]Übersicht!L320="NO BET"),"NO BET",IF(AND(NOT(L320="NEGATIV EV"),L320&gt;[1]Übersicht!L320),"BET365",IF([1]Übersicht!L320="NO BET","BET365","PINNACLE"))))</f>
        <v>BET365</v>
      </c>
      <c r="O320" s="138">
        <f>IF(OR(N320="",N320="NO BET"),"",IF(N320="PINNACLE",IF([1]Übersicht!K320="T1",[1]Übersicht!G320*[1]Übersicht!M320-[1]Übersicht!M320,[1]Übersicht!H320*[1]Übersicht!M320-[1]Übersicht!M320),IF(K320="T1",G320*M320*0.95-M320,H320*M320*0.95-M320)))</f>
        <v>77.34375</v>
      </c>
      <c r="P320" s="136"/>
      <c r="Q320" s="69"/>
      <c r="R320" s="52">
        <f>IF(OR(P320="",N320="NO BET"),0,IF(K320=P320,O320,IF(N320="PINNACLE",-[1]Übersicht!M320,-M320)))</f>
        <v>0</v>
      </c>
      <c r="S320" s="69"/>
      <c r="T320" s="241"/>
      <c r="U320" s="9"/>
    </row>
    <row r="321" spans="1:21" ht="15.75" customHeight="1" thickBot="1" x14ac:dyDescent="0.25">
      <c r="A321" s="257"/>
      <c r="B321" s="246"/>
      <c r="C321" s="167">
        <v>0.5</v>
      </c>
      <c r="D321" s="73" t="s">
        <v>50</v>
      </c>
      <c r="E321" s="73" t="s">
        <v>60</v>
      </c>
      <c r="F321" s="7">
        <f t="shared" si="91"/>
        <v>0.5</v>
      </c>
      <c r="G321" s="7">
        <v>1.53</v>
      </c>
      <c r="H321" s="7">
        <v>2.37</v>
      </c>
      <c r="I321" s="7">
        <f t="shared" si="92"/>
        <v>0.76500000000000001</v>
      </c>
      <c r="J321" s="7">
        <f t="shared" si="93"/>
        <v>1.1850000000000001</v>
      </c>
      <c r="K321" s="7" t="str">
        <f t="shared" si="88"/>
        <v>T2</v>
      </c>
      <c r="L321" s="131">
        <f t="shared" si="89"/>
        <v>0.12575000000000003</v>
      </c>
      <c r="M321" s="59">
        <f t="shared" si="90"/>
        <v>56.25</v>
      </c>
      <c r="N321" s="133" t="str">
        <f>IF(AND(L321="",[1]Übersicht!L321=""),"",IF(AND(L321="NEGATIV EV",[1]Übersicht!L321="NO BET"),"NO BET",IF(AND(NOT(L321="NEGATIV EV"),L321&gt;[1]Übersicht!L321),"BET365",IF([1]Übersicht!L321="NO BET","BET365","PINNACLE"))))</f>
        <v>BET365</v>
      </c>
      <c r="O321" s="140">
        <f>IF(OR(N321="",N321="NO BET"),"",IF(N321="PINNACLE",IF([1]Übersicht!K321="T1",[1]Übersicht!G321*[1]Übersicht!M321-[1]Übersicht!M321,[1]Übersicht!H321*[1]Übersicht!M321-[1]Übersicht!M321),IF(K321="T1",G321*M321*0.95-M321,H321*M321*0.95-M321)))</f>
        <v>70.396874999999994</v>
      </c>
      <c r="P321" s="136"/>
      <c r="Q321" s="69"/>
      <c r="R321" s="52">
        <f>IF(OR(P321="",N321="NO BET"),0,IF(K321=P321,O321,IF(N321="PINNACLE",-[1]Übersicht!M321,-M321)))</f>
        <v>0</v>
      </c>
      <c r="S321" s="69"/>
      <c r="T321" s="241"/>
      <c r="U321" s="9"/>
    </row>
    <row r="322" spans="1:21" ht="15.75" customHeight="1" thickBot="1" x14ac:dyDescent="0.25">
      <c r="A322" s="257"/>
      <c r="B322" s="246"/>
      <c r="C322" s="166">
        <v>0.47</v>
      </c>
      <c r="D322" s="72" t="s">
        <v>53</v>
      </c>
      <c r="E322" s="72" t="s">
        <v>48</v>
      </c>
      <c r="F322" s="53">
        <f t="shared" si="91"/>
        <v>0.53</v>
      </c>
      <c r="G322" s="53">
        <v>2.5</v>
      </c>
      <c r="H322" s="53">
        <v>1.5</v>
      </c>
      <c r="I322" s="53">
        <f t="shared" si="92"/>
        <v>1.1749999999999998</v>
      </c>
      <c r="J322" s="53">
        <f t="shared" si="93"/>
        <v>0.79500000000000004</v>
      </c>
      <c r="K322" s="53" t="str">
        <f t="shared" si="88"/>
        <v>T1</v>
      </c>
      <c r="L322" s="130">
        <f t="shared" si="89"/>
        <v>0.11624999999999974</v>
      </c>
      <c r="M322" s="55">
        <f t="shared" si="90"/>
        <v>56.25</v>
      </c>
      <c r="N322" s="133" t="str">
        <f>IF(AND(L322="",[1]Übersicht!L322=""),"",IF(AND(L322="NEGATIV EV",[1]Übersicht!L322="NO BET"),"NO BET",IF(AND(NOT(L322="NEGATIV EV"),L322&gt;[1]Übersicht!L322),"BET365",IF([1]Übersicht!L322="NO BET","BET365","PINNACLE"))))</f>
        <v>BET365</v>
      </c>
      <c r="O322" s="138">
        <f>IF(OR(N322="",N322="NO BET"),"",IF(N322="PINNACLE",IF([1]Übersicht!K322="T1",[1]Übersicht!G322*[1]Übersicht!M322-[1]Übersicht!M322,[1]Übersicht!H322*[1]Übersicht!M322-[1]Übersicht!M322),IF(K322="T1",G322*M322*0.95-M322,H322*M322*0.95-M322)))</f>
        <v>77.34375</v>
      </c>
      <c r="P322" s="136"/>
      <c r="Q322" s="69"/>
      <c r="R322" s="52">
        <f>IF(OR(P322="",N322="NO BET"),0,IF(K322=P322,O322,IF(N322="PINNACLE",-[1]Übersicht!M322,-M322)))</f>
        <v>0</v>
      </c>
      <c r="S322" s="69"/>
      <c r="T322" s="241"/>
      <c r="U322" s="9"/>
    </row>
    <row r="323" spans="1:21" ht="15.75" customHeight="1" thickBot="1" x14ac:dyDescent="0.25">
      <c r="A323" s="257"/>
      <c r="B323" s="246"/>
      <c r="C323" s="167">
        <v>0.5</v>
      </c>
      <c r="D323" s="73" t="s">
        <v>86</v>
      </c>
      <c r="E323" s="73" t="s">
        <v>62</v>
      </c>
      <c r="F323" s="7">
        <f t="shared" si="91"/>
        <v>0.5</v>
      </c>
      <c r="G323" s="7">
        <v>1.72</v>
      </c>
      <c r="H323" s="7">
        <v>2</v>
      </c>
      <c r="I323" s="7">
        <f t="shared" si="92"/>
        <v>0.86</v>
      </c>
      <c r="J323" s="7">
        <f t="shared" si="93"/>
        <v>1</v>
      </c>
      <c r="K323" s="7" t="str">
        <f t="shared" si="88"/>
        <v>T2</v>
      </c>
      <c r="L323" s="131" t="str">
        <f t="shared" si="89"/>
        <v>NEGATIV EV</v>
      </c>
      <c r="M323" s="60" t="str">
        <f t="shared" si="90"/>
        <v>NEGATIV EV</v>
      </c>
      <c r="N323" s="133" t="str">
        <f>IF(AND(L323="",[1]Übersicht!L323=""),"",IF(AND(L323="NEGATIV EV",[1]Übersicht!L323="NO BET"),"NO BET",IF(AND(NOT(L323="NEGATIV EV"),L323&gt;[1]Übersicht!L323),"BET365",IF([1]Übersicht!L323="NO BET","BET365","PINNACLE"))))</f>
        <v>NO BET</v>
      </c>
      <c r="O323" s="140" t="str">
        <f>IF(OR(N323="",N323="NO BET"),"",IF(N323="PINNACLE",IF([1]Übersicht!K323="T1",[1]Übersicht!G323*[1]Übersicht!M323-[1]Übersicht!M323,[1]Übersicht!H323*[1]Übersicht!M323-[1]Übersicht!M323),IF(K323="T1",G323*M323*0.95-M323,H323*M323*0.95-M323)))</f>
        <v/>
      </c>
      <c r="P323" s="136"/>
      <c r="Q323" s="69"/>
      <c r="R323" s="52">
        <f>IF(OR(P323="",N323="NO BET"),0,IF(K323=P323,O323,IF(N323="PINNACLE",-[1]Übersicht!M323,-M323)))</f>
        <v>0</v>
      </c>
      <c r="S323" s="69"/>
      <c r="T323" s="241"/>
      <c r="U323" s="9"/>
    </row>
    <row r="324" spans="1:21" ht="15.75" customHeight="1" thickBot="1" x14ac:dyDescent="0.25">
      <c r="A324" s="257"/>
      <c r="B324" s="246"/>
      <c r="C324" s="166">
        <v>0.46</v>
      </c>
      <c r="D324" s="72" t="s">
        <v>59</v>
      </c>
      <c r="E324" s="72" t="s">
        <v>60</v>
      </c>
      <c r="F324" s="53">
        <f t="shared" si="91"/>
        <v>0.54</v>
      </c>
      <c r="G324" s="53">
        <v>2.25</v>
      </c>
      <c r="H324" s="53">
        <v>1.57</v>
      </c>
      <c r="I324" s="53">
        <f t="shared" si="92"/>
        <v>1.0350000000000001</v>
      </c>
      <c r="J324" s="53">
        <f t="shared" si="93"/>
        <v>0.84780000000000011</v>
      </c>
      <c r="K324" s="53" t="str">
        <f t="shared" si="88"/>
        <v>T1</v>
      </c>
      <c r="L324" s="130" t="str">
        <f>IF(AND(K324=""),"",IF(AND((J324*0.95-1)&lt;0,(I324*0.95-1)&lt;0),"NEGATIV EV", IF(AND(K324="T1"),I324*0.95 - 1,J324*0.95 - 1)))</f>
        <v>NEGATIV EV</v>
      </c>
      <c r="M324" s="55" t="str">
        <f>IF(L324="","",IF(L324&lt;0.5,K$2*M$2,IF(L324&lt;0.75,K$2*M$3,IF(L324&lt;1,K$2*M$4,IF(L324&lt;1.25,K$2*M$5,IF(L324&lt;1.5,K$2*M$6,IF(L324&lt;2,K$2*M$7,IF(L324&lt;2.5,K$2*M$8,IF(L324="NEGATIV EV","NEGATIV EV",K$2*M$9)))))))))</f>
        <v>NEGATIV EV</v>
      </c>
      <c r="N324" s="133" t="str">
        <f>IF(AND(L324="",[1]Übersicht!L324=""),"",IF(AND(L324="NEGATIV EV",[1]Übersicht!L324="NO BET"),"NO BET",IF(AND(NOT(L324="NEGATIV EV"),L324&gt;[1]Übersicht!L324),"BET365",IF([1]Übersicht!L324="NO BET","BET365","PINNACLE"))))</f>
        <v>NO BET</v>
      </c>
      <c r="O324" s="138" t="str">
        <f>IF(OR(N324="",N324="NO BET"),"",IF(N324="PINNACLE",IF([1]Übersicht!K324="T1",[1]Übersicht!G324*[1]Übersicht!M324-[1]Übersicht!M324,[1]Übersicht!H324*[1]Übersicht!M324-[1]Übersicht!M324),IF(K324="T1",G324*M324*0.95-M324,H324*M324*0.95-M324)))</f>
        <v/>
      </c>
      <c r="P324" s="136"/>
      <c r="Q324" s="69"/>
      <c r="R324" s="52">
        <f>IF(OR(P324="",N324="NO BET"),0,IF(K324=P324,O324,IF(N324="PINNACLE",-[1]Übersicht!M324,-M324)))</f>
        <v>0</v>
      </c>
      <c r="S324" s="69"/>
      <c r="T324" s="241"/>
      <c r="U324" s="9"/>
    </row>
    <row r="325" spans="1:21" ht="16.5" thickBot="1" x14ac:dyDescent="0.25">
      <c r="A325" s="257"/>
      <c r="B325" s="246"/>
      <c r="C325" s="167">
        <v>0.46</v>
      </c>
      <c r="D325" s="73" t="s">
        <v>52</v>
      </c>
      <c r="E325" s="73" t="s">
        <v>86</v>
      </c>
      <c r="F325" s="7">
        <f t="shared" si="91"/>
        <v>0.54</v>
      </c>
      <c r="G325" s="7">
        <v>2.5</v>
      </c>
      <c r="H325" s="7">
        <v>1.5</v>
      </c>
      <c r="I325" s="7">
        <f t="shared" si="92"/>
        <v>1.1500000000000001</v>
      </c>
      <c r="J325" s="7">
        <f t="shared" si="93"/>
        <v>0.81</v>
      </c>
      <c r="K325" s="7" t="str">
        <f t="shared" si="88"/>
        <v>T1</v>
      </c>
      <c r="L325" s="131">
        <f t="shared" ref="L325:L328" si="94">IF(AND(K325=""),"",IF(AND((J325*0.95-1)&lt;0,(I325*0.95-1)&lt;0),"NEGATIV EV", IF(AND(K325="T1"),I325*0.95 - 1,J325*0.95 - 1)))</f>
        <v>9.2500000000000027E-2</v>
      </c>
      <c r="M325" s="59">
        <f t="shared" ref="M325:M328" si="95">IF(L325="","",IF(L325&lt;0.5,K$2*M$2,IF(L325&lt;0.75,K$2*M$3,IF(L325&lt;1,K$2*M$4,IF(L325&lt;1.25,K$2*M$5,IF(L325&lt;1.5,K$2*M$6,IF(L325&lt;2,K$2*M$7,IF(L325&lt;2.5,K$2*M$8,IF(L325="NEGATIV EV","NEGATIV EV",K$2*M$9)))))))))</f>
        <v>56.25</v>
      </c>
      <c r="N325" s="133" t="str">
        <f>IF(AND(L325="",[1]Übersicht!L325=""),"",IF(AND(L325="NEGATIV EV",[1]Übersicht!L325="NO BET"),"NO BET",IF(AND(NOT(L325="NEGATIV EV"),L325&gt;[1]Übersicht!L325),"BET365",IF([1]Übersicht!L325="NO BET","BET365","PINNACLE"))))</f>
        <v>BET365</v>
      </c>
      <c r="O325" s="140">
        <f>IF(OR(N325="",N325="NO BET"),"",IF(N325="PINNACLE",IF([1]Übersicht!K325="T1",[1]Übersicht!G325*[1]Übersicht!M325-[1]Übersicht!M325,[1]Übersicht!H325*[1]Übersicht!M325-[1]Übersicht!M325),IF(K325="T1",G325*M325*0.95-M325,H325*M325*0.95-M325)))</f>
        <v>77.34375</v>
      </c>
      <c r="P325" s="56"/>
      <c r="Q325" s="69"/>
      <c r="R325" s="52">
        <f>IF(OR(P325="",N325="NO BET"),0,IF(K325=P325,O325,IF(N325="PINNACLE",-[1]Übersicht!M325,-M325)))</f>
        <v>0</v>
      </c>
      <c r="S325" s="69"/>
      <c r="T325" s="61" t="s">
        <v>31</v>
      </c>
      <c r="U325" s="9"/>
    </row>
    <row r="326" spans="1:21" ht="15.75" customHeight="1" thickBot="1" x14ac:dyDescent="0.25">
      <c r="A326" s="257"/>
      <c r="B326" s="246"/>
      <c r="C326" s="166">
        <v>0.47</v>
      </c>
      <c r="D326" s="72" t="s">
        <v>53</v>
      </c>
      <c r="E326" s="72" t="s">
        <v>50</v>
      </c>
      <c r="F326" s="53">
        <f t="shared" si="91"/>
        <v>0.53</v>
      </c>
      <c r="G326" s="53">
        <v>2.62</v>
      </c>
      <c r="H326" s="53">
        <v>1.44</v>
      </c>
      <c r="I326" s="53">
        <f t="shared" si="92"/>
        <v>1.2314000000000001</v>
      </c>
      <c r="J326" s="53">
        <f t="shared" si="93"/>
        <v>0.76319999999999999</v>
      </c>
      <c r="K326" s="53" t="str">
        <f t="shared" si="88"/>
        <v>T1</v>
      </c>
      <c r="L326" s="130">
        <f t="shared" si="94"/>
        <v>0.16982999999999993</v>
      </c>
      <c r="M326" s="62">
        <f t="shared" si="95"/>
        <v>56.25</v>
      </c>
      <c r="N326" s="133" t="str">
        <f>IF(AND(L326="",[1]Übersicht!L326=""),"",IF(AND(L326="NEGATIV EV",[1]Übersicht!L326="NO BET"),"NO BET",IF(AND(NOT(L326="NEGATIV EV"),L326&gt;[1]Übersicht!L326),"BET365",IF([1]Übersicht!L326="NO BET","BET365","PINNACLE"))))</f>
        <v>BET365</v>
      </c>
      <c r="O326" s="138">
        <f>IF(OR(N326="",N326="NO BET"),"",IF(N326="PINNACLE",IF([1]Übersicht!K326="T1",[1]Übersicht!G326*[1]Übersicht!M326-[1]Übersicht!M326,[1]Übersicht!H326*[1]Übersicht!M326-[1]Übersicht!M326),IF(K326="T1",G326*M326*0.95-M326,H326*M326*0.95-M326)))</f>
        <v>83.756249999999994</v>
      </c>
      <c r="P326" s="136"/>
      <c r="Q326" s="69"/>
      <c r="R326" s="52">
        <f>IF(OR(P326="",N326="NO BET"),0,IF(K326=P326,O326,IF(N326="PINNACLE",-[1]Übersicht!M326,-M326)))</f>
        <v>0</v>
      </c>
      <c r="S326" s="69"/>
      <c r="T326" s="248" t="e">
        <f>IF(AND(NOT(N319=0)),T319/N319,0)</f>
        <v>#VALUE!</v>
      </c>
      <c r="U326" s="9"/>
    </row>
    <row r="327" spans="1:21" ht="15.75" customHeight="1" thickBot="1" x14ac:dyDescent="0.25">
      <c r="A327" s="257"/>
      <c r="B327" s="246"/>
      <c r="C327" s="167">
        <v>0.53</v>
      </c>
      <c r="D327" s="7" t="s">
        <v>62</v>
      </c>
      <c r="E327" s="7" t="s">
        <v>65</v>
      </c>
      <c r="F327" s="7">
        <f t="shared" si="91"/>
        <v>0.47</v>
      </c>
      <c r="G327" s="7">
        <v>1.5</v>
      </c>
      <c r="H327" s="7">
        <v>2.5</v>
      </c>
      <c r="I327" s="7">
        <f t="shared" si="92"/>
        <v>0.79500000000000004</v>
      </c>
      <c r="J327" s="7">
        <f t="shared" si="93"/>
        <v>1.1749999999999998</v>
      </c>
      <c r="K327" s="7" t="str">
        <f t="shared" si="88"/>
        <v>T2</v>
      </c>
      <c r="L327" s="131">
        <f t="shared" si="94"/>
        <v>0.11624999999999974</v>
      </c>
      <c r="M327" s="60">
        <f t="shared" si="95"/>
        <v>56.25</v>
      </c>
      <c r="N327" s="133" t="str">
        <f>IF(AND(L327="",[1]Übersicht!L327=""),"",IF(AND(L327="NEGATIV EV",[1]Übersicht!L327="NO BET"),"NO BET",IF(AND(NOT(L327="NEGATIV EV"),L327&gt;[1]Übersicht!L327),"BET365",IF([1]Übersicht!L327="NO BET","BET365","PINNACLE"))))</f>
        <v>BET365</v>
      </c>
      <c r="O327" s="139">
        <f>IF(OR(N327="",N327="NO BET"),"",IF(N327="PINNACLE",IF([1]Übersicht!K327="T1",[1]Übersicht!G327*[1]Übersicht!M327-[1]Übersicht!M327,[1]Übersicht!H327*[1]Übersicht!M327-[1]Übersicht!M327),IF(K327="T1",G327*M327*0.95-M327,H327*M327*0.95-M327)))</f>
        <v>77.34375</v>
      </c>
      <c r="P327" s="136"/>
      <c r="Q327" s="69"/>
      <c r="R327" s="52">
        <f>IF(OR(P327="",N327="NO BET"),0,IF(K327=P327,O327,IF(N327="PINNACLE",-[1]Übersicht!M327,-M327)))</f>
        <v>0</v>
      </c>
      <c r="S327" s="69"/>
      <c r="T327" s="249"/>
      <c r="U327" s="9"/>
    </row>
    <row r="328" spans="1:21" ht="15.75" customHeight="1" thickBot="1" x14ac:dyDescent="0.25">
      <c r="A328" s="258"/>
      <c r="B328" s="247"/>
      <c r="C328" s="168">
        <v>0.53</v>
      </c>
      <c r="D328" s="63" t="s">
        <v>48</v>
      </c>
      <c r="E328" s="63" t="s">
        <v>66</v>
      </c>
      <c r="F328" s="63">
        <f t="shared" si="91"/>
        <v>0.47</v>
      </c>
      <c r="G328" s="63">
        <v>1.66</v>
      </c>
      <c r="H328" s="63">
        <v>2.1</v>
      </c>
      <c r="I328" s="63">
        <f t="shared" si="92"/>
        <v>0.87980000000000003</v>
      </c>
      <c r="J328" s="63">
        <f t="shared" si="93"/>
        <v>0.98699999999999999</v>
      </c>
      <c r="K328" s="63" t="str">
        <f t="shared" si="88"/>
        <v>T2</v>
      </c>
      <c r="L328" s="132" t="str">
        <f t="shared" si="94"/>
        <v>NEGATIV EV</v>
      </c>
      <c r="M328" s="65" t="str">
        <f t="shared" si="95"/>
        <v>NEGATIV EV</v>
      </c>
      <c r="N328" s="133" t="str">
        <f>IF(AND(L328="",[1]Übersicht!L328=""),"",IF(AND(L328="NEGATIV EV",[1]Übersicht!L328="NO BET"),"NO BET",IF(AND(NOT(L328="NEGATIV EV"),L328&gt;[1]Übersicht!L328),"BET365",IF([1]Übersicht!L328="NO BET","BET365","PINNACLE"))))</f>
        <v>NO BET</v>
      </c>
      <c r="O328" s="138" t="str">
        <f>IF(OR(N328="",N328="NO BET"),"",IF(N328="PINNACLE",IF([1]Übersicht!K328="T1",[1]Übersicht!G328*[1]Übersicht!M328-[1]Übersicht!M328,[1]Übersicht!H328*[1]Übersicht!M328-[1]Übersicht!M328),IF(K328="T1",G328*M328*0.95-M328,H328*M328*0.95-M328)))</f>
        <v/>
      </c>
      <c r="P328" s="66"/>
      <c r="Q328" s="9"/>
      <c r="R328" s="135">
        <f>IF(OR(P328="",N328="NO BET"),0,IF(K328=P328,O328,IF(N328="PINNACLE",-[1]Übersicht!M328,-M328)))</f>
        <v>0</v>
      </c>
      <c r="S328" s="9"/>
      <c r="T328" s="250"/>
      <c r="U328" s="9"/>
    </row>
    <row r="329" spans="1:21" x14ac:dyDescent="0.2">
      <c r="A329" s="9"/>
      <c r="B329" s="9"/>
      <c r="C329" s="11"/>
      <c r="D329" s="9"/>
      <c r="E329" s="9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10"/>
      <c r="S329" s="9"/>
      <c r="T329" s="11"/>
      <c r="U329" s="9"/>
    </row>
    <row r="330" spans="1:21" x14ac:dyDescent="0.2">
      <c r="A330" s="9"/>
      <c r="B330" s="9"/>
      <c r="C330" s="11"/>
      <c r="D330" s="9"/>
      <c r="E330" s="9"/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10"/>
      <c r="S330" s="9"/>
      <c r="T330" s="11"/>
      <c r="U330" s="9"/>
    </row>
    <row r="331" spans="1:21" ht="15.75" thickBot="1" x14ac:dyDescent="0.25">
      <c r="A331" s="9"/>
      <c r="B331" s="9"/>
      <c r="C331" s="11"/>
      <c r="D331" s="9"/>
      <c r="E331" s="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10"/>
      <c r="S331" s="9"/>
      <c r="T331" s="11"/>
      <c r="U331" s="9"/>
    </row>
    <row r="332" spans="1:21" ht="19.5" customHeight="1" thickBot="1" x14ac:dyDescent="0.25">
      <c r="A332" s="79" t="s">
        <v>6</v>
      </c>
      <c r="B332" s="245" t="s">
        <v>21</v>
      </c>
      <c r="C332" s="160"/>
      <c r="D332" s="43" t="s">
        <v>9</v>
      </c>
      <c r="E332" s="43" t="s">
        <v>10</v>
      </c>
      <c r="F332" s="43" t="s">
        <v>11</v>
      </c>
      <c r="G332" s="43" t="s">
        <v>12</v>
      </c>
      <c r="H332" s="43" t="s">
        <v>13</v>
      </c>
      <c r="I332" s="43" t="s">
        <v>14</v>
      </c>
      <c r="J332" s="43" t="s">
        <v>15</v>
      </c>
      <c r="K332" s="43" t="s">
        <v>33</v>
      </c>
      <c r="L332" s="43" t="s">
        <v>16</v>
      </c>
      <c r="M332" s="43" t="s">
        <v>38</v>
      </c>
      <c r="N332" s="128" t="s">
        <v>87</v>
      </c>
      <c r="O332" s="128" t="s">
        <v>89</v>
      </c>
      <c r="P332" s="137" t="s">
        <v>18</v>
      </c>
      <c r="Q332" s="69"/>
      <c r="R332" s="134" t="s">
        <v>34</v>
      </c>
      <c r="S332" s="69"/>
      <c r="T332" s="47" t="s">
        <v>29</v>
      </c>
      <c r="U332" s="9"/>
    </row>
    <row r="333" spans="1:21" ht="15.75" customHeight="1" thickBot="1" x14ac:dyDescent="0.25">
      <c r="A333" s="80"/>
      <c r="B333" s="246"/>
      <c r="C333" s="165"/>
      <c r="D333" s="71"/>
      <c r="E333" s="71"/>
      <c r="F333" s="48" t="str">
        <f>IF(AND(C333=""),"",1-C333)</f>
        <v/>
      </c>
      <c r="G333" s="48"/>
      <c r="H333" s="48"/>
      <c r="I333" s="48" t="str">
        <f>IF(AND(C333=""),"",G333*C333)</f>
        <v/>
      </c>
      <c r="J333" s="48" t="str">
        <f>IF(AND(C333=""),"",H333*F333)</f>
        <v/>
      </c>
      <c r="K333" s="48" t="str">
        <f t="shared" ref="K333:K342" si="96">IF(AND(I333=""),"",IF(AND(I333&gt;J333),"T1","T2"))</f>
        <v/>
      </c>
      <c r="L333" s="129" t="str">
        <f t="shared" ref="L333:L337" si="97">IF(AND(K333=""),"",IF(AND((J333*0.95-1)&lt;0,(I333*0.95-1)&lt;0),"NEGATIV EV", IF(AND(K333="T1"),I333*0.95 - 1,J333*0.95 - 1)))</f>
        <v/>
      </c>
      <c r="M333" s="50" t="str">
        <f t="shared" ref="M333:M337" si="98">IF(L333="","",IF(L333&lt;0.5,K$2*M$2,IF(L333&lt;0.75,K$2*M$3,IF(L333&lt;1,K$2*M$4,IF(L333&lt;1.25,K$2*M$5,IF(L333&lt;1.5,K$2*M$6,IF(L333&lt;2,K$2*M$7,IF(L333&lt;2.5,K$2*M$8,IF(L333="NEGATIV EV","NEGATIV EV",K$2*M$9)))))))))</f>
        <v/>
      </c>
      <c r="N333" s="133" t="str">
        <f>IF(AND(L333="",[1]Übersicht!L333=""),"",IF(AND(L333="NEGATIV EV",[1]Übersicht!L333="NO BET"),"NO BET",IF(AND(NOT(L333="NEGATIV EV"),L333&gt;[1]Übersicht!L333),"BET365",IF([1]Übersicht!L333="NO BET","BET365","PINNACLE"))))</f>
        <v>BET365</v>
      </c>
      <c r="O333" s="140" t="e">
        <f>IF(OR(N333="",N333="NO BET"),"",IF(N333="PINNACLE",IF([1]Übersicht!K333="T1",[1]Übersicht!G333*[1]Übersicht!M333-[1]Übersicht!M333,[1]Übersicht!H333*[1]Übersicht!M333-[1]Übersicht!M333),IF(K333="T1",G333*M333*0.95-M333,H333*M333*0.95-M333)))</f>
        <v>#VALUE!</v>
      </c>
      <c r="P333" s="136"/>
      <c r="Q333" s="70"/>
      <c r="R333" s="52">
        <f>IF(OR(P333="",N333="NO BET"),0,IF(K333=P333,O333,IF(N333="PINNACLE",-[1]Übersicht!M333,-M333)))</f>
        <v>0</v>
      </c>
      <c r="S333" s="69"/>
      <c r="T333" s="241">
        <f>SUM(R333:R342)</f>
        <v>0</v>
      </c>
      <c r="U333" s="9"/>
    </row>
    <row r="334" spans="1:21" ht="15.75" customHeight="1" thickBot="1" x14ac:dyDescent="0.25">
      <c r="A334" s="257" t="s">
        <v>6</v>
      </c>
      <c r="B334" s="246"/>
      <c r="C334" s="166"/>
      <c r="D334" s="72"/>
      <c r="E334" s="72"/>
      <c r="F334" s="53" t="str">
        <f t="shared" ref="F334:F342" si="99">IF(AND(C334=""),"",1-C334)</f>
        <v/>
      </c>
      <c r="G334" s="53"/>
      <c r="H334" s="53"/>
      <c r="I334" s="53" t="str">
        <f t="shared" ref="I334:I342" si="100">IF(AND(C334=""),"",G334*C334)</f>
        <v/>
      </c>
      <c r="J334" s="53" t="str">
        <f t="shared" ref="J334:J342" si="101">IF(AND(C334=""),"",H334*F334)</f>
        <v/>
      </c>
      <c r="K334" s="53" t="str">
        <f t="shared" si="96"/>
        <v/>
      </c>
      <c r="L334" s="130" t="str">
        <f t="shared" si="97"/>
        <v/>
      </c>
      <c r="M334" s="55" t="str">
        <f t="shared" si="98"/>
        <v/>
      </c>
      <c r="N334" s="133" t="str">
        <f>IF(AND(L334="",[1]Übersicht!L334=""),"",IF(AND(L334="NEGATIV EV",[1]Übersicht!L334="NO BET"),"NO BET",IF(AND(NOT(L334="NEGATIV EV"),L334&gt;[1]Übersicht!L334),"BET365",IF([1]Übersicht!L334="NO BET","BET365","PINNACLE"))))</f>
        <v>BET365</v>
      </c>
      <c r="O334" s="138" t="e">
        <f>IF(OR(N334="",N334="NO BET"),"",IF(N334="PINNACLE",IF([1]Übersicht!K334="T1",[1]Übersicht!G334*[1]Übersicht!M334-[1]Übersicht!M334,[1]Übersicht!H334*[1]Übersicht!M334-[1]Übersicht!M334),IF(K334="T1",G334*M334*0.95-M334,H334*M334*0.95-M334)))</f>
        <v>#VALUE!</v>
      </c>
      <c r="P334" s="136"/>
      <c r="Q334" s="69"/>
      <c r="R334" s="52">
        <f>IF(OR(P334="",N334="NO BET"),0,IF(K334=P334,O334,IF(N334="PINNACLE",-[1]Übersicht!M334,-M334)))</f>
        <v>0</v>
      </c>
      <c r="S334" s="69"/>
      <c r="T334" s="241"/>
      <c r="U334" s="9"/>
    </row>
    <row r="335" spans="1:21" ht="15.75" customHeight="1" thickBot="1" x14ac:dyDescent="0.25">
      <c r="A335" s="257"/>
      <c r="B335" s="246"/>
      <c r="C335" s="167"/>
      <c r="D335" s="73"/>
      <c r="E335" s="73"/>
      <c r="F335" s="7" t="str">
        <f t="shared" si="99"/>
        <v/>
      </c>
      <c r="G335" s="7"/>
      <c r="H335" s="7"/>
      <c r="I335" s="7" t="str">
        <f t="shared" si="100"/>
        <v/>
      </c>
      <c r="J335" s="7" t="str">
        <f t="shared" si="101"/>
        <v/>
      </c>
      <c r="K335" s="7" t="str">
        <f t="shared" si="96"/>
        <v/>
      </c>
      <c r="L335" s="131" t="str">
        <f t="shared" si="97"/>
        <v/>
      </c>
      <c r="M335" s="59" t="str">
        <f t="shared" si="98"/>
        <v/>
      </c>
      <c r="N335" s="133" t="str">
        <f>IF(AND(L335="",[1]Übersicht!L335=""),"",IF(AND(L335="NEGATIV EV",[1]Übersicht!L335="NO BET"),"NO BET",IF(AND(NOT(L335="NEGATIV EV"),L335&gt;[1]Übersicht!L335),"BET365",IF([1]Übersicht!L335="NO BET","BET365","PINNACLE"))))</f>
        <v>BET365</v>
      </c>
      <c r="O335" s="140" t="e">
        <f>IF(OR(N335="",N335="NO BET"),"",IF(N335="PINNACLE",IF([1]Übersicht!K335="T1",[1]Übersicht!G335*[1]Übersicht!M335-[1]Übersicht!M335,[1]Übersicht!H335*[1]Übersicht!M335-[1]Übersicht!M335),IF(K335="T1",G335*M335*0.95-M335,H335*M335*0.95-M335)))</f>
        <v>#VALUE!</v>
      </c>
      <c r="P335" s="136"/>
      <c r="Q335" s="69"/>
      <c r="R335" s="52">
        <f>IF(OR(P335="",N335="NO BET"),0,IF(K335=P335,O335,IF(N335="PINNACLE",-[1]Übersicht!M335,-M335)))</f>
        <v>0</v>
      </c>
      <c r="S335" s="69"/>
      <c r="T335" s="241"/>
      <c r="U335" s="9"/>
    </row>
    <row r="336" spans="1:21" ht="15.75" customHeight="1" thickBot="1" x14ac:dyDescent="0.25">
      <c r="A336" s="257"/>
      <c r="B336" s="246"/>
      <c r="C336" s="166"/>
      <c r="D336" s="72"/>
      <c r="E336" s="72"/>
      <c r="F336" s="53" t="str">
        <f t="shared" si="99"/>
        <v/>
      </c>
      <c r="G336" s="53"/>
      <c r="H336" s="53"/>
      <c r="I336" s="53" t="str">
        <f t="shared" si="100"/>
        <v/>
      </c>
      <c r="J336" s="53" t="str">
        <f t="shared" si="101"/>
        <v/>
      </c>
      <c r="K336" s="53" t="str">
        <f t="shared" si="96"/>
        <v/>
      </c>
      <c r="L336" s="130" t="str">
        <f t="shared" si="97"/>
        <v/>
      </c>
      <c r="M336" s="55" t="str">
        <f t="shared" si="98"/>
        <v/>
      </c>
      <c r="N336" s="133" t="str">
        <f>IF(AND(L336="",[1]Übersicht!L336=""),"",IF(AND(L336="NEGATIV EV",[1]Übersicht!L336="NO BET"),"NO BET",IF(AND(NOT(L336="NEGATIV EV"),L336&gt;[1]Übersicht!L336),"BET365",IF([1]Übersicht!L336="NO BET","BET365","PINNACLE"))))</f>
        <v>BET365</v>
      </c>
      <c r="O336" s="138" t="e">
        <f>IF(OR(N336="",N336="NO BET"),"",IF(N336="PINNACLE",IF([1]Übersicht!K336="T1",[1]Übersicht!G336*[1]Übersicht!M336-[1]Übersicht!M336,[1]Übersicht!H336*[1]Übersicht!M336-[1]Übersicht!M336),IF(K336="T1",G336*M336*0.95-M336,H336*M336*0.95-M336)))</f>
        <v>#VALUE!</v>
      </c>
      <c r="P336" s="136"/>
      <c r="Q336" s="69"/>
      <c r="R336" s="52">
        <f>IF(OR(P336="",N336="NO BET"),0,IF(K336=P336,O336,IF(N336="PINNACLE",-[1]Übersicht!M336,-M336)))</f>
        <v>0</v>
      </c>
      <c r="S336" s="69"/>
      <c r="T336" s="241"/>
      <c r="U336" s="9"/>
    </row>
    <row r="337" spans="1:21" ht="15.75" customHeight="1" thickBot="1" x14ac:dyDescent="0.25">
      <c r="A337" s="257"/>
      <c r="B337" s="246"/>
      <c r="C337" s="167"/>
      <c r="D337" s="73"/>
      <c r="E337" s="73"/>
      <c r="F337" s="7" t="str">
        <f t="shared" si="99"/>
        <v/>
      </c>
      <c r="G337" s="7"/>
      <c r="H337" s="7"/>
      <c r="I337" s="7" t="str">
        <f t="shared" si="100"/>
        <v/>
      </c>
      <c r="J337" s="7" t="str">
        <f t="shared" si="101"/>
        <v/>
      </c>
      <c r="K337" s="7" t="str">
        <f t="shared" si="96"/>
        <v/>
      </c>
      <c r="L337" s="131" t="str">
        <f t="shared" si="97"/>
        <v/>
      </c>
      <c r="M337" s="60" t="str">
        <f t="shared" si="98"/>
        <v/>
      </c>
      <c r="N337" s="133" t="str">
        <f>IF(AND(L337="",[1]Übersicht!L337=""),"",IF(AND(L337="NEGATIV EV",[1]Übersicht!L337="NO BET"),"NO BET",IF(AND(NOT(L337="NEGATIV EV"),L337&gt;[1]Übersicht!L337),"BET365",IF([1]Übersicht!L337="NO BET","BET365","PINNACLE"))))</f>
        <v>BET365</v>
      </c>
      <c r="O337" s="140" t="e">
        <f>IF(OR(N337="",N337="NO BET"),"",IF(N337="PINNACLE",IF([1]Übersicht!K337="T1",[1]Übersicht!G337*[1]Übersicht!M337-[1]Übersicht!M337,[1]Übersicht!H337*[1]Übersicht!M337-[1]Übersicht!M337),IF(K337="T1",G337*M337*0.95-M337,H337*M337*0.95-M337)))</f>
        <v>#VALUE!</v>
      </c>
      <c r="P337" s="136"/>
      <c r="Q337" s="69"/>
      <c r="R337" s="52">
        <f>IF(OR(P337="",N337="NO BET"),0,IF(K337=P337,O337,IF(N337="PINNACLE",-[1]Übersicht!M337,-M337)))</f>
        <v>0</v>
      </c>
      <c r="S337" s="69"/>
      <c r="T337" s="241"/>
      <c r="U337" s="9"/>
    </row>
    <row r="338" spans="1:21" ht="15.75" customHeight="1" thickBot="1" x14ac:dyDescent="0.25">
      <c r="A338" s="257"/>
      <c r="B338" s="246"/>
      <c r="C338" s="166"/>
      <c r="D338" s="72"/>
      <c r="E338" s="72"/>
      <c r="F338" s="53" t="str">
        <f t="shared" si="99"/>
        <v/>
      </c>
      <c r="G338" s="53"/>
      <c r="H338" s="53"/>
      <c r="I338" s="53" t="str">
        <f t="shared" si="100"/>
        <v/>
      </c>
      <c r="J338" s="53" t="str">
        <f t="shared" si="101"/>
        <v/>
      </c>
      <c r="K338" s="53" t="str">
        <f t="shared" si="96"/>
        <v/>
      </c>
      <c r="L338" s="130" t="str">
        <f>IF(AND(K338=""),"",IF(AND((J338*0.95-1)&lt;0,(I338*0.95-1)&lt;0),"NEGATIV EV", IF(AND(K338="T1"),I338*0.95 - 1,J338*0.95 - 1)))</f>
        <v/>
      </c>
      <c r="M338" s="55" t="str">
        <f>IF(L338="","",IF(L338&lt;0.5,K$2*M$2,IF(L338&lt;0.75,K$2*M$3,IF(L338&lt;1,K$2*M$4,IF(L338&lt;1.25,K$2*M$5,IF(L338&lt;1.5,K$2*M$6,IF(L338&lt;2,K$2*M$7,IF(L338&lt;2.5,K$2*M$8,IF(L338="NEGATIV EV","NEGATIV EV",K$2*M$9)))))))))</f>
        <v/>
      </c>
      <c r="N338" s="133" t="str">
        <f>IF(AND(L338="",[1]Übersicht!L338=""),"",IF(AND(L338="NEGATIV EV",[1]Übersicht!L338="NO BET"),"NO BET",IF(AND(NOT(L338="NEGATIV EV"),L338&gt;[1]Übersicht!L338),"BET365",IF([1]Übersicht!L338="NO BET","BET365","PINNACLE"))))</f>
        <v>BET365</v>
      </c>
      <c r="O338" s="138" t="e">
        <f>IF(OR(N338="",N338="NO BET"),"",IF(N338="PINNACLE",IF([1]Übersicht!K338="T1",[1]Übersicht!G338*[1]Übersicht!M338-[1]Übersicht!M338,[1]Übersicht!H338*[1]Übersicht!M338-[1]Übersicht!M338),IF(K338="T1",G338*M338*0.95-M338,H338*M338*0.95-M338)))</f>
        <v>#VALUE!</v>
      </c>
      <c r="P338" s="136"/>
      <c r="Q338" s="69"/>
      <c r="R338" s="52">
        <f>IF(OR(P338="",N338="NO BET"),0,IF(K338=P338,O338,IF(N338="PINNACLE",-[1]Übersicht!M338,-M338)))</f>
        <v>0</v>
      </c>
      <c r="S338" s="69"/>
      <c r="T338" s="241"/>
      <c r="U338" s="9"/>
    </row>
    <row r="339" spans="1:21" ht="16.5" thickBot="1" x14ac:dyDescent="0.25">
      <c r="A339" s="257"/>
      <c r="B339" s="246"/>
      <c r="C339" s="167"/>
      <c r="D339" s="73"/>
      <c r="E339" s="73"/>
      <c r="F339" s="7" t="str">
        <f t="shared" si="99"/>
        <v/>
      </c>
      <c r="G339" s="7"/>
      <c r="H339" s="7"/>
      <c r="I339" s="7" t="str">
        <f t="shared" si="100"/>
        <v/>
      </c>
      <c r="J339" s="7" t="str">
        <f t="shared" si="101"/>
        <v/>
      </c>
      <c r="K339" s="7" t="str">
        <f t="shared" si="96"/>
        <v/>
      </c>
      <c r="L339" s="131" t="str">
        <f t="shared" ref="L339:L342" si="102">IF(AND(K339=""),"",IF(AND((J339*0.95-1)&lt;0,(I339*0.95-1)&lt;0),"NEGATIV EV", IF(AND(K339="T1"),I339*0.95 - 1,J339*0.95 - 1)))</f>
        <v/>
      </c>
      <c r="M339" s="59" t="str">
        <f t="shared" ref="M339:M342" si="103">IF(L339="","",IF(L339&lt;0.5,K$2*M$2,IF(L339&lt;0.75,K$2*M$3,IF(L339&lt;1,K$2*M$4,IF(L339&lt;1.25,K$2*M$5,IF(L339&lt;1.5,K$2*M$6,IF(L339&lt;2,K$2*M$7,IF(L339&lt;2.5,K$2*M$8,IF(L339="NEGATIV EV","NEGATIV EV",K$2*M$9)))))))))</f>
        <v/>
      </c>
      <c r="N339" s="133" t="str">
        <f>IF(AND(L339="",[1]Übersicht!L339=""),"",IF(AND(L339="NEGATIV EV",[1]Übersicht!L339="NO BET"),"NO BET",IF(AND(NOT(L339="NEGATIV EV"),L339&gt;[1]Übersicht!L339),"BET365",IF([1]Übersicht!L339="NO BET","BET365","PINNACLE"))))</f>
        <v>BET365</v>
      </c>
      <c r="O339" s="140" t="e">
        <f>IF(OR(N339="",N339="NO BET"),"",IF(N339="PINNACLE",IF([1]Übersicht!K339="T1",[1]Übersicht!G339*[1]Übersicht!M339-[1]Übersicht!M339,[1]Übersicht!H339*[1]Übersicht!M339-[1]Übersicht!M339),IF(K339="T1",G339*M339*0.95-M339,H339*M339*0.95-M339)))</f>
        <v>#VALUE!</v>
      </c>
      <c r="P339" s="56"/>
      <c r="Q339" s="69"/>
      <c r="R339" s="52">
        <f>IF(OR(P339="",N339="NO BET"),0,IF(K339=P339,O339,IF(N339="PINNACLE",-[1]Übersicht!M339,-M339)))</f>
        <v>0</v>
      </c>
      <c r="S339" s="69"/>
      <c r="T339" s="61" t="s">
        <v>31</v>
      </c>
      <c r="U339" s="9"/>
    </row>
    <row r="340" spans="1:21" ht="15.75" customHeight="1" thickBot="1" x14ac:dyDescent="0.25">
      <c r="A340" s="257"/>
      <c r="B340" s="246"/>
      <c r="C340" s="166"/>
      <c r="D340" s="72"/>
      <c r="E340" s="72"/>
      <c r="F340" s="53" t="str">
        <f t="shared" si="99"/>
        <v/>
      </c>
      <c r="G340" s="53"/>
      <c r="H340" s="53"/>
      <c r="I340" s="53" t="str">
        <f t="shared" si="100"/>
        <v/>
      </c>
      <c r="J340" s="53" t="str">
        <f t="shared" si="101"/>
        <v/>
      </c>
      <c r="K340" s="53" t="str">
        <f t="shared" si="96"/>
        <v/>
      </c>
      <c r="L340" s="130" t="str">
        <f t="shared" si="102"/>
        <v/>
      </c>
      <c r="M340" s="62" t="str">
        <f t="shared" si="103"/>
        <v/>
      </c>
      <c r="N340" s="133" t="str">
        <f>IF(AND(L340="",[1]Übersicht!L340=""),"",IF(AND(L340="NEGATIV EV",[1]Übersicht!L340="NO BET"),"NO BET",IF(AND(NOT(L340="NEGATIV EV"),L340&gt;[1]Übersicht!L340),"BET365",IF([1]Übersicht!L340="NO BET","BET365","PINNACLE"))))</f>
        <v>BET365</v>
      </c>
      <c r="O340" s="138" t="e">
        <f>IF(OR(N340="",N340="NO BET"),"",IF(N340="PINNACLE",IF([1]Übersicht!K340="T1",[1]Übersicht!G340*[1]Übersicht!M340-[1]Übersicht!M340,[1]Übersicht!H340*[1]Übersicht!M340-[1]Übersicht!M340),IF(K340="T1",G340*M340*0.95-M340,H340*M340*0.95-M340)))</f>
        <v>#VALUE!</v>
      </c>
      <c r="P340" s="136"/>
      <c r="Q340" s="69"/>
      <c r="R340" s="52">
        <f>IF(OR(P340="",N340="NO BET"),0,IF(K340=P340,O340,IF(N340="PINNACLE",-[1]Übersicht!M340,-M340)))</f>
        <v>0</v>
      </c>
      <c r="S340" s="69"/>
      <c r="T340" s="248" t="e">
        <f>IF(AND(NOT(N333=0)),T333/N333,0)</f>
        <v>#VALUE!</v>
      </c>
      <c r="U340" s="9"/>
    </row>
    <row r="341" spans="1:21" ht="15.75" customHeight="1" thickBot="1" x14ac:dyDescent="0.25">
      <c r="A341" s="257"/>
      <c r="B341" s="246"/>
      <c r="C341" s="167"/>
      <c r="D341" s="73"/>
      <c r="E341" s="73"/>
      <c r="F341" s="7" t="str">
        <f t="shared" si="99"/>
        <v/>
      </c>
      <c r="G341" s="7"/>
      <c r="H341" s="7"/>
      <c r="I341" s="7" t="str">
        <f t="shared" si="100"/>
        <v/>
      </c>
      <c r="J341" s="7" t="str">
        <f t="shared" si="101"/>
        <v/>
      </c>
      <c r="K341" s="7" t="str">
        <f t="shared" si="96"/>
        <v/>
      </c>
      <c r="L341" s="131" t="str">
        <f t="shared" si="102"/>
        <v/>
      </c>
      <c r="M341" s="60" t="str">
        <f t="shared" si="103"/>
        <v/>
      </c>
      <c r="N341" s="133" t="str">
        <f>IF(AND(L341="",[1]Übersicht!L341=""),"",IF(AND(L341="NEGATIV EV",[1]Übersicht!L341="NO BET"),"NO BET",IF(AND(NOT(L341="NEGATIV EV"),L341&gt;[1]Übersicht!L341),"BET365",IF([1]Übersicht!L341="NO BET","BET365","PINNACLE"))))</f>
        <v>BET365</v>
      </c>
      <c r="O341" s="139" t="e">
        <f>IF(OR(N341="",N341="NO BET"),"",IF(N341="PINNACLE",IF([1]Übersicht!K341="T1",[1]Übersicht!G341*[1]Übersicht!M341-[1]Übersicht!M341,[1]Übersicht!H341*[1]Übersicht!M341-[1]Übersicht!M341),IF(K341="T1",G341*M341*0.95-M341,H341*M341*0.95-M341)))</f>
        <v>#VALUE!</v>
      </c>
      <c r="P341" s="136"/>
      <c r="Q341" s="69"/>
      <c r="R341" s="52">
        <f>IF(OR(P341="",N341="NO BET"),0,IF(K341=P341,O341,IF(N341="PINNACLE",-[1]Übersicht!M341,-M341)))</f>
        <v>0</v>
      </c>
      <c r="S341" s="69"/>
      <c r="T341" s="249"/>
      <c r="U341" s="9"/>
    </row>
    <row r="342" spans="1:21" ht="15.75" customHeight="1" thickBot="1" x14ac:dyDescent="0.25">
      <c r="A342" s="258"/>
      <c r="B342" s="247"/>
      <c r="C342" s="168"/>
      <c r="D342" s="75"/>
      <c r="E342" s="75"/>
      <c r="F342" s="63" t="str">
        <f t="shared" si="99"/>
        <v/>
      </c>
      <c r="G342" s="63"/>
      <c r="H342" s="63"/>
      <c r="I342" s="63" t="str">
        <f t="shared" si="100"/>
        <v/>
      </c>
      <c r="J342" s="63" t="str">
        <f t="shared" si="101"/>
        <v/>
      </c>
      <c r="K342" s="63" t="str">
        <f t="shared" si="96"/>
        <v/>
      </c>
      <c r="L342" s="132" t="str">
        <f t="shared" si="102"/>
        <v/>
      </c>
      <c r="M342" s="65" t="str">
        <f t="shared" si="103"/>
        <v/>
      </c>
      <c r="N342" s="133" t="str">
        <f>IF(AND(L342="",[1]Übersicht!L342=""),"",IF(AND(L342="NEGATIV EV",[1]Übersicht!L342="NO BET"),"NO BET",IF(AND(NOT(L342="NEGATIV EV"),L342&gt;[1]Übersicht!L342),"BET365",IF([1]Übersicht!L342="NO BET","BET365","PINNACLE"))))</f>
        <v>BET365</v>
      </c>
      <c r="O342" s="138" t="e">
        <f>IF(OR(N342="",N342="NO BET"),"",IF(N342="PINNACLE",IF([1]Übersicht!K342="T1",[1]Übersicht!G342*[1]Übersicht!M342-[1]Übersicht!M342,[1]Übersicht!H342*[1]Übersicht!M342-[1]Übersicht!M342),IF(K342="T1",G342*M342*0.95-M342,H342*M342*0.95-M342)))</f>
        <v>#VALUE!</v>
      </c>
      <c r="P342" s="66"/>
      <c r="Q342" s="9"/>
      <c r="R342" s="135">
        <f>IF(OR(P342="",N342="NO BET"),0,IF(K342=P342,O342,IF(N342="PINNACLE",-[1]Übersicht!M342,-M342)))</f>
        <v>0</v>
      </c>
      <c r="S342" s="9"/>
      <c r="T342" s="250"/>
      <c r="U342" s="9"/>
    </row>
    <row r="343" spans="1:21" x14ac:dyDescent="0.2">
      <c r="A343" s="9"/>
      <c r="B343" s="9"/>
      <c r="C343" s="11"/>
      <c r="D343" s="9"/>
      <c r="E343" s="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10"/>
      <c r="S343" s="9"/>
      <c r="T343" s="11"/>
      <c r="U343" s="9"/>
    </row>
    <row r="344" spans="1:21" x14ac:dyDescent="0.2">
      <c r="A344" s="9"/>
      <c r="B344" s="9"/>
      <c r="C344" s="11"/>
      <c r="D344" s="9"/>
      <c r="E344" s="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10"/>
      <c r="S344" s="9"/>
      <c r="T344" s="11"/>
      <c r="U344" s="9"/>
    </row>
    <row r="345" spans="1:21" ht="15.75" thickBot="1" x14ac:dyDescent="0.25">
      <c r="A345" s="9"/>
      <c r="B345" s="9"/>
      <c r="C345" s="11"/>
      <c r="D345" s="9"/>
      <c r="E345" s="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10"/>
      <c r="S345" s="9"/>
      <c r="T345" s="11"/>
      <c r="U345" s="9"/>
    </row>
    <row r="346" spans="1:21" ht="19.5" customHeight="1" thickBot="1" x14ac:dyDescent="0.25">
      <c r="A346" s="79" t="s">
        <v>6</v>
      </c>
      <c r="B346" s="245" t="s">
        <v>22</v>
      </c>
      <c r="C346" s="160"/>
      <c r="D346" s="43" t="s">
        <v>9</v>
      </c>
      <c r="E346" s="43" t="s">
        <v>10</v>
      </c>
      <c r="F346" s="43" t="s">
        <v>11</v>
      </c>
      <c r="G346" s="43" t="s">
        <v>12</v>
      </c>
      <c r="H346" s="43" t="s">
        <v>13</v>
      </c>
      <c r="I346" s="43" t="s">
        <v>14</v>
      </c>
      <c r="J346" s="43" t="s">
        <v>15</v>
      </c>
      <c r="K346" s="43" t="s">
        <v>33</v>
      </c>
      <c r="L346" s="43" t="s">
        <v>16</v>
      </c>
      <c r="M346" s="43" t="s">
        <v>38</v>
      </c>
      <c r="N346" s="128" t="s">
        <v>87</v>
      </c>
      <c r="O346" s="128" t="s">
        <v>89</v>
      </c>
      <c r="P346" s="137" t="s">
        <v>18</v>
      </c>
      <c r="Q346" s="69"/>
      <c r="R346" s="134" t="s">
        <v>34</v>
      </c>
      <c r="S346" s="69"/>
      <c r="T346" s="47" t="s">
        <v>29</v>
      </c>
      <c r="U346" s="9"/>
    </row>
    <row r="347" spans="1:21" ht="15.75" customHeight="1" thickBot="1" x14ac:dyDescent="0.25">
      <c r="A347" s="80"/>
      <c r="B347" s="246"/>
      <c r="C347" s="165"/>
      <c r="D347" s="48"/>
      <c r="E347" s="48"/>
      <c r="F347" s="48" t="str">
        <f>IF(AND(C347=""),"",1-C347)</f>
        <v/>
      </c>
      <c r="G347" s="48"/>
      <c r="H347" s="48"/>
      <c r="I347" s="48" t="str">
        <f>IF(AND(C347=""),"",G347*C347)</f>
        <v/>
      </c>
      <c r="J347" s="48" t="str">
        <f>IF(AND(C347=""),"",H347*F347)</f>
        <v/>
      </c>
      <c r="K347" s="48" t="str">
        <f t="shared" ref="K347:K356" si="104">IF(AND(I347=""),"",IF(AND(I347&gt;J347),"T1","T2"))</f>
        <v/>
      </c>
      <c r="L347" s="129" t="str">
        <f t="shared" ref="L347:L351" si="105">IF(AND(K347=""),"",IF(AND((J347*0.95-1)&lt;0,(I347*0.95-1)&lt;0),"NEGATIV EV", IF(AND(K347="T1"),I347*0.95 - 1,J347*0.95 - 1)))</f>
        <v/>
      </c>
      <c r="M347" s="50" t="str">
        <f t="shared" ref="M347:M351" si="106">IF(L347="","",IF(L347&lt;0.5,K$2*M$2,IF(L347&lt;0.75,K$2*M$3,IF(L347&lt;1,K$2*M$4,IF(L347&lt;1.25,K$2*M$5,IF(L347&lt;1.5,K$2*M$6,IF(L347&lt;2,K$2*M$7,IF(L347&lt;2.5,K$2*M$8,IF(L347="NEGATIV EV","NEGATIV EV",K$2*M$9)))))))))</f>
        <v/>
      </c>
      <c r="N347" s="133" t="str">
        <f>IF(AND(L347="",[1]Übersicht!L347=""),"",IF(AND(L347="NEGATIV EV",[1]Übersicht!L347="NO BET"),"NO BET",IF(AND(NOT(L347="NEGATIV EV"),L347&gt;[1]Übersicht!L347),"BET365",IF([1]Übersicht!L347="NO BET","BET365","PINNACLE"))))</f>
        <v>BET365</v>
      </c>
      <c r="O347" s="140" t="e">
        <f>IF(OR(N347="",N347="NO BET"),"",IF(N347="PINNACLE",IF([1]Übersicht!K347="T1",[1]Übersicht!G347*[1]Übersicht!M347-[1]Übersicht!M347,[1]Übersicht!H347*[1]Übersicht!M347-[1]Übersicht!M347),IF(K347="T1",G347*M347*0.95-M347,H347*M347*0.95-M347)))</f>
        <v>#VALUE!</v>
      </c>
      <c r="P347" s="136"/>
      <c r="Q347" s="70"/>
      <c r="R347" s="52">
        <f>IF(OR(P347="",N347="NO BET"),0,IF(K347=P347,O347,IF(N347="PINNACLE",-[1]Übersicht!M347,-M347)))</f>
        <v>0</v>
      </c>
      <c r="S347" s="69"/>
      <c r="T347" s="241">
        <f>SUM(R347:R356)</f>
        <v>0</v>
      </c>
      <c r="U347" s="9"/>
    </row>
    <row r="348" spans="1:21" ht="15.75" customHeight="1" thickBot="1" x14ac:dyDescent="0.25">
      <c r="A348" s="257" t="s">
        <v>6</v>
      </c>
      <c r="B348" s="246"/>
      <c r="C348" s="166"/>
      <c r="D348" s="53"/>
      <c r="E348" s="53"/>
      <c r="F348" s="53" t="str">
        <f t="shared" ref="F348:F356" si="107">IF(AND(C348=""),"",1-C348)</f>
        <v/>
      </c>
      <c r="G348" s="53"/>
      <c r="H348" s="53"/>
      <c r="I348" s="53" t="str">
        <f t="shared" ref="I348:I356" si="108">IF(AND(C348=""),"",G348*C348)</f>
        <v/>
      </c>
      <c r="J348" s="53" t="str">
        <f t="shared" ref="J348:J356" si="109">IF(AND(C348=""),"",H348*F348)</f>
        <v/>
      </c>
      <c r="K348" s="53" t="str">
        <f t="shared" si="104"/>
        <v/>
      </c>
      <c r="L348" s="130" t="str">
        <f t="shared" si="105"/>
        <v/>
      </c>
      <c r="M348" s="55" t="str">
        <f t="shared" si="106"/>
        <v/>
      </c>
      <c r="N348" s="133" t="str">
        <f>IF(AND(L348="",[1]Übersicht!L348=""),"",IF(AND(L348="NEGATIV EV",[1]Übersicht!L348="NO BET"),"NO BET",IF(AND(NOT(L348="NEGATIV EV"),L348&gt;[1]Übersicht!L348),"BET365",IF([1]Übersicht!L348="NO BET","BET365","PINNACLE"))))</f>
        <v>BET365</v>
      </c>
      <c r="O348" s="138" t="e">
        <f>IF(OR(N348="",N348="NO BET"),"",IF(N348="PINNACLE",IF([1]Übersicht!K348="T1",[1]Übersicht!G348*[1]Übersicht!M348-[1]Übersicht!M348,[1]Übersicht!H348*[1]Übersicht!M348-[1]Übersicht!M348),IF(K348="T1",G348*M348*0.95-M348,H348*M348*0.95-M348)))</f>
        <v>#VALUE!</v>
      </c>
      <c r="P348" s="136"/>
      <c r="Q348" s="69"/>
      <c r="R348" s="52">
        <f>IF(OR(P348="",N348="NO BET"),0,IF(K348=P348,O348,IF(N348="PINNACLE",-[1]Übersicht!M348,-M348)))</f>
        <v>0</v>
      </c>
      <c r="S348" s="69"/>
      <c r="T348" s="241"/>
      <c r="U348" s="9"/>
    </row>
    <row r="349" spans="1:21" ht="15.75" customHeight="1" thickBot="1" x14ac:dyDescent="0.25">
      <c r="A349" s="257"/>
      <c r="B349" s="246"/>
      <c r="C349" s="167"/>
      <c r="D349" s="7"/>
      <c r="E349" s="7"/>
      <c r="F349" s="7" t="str">
        <f t="shared" si="107"/>
        <v/>
      </c>
      <c r="G349" s="7"/>
      <c r="H349" s="7"/>
      <c r="I349" s="7" t="str">
        <f t="shared" si="108"/>
        <v/>
      </c>
      <c r="J349" s="7" t="str">
        <f t="shared" si="109"/>
        <v/>
      </c>
      <c r="K349" s="7" t="str">
        <f t="shared" si="104"/>
        <v/>
      </c>
      <c r="L349" s="131" t="str">
        <f t="shared" si="105"/>
        <v/>
      </c>
      <c r="M349" s="59" t="str">
        <f t="shared" si="106"/>
        <v/>
      </c>
      <c r="N349" s="133" t="str">
        <f>IF(AND(L349="",[1]Übersicht!L349=""),"",IF(AND(L349="NEGATIV EV",[1]Übersicht!L349="NO BET"),"NO BET",IF(AND(NOT(L349="NEGATIV EV"),L349&gt;[1]Übersicht!L349),"BET365",IF([1]Übersicht!L349="NO BET","BET365","PINNACLE"))))</f>
        <v>BET365</v>
      </c>
      <c r="O349" s="140" t="e">
        <f>IF(OR(N349="",N349="NO BET"),"",IF(N349="PINNACLE",IF([1]Übersicht!K349="T1",[1]Übersicht!G349*[1]Übersicht!M349-[1]Übersicht!M349,[1]Übersicht!H349*[1]Übersicht!M349-[1]Übersicht!M349),IF(K349="T1",G349*M349*0.95-M349,H349*M349*0.95-M349)))</f>
        <v>#VALUE!</v>
      </c>
      <c r="P349" s="136"/>
      <c r="Q349" s="69"/>
      <c r="R349" s="52">
        <f>IF(OR(P349="",N349="NO BET"),0,IF(K349=P349,O349,IF(N349="PINNACLE",-[1]Übersicht!M349,-M349)))</f>
        <v>0</v>
      </c>
      <c r="S349" s="69"/>
      <c r="T349" s="241"/>
      <c r="U349" s="9"/>
    </row>
    <row r="350" spans="1:21" ht="15.75" customHeight="1" thickBot="1" x14ac:dyDescent="0.25">
      <c r="A350" s="257"/>
      <c r="B350" s="246"/>
      <c r="C350" s="166"/>
      <c r="D350" s="53"/>
      <c r="E350" s="53"/>
      <c r="F350" s="53" t="str">
        <f t="shared" si="107"/>
        <v/>
      </c>
      <c r="G350" s="53"/>
      <c r="H350" s="53"/>
      <c r="I350" s="53" t="str">
        <f t="shared" si="108"/>
        <v/>
      </c>
      <c r="J350" s="53" t="str">
        <f t="shared" si="109"/>
        <v/>
      </c>
      <c r="K350" s="53" t="str">
        <f t="shared" si="104"/>
        <v/>
      </c>
      <c r="L350" s="130" t="str">
        <f t="shared" si="105"/>
        <v/>
      </c>
      <c r="M350" s="55" t="str">
        <f t="shared" si="106"/>
        <v/>
      </c>
      <c r="N350" s="133" t="str">
        <f>IF(AND(L350="",[1]Übersicht!L350=""),"",IF(AND(L350="NEGATIV EV",[1]Übersicht!L350="NO BET"),"NO BET",IF(AND(NOT(L350="NEGATIV EV"),L350&gt;[1]Übersicht!L350),"BET365",IF([1]Übersicht!L350="NO BET","BET365","PINNACLE"))))</f>
        <v>BET365</v>
      </c>
      <c r="O350" s="138" t="e">
        <f>IF(OR(N350="",N350="NO BET"),"",IF(N350="PINNACLE",IF([1]Übersicht!K350="T1",[1]Übersicht!G350*[1]Übersicht!M350-[1]Übersicht!M350,[1]Übersicht!H350*[1]Übersicht!M350-[1]Übersicht!M350),IF(K350="T1",G350*M350*0.95-M350,H350*M350*0.95-M350)))</f>
        <v>#VALUE!</v>
      </c>
      <c r="P350" s="136"/>
      <c r="Q350" s="69"/>
      <c r="R350" s="52">
        <f>IF(OR(P350="",N350="NO BET"),0,IF(K350=P350,O350,IF(N350="PINNACLE",-[1]Übersicht!M350,-M350)))</f>
        <v>0</v>
      </c>
      <c r="S350" s="69"/>
      <c r="T350" s="241"/>
      <c r="U350" s="9"/>
    </row>
    <row r="351" spans="1:21" ht="15.75" customHeight="1" thickBot="1" x14ac:dyDescent="0.25">
      <c r="A351" s="257"/>
      <c r="B351" s="246"/>
      <c r="C351" s="167"/>
      <c r="D351" s="7"/>
      <c r="E351" s="7"/>
      <c r="F351" s="7" t="str">
        <f t="shared" si="107"/>
        <v/>
      </c>
      <c r="G351" s="7"/>
      <c r="H351" s="7"/>
      <c r="I351" s="7" t="str">
        <f t="shared" si="108"/>
        <v/>
      </c>
      <c r="J351" s="7" t="str">
        <f t="shared" si="109"/>
        <v/>
      </c>
      <c r="K351" s="7" t="str">
        <f t="shared" si="104"/>
        <v/>
      </c>
      <c r="L351" s="131" t="str">
        <f t="shared" si="105"/>
        <v/>
      </c>
      <c r="M351" s="60" t="str">
        <f t="shared" si="106"/>
        <v/>
      </c>
      <c r="N351" s="133" t="str">
        <f>IF(AND(L351="",[1]Übersicht!L351=""),"",IF(AND(L351="NEGATIV EV",[1]Übersicht!L351="NO BET"),"NO BET",IF(AND(NOT(L351="NEGATIV EV"),L351&gt;[1]Übersicht!L351),"BET365",IF([1]Übersicht!L351="NO BET","BET365","PINNACLE"))))</f>
        <v>BET365</v>
      </c>
      <c r="O351" s="140" t="e">
        <f>IF(OR(N351="",N351="NO BET"),"",IF(N351="PINNACLE",IF([1]Übersicht!K351="T1",[1]Übersicht!G351*[1]Übersicht!M351-[1]Übersicht!M351,[1]Übersicht!H351*[1]Übersicht!M351-[1]Übersicht!M351),IF(K351="T1",G351*M351*0.95-M351,H351*M351*0.95-M351)))</f>
        <v>#VALUE!</v>
      </c>
      <c r="P351" s="136"/>
      <c r="Q351" s="69"/>
      <c r="R351" s="52">
        <f>IF(OR(P351="",N351="NO BET"),0,IF(K351=P351,O351,IF(N351="PINNACLE",-[1]Übersicht!M351,-M351)))</f>
        <v>0</v>
      </c>
      <c r="S351" s="69"/>
      <c r="T351" s="241"/>
      <c r="U351" s="9"/>
    </row>
    <row r="352" spans="1:21" ht="15.75" customHeight="1" thickBot="1" x14ac:dyDescent="0.25">
      <c r="A352" s="257"/>
      <c r="B352" s="246"/>
      <c r="C352" s="166"/>
      <c r="D352" s="53"/>
      <c r="E352" s="53"/>
      <c r="F352" s="53" t="str">
        <f t="shared" si="107"/>
        <v/>
      </c>
      <c r="G352" s="53"/>
      <c r="H352" s="53"/>
      <c r="I352" s="53" t="str">
        <f t="shared" si="108"/>
        <v/>
      </c>
      <c r="J352" s="53" t="str">
        <f t="shared" si="109"/>
        <v/>
      </c>
      <c r="K352" s="53" t="str">
        <f t="shared" si="104"/>
        <v/>
      </c>
      <c r="L352" s="130" t="str">
        <f>IF(AND(K352=""),"",IF(AND((J352*0.95-1)&lt;0,(I352*0.95-1)&lt;0),"NEGATIV EV", IF(AND(K352="T1"),I352*0.95 - 1,J352*0.95 - 1)))</f>
        <v/>
      </c>
      <c r="M352" s="55" t="str">
        <f>IF(L352="","",IF(L352&lt;0.5,K$2*M$2,IF(L352&lt;0.75,K$2*M$3,IF(L352&lt;1,K$2*M$4,IF(L352&lt;1.25,K$2*M$5,IF(L352&lt;1.5,K$2*M$6,IF(L352&lt;2,K$2*M$7,IF(L352&lt;2.5,K$2*M$8,IF(L352="NEGATIV EV","NEGATIV EV",K$2*M$9)))))))))</f>
        <v/>
      </c>
      <c r="N352" s="133" t="str">
        <f>IF(AND(L352="",[1]Übersicht!L352=""),"",IF(AND(L352="NEGATIV EV",[1]Übersicht!L352="NO BET"),"NO BET",IF(AND(NOT(L352="NEGATIV EV"),L352&gt;[1]Übersicht!L352),"BET365",IF([1]Übersicht!L352="NO BET","BET365","PINNACLE"))))</f>
        <v>BET365</v>
      </c>
      <c r="O352" s="138" t="e">
        <f>IF(OR(N352="",N352="NO BET"),"",IF(N352="PINNACLE",IF([1]Übersicht!K352="T1",[1]Übersicht!G352*[1]Übersicht!M352-[1]Übersicht!M352,[1]Übersicht!H352*[1]Übersicht!M352-[1]Übersicht!M352),IF(K352="T1",G352*M352*0.95-M352,H352*M352*0.95-M352)))</f>
        <v>#VALUE!</v>
      </c>
      <c r="P352" s="136"/>
      <c r="Q352" s="69"/>
      <c r="R352" s="52">
        <f>IF(OR(P352="",N352="NO BET"),0,IF(K352=P352,O352,IF(N352="PINNACLE",-[1]Übersicht!M352,-M352)))</f>
        <v>0</v>
      </c>
      <c r="S352" s="69"/>
      <c r="T352" s="241"/>
      <c r="U352" s="9"/>
    </row>
    <row r="353" spans="1:21" ht="16.5" thickBot="1" x14ac:dyDescent="0.25">
      <c r="A353" s="257"/>
      <c r="B353" s="246"/>
      <c r="C353" s="167"/>
      <c r="D353" s="7"/>
      <c r="E353" s="7"/>
      <c r="F353" s="7" t="str">
        <f t="shared" si="107"/>
        <v/>
      </c>
      <c r="G353" s="7"/>
      <c r="H353" s="7"/>
      <c r="I353" s="7" t="str">
        <f t="shared" si="108"/>
        <v/>
      </c>
      <c r="J353" s="7" t="str">
        <f t="shared" si="109"/>
        <v/>
      </c>
      <c r="K353" s="7" t="str">
        <f t="shared" si="104"/>
        <v/>
      </c>
      <c r="L353" s="131" t="str">
        <f t="shared" ref="L353:L356" si="110">IF(AND(K353=""),"",IF(AND((J353*0.95-1)&lt;0,(I353*0.95-1)&lt;0),"NEGATIV EV", IF(AND(K353="T1"),I353*0.95 - 1,J353*0.95 - 1)))</f>
        <v/>
      </c>
      <c r="M353" s="59" t="str">
        <f t="shared" ref="M353:M356" si="111">IF(L353="","",IF(L353&lt;0.5,K$2*M$2,IF(L353&lt;0.75,K$2*M$3,IF(L353&lt;1,K$2*M$4,IF(L353&lt;1.25,K$2*M$5,IF(L353&lt;1.5,K$2*M$6,IF(L353&lt;2,K$2*M$7,IF(L353&lt;2.5,K$2*M$8,IF(L353="NEGATIV EV","NEGATIV EV",K$2*M$9)))))))))</f>
        <v/>
      </c>
      <c r="N353" s="133" t="str">
        <f>IF(AND(L353="",[1]Übersicht!L353=""),"",IF(AND(L353="NEGATIV EV",[1]Übersicht!L353="NO BET"),"NO BET",IF(AND(NOT(L353="NEGATIV EV"),L353&gt;[1]Übersicht!L353),"BET365",IF([1]Übersicht!L353="NO BET","BET365","PINNACLE"))))</f>
        <v>BET365</v>
      </c>
      <c r="O353" s="140" t="e">
        <f>IF(OR(N353="",N353="NO BET"),"",IF(N353="PINNACLE",IF([1]Übersicht!K353="T1",[1]Übersicht!G353*[1]Übersicht!M353-[1]Übersicht!M353,[1]Übersicht!H353*[1]Übersicht!M353-[1]Übersicht!M353),IF(K353="T1",G353*M353*0.95-M353,H353*M353*0.95-M353)))</f>
        <v>#VALUE!</v>
      </c>
      <c r="P353" s="56"/>
      <c r="Q353" s="69"/>
      <c r="R353" s="52">
        <f>IF(OR(P353="",N353="NO BET"),0,IF(K353=P353,O353,IF(N353="PINNACLE",-[1]Übersicht!M353,-M353)))</f>
        <v>0</v>
      </c>
      <c r="S353" s="69"/>
      <c r="T353" s="61" t="s">
        <v>31</v>
      </c>
      <c r="U353" s="9"/>
    </row>
    <row r="354" spans="1:21" ht="15.75" customHeight="1" thickBot="1" x14ac:dyDescent="0.25">
      <c r="A354" s="257"/>
      <c r="B354" s="246"/>
      <c r="C354" s="166"/>
      <c r="D354" s="53"/>
      <c r="E354" s="53"/>
      <c r="F354" s="53" t="str">
        <f t="shared" si="107"/>
        <v/>
      </c>
      <c r="G354" s="53"/>
      <c r="H354" s="53"/>
      <c r="I354" s="53" t="str">
        <f t="shared" si="108"/>
        <v/>
      </c>
      <c r="J354" s="53" t="str">
        <f t="shared" si="109"/>
        <v/>
      </c>
      <c r="K354" s="53" t="str">
        <f t="shared" si="104"/>
        <v/>
      </c>
      <c r="L354" s="130" t="str">
        <f t="shared" si="110"/>
        <v/>
      </c>
      <c r="M354" s="62" t="str">
        <f t="shared" si="111"/>
        <v/>
      </c>
      <c r="N354" s="133" t="str">
        <f>IF(AND(L354="",[1]Übersicht!L354=""),"",IF(AND(L354="NEGATIV EV",[1]Übersicht!L354="NO BET"),"NO BET",IF(AND(NOT(L354="NEGATIV EV"),L354&gt;[1]Übersicht!L354),"BET365",IF([1]Übersicht!L354="NO BET","BET365","PINNACLE"))))</f>
        <v>BET365</v>
      </c>
      <c r="O354" s="138" t="e">
        <f>IF(OR(N354="",N354="NO BET"),"",IF(N354="PINNACLE",IF([1]Übersicht!K354="T1",[1]Übersicht!G354*[1]Übersicht!M354-[1]Übersicht!M354,[1]Übersicht!H354*[1]Übersicht!M354-[1]Übersicht!M354),IF(K354="T1",G354*M354*0.95-M354,H354*M354*0.95-M354)))</f>
        <v>#VALUE!</v>
      </c>
      <c r="P354" s="136"/>
      <c r="Q354" s="69"/>
      <c r="R354" s="52">
        <f>IF(OR(P354="",N354="NO BET"),0,IF(K354=P354,O354,IF(N354="PINNACLE",-[1]Übersicht!M354,-M354)))</f>
        <v>0</v>
      </c>
      <c r="S354" s="69"/>
      <c r="T354" s="248" t="e">
        <f>IF(AND(NOT(N347=0)),T347/N347,0)</f>
        <v>#VALUE!</v>
      </c>
      <c r="U354" s="9"/>
    </row>
    <row r="355" spans="1:21" ht="15.75" customHeight="1" thickBot="1" x14ac:dyDescent="0.25">
      <c r="A355" s="257"/>
      <c r="B355" s="246"/>
      <c r="C355" s="167"/>
      <c r="D355" s="7"/>
      <c r="E355" s="7"/>
      <c r="F355" s="7" t="str">
        <f t="shared" si="107"/>
        <v/>
      </c>
      <c r="G355" s="7"/>
      <c r="H355" s="7"/>
      <c r="I355" s="7" t="str">
        <f t="shared" si="108"/>
        <v/>
      </c>
      <c r="J355" s="7" t="str">
        <f t="shared" si="109"/>
        <v/>
      </c>
      <c r="K355" s="7" t="str">
        <f t="shared" si="104"/>
        <v/>
      </c>
      <c r="L355" s="131" t="str">
        <f t="shared" si="110"/>
        <v/>
      </c>
      <c r="M355" s="60" t="str">
        <f t="shared" si="111"/>
        <v/>
      </c>
      <c r="N355" s="133" t="str">
        <f>IF(AND(L355="",[1]Übersicht!L355=""),"",IF(AND(L355="NEGATIV EV",[1]Übersicht!L355="NO BET"),"NO BET",IF(AND(NOT(L355="NEGATIV EV"),L355&gt;[1]Übersicht!L355),"BET365",IF([1]Übersicht!L355="NO BET","BET365","PINNACLE"))))</f>
        <v>BET365</v>
      </c>
      <c r="O355" s="139" t="e">
        <f>IF(OR(N355="",N355="NO BET"),"",IF(N355="PINNACLE",IF([1]Übersicht!K355="T1",[1]Übersicht!G355*[1]Übersicht!M355-[1]Übersicht!M355,[1]Übersicht!H355*[1]Übersicht!M355-[1]Übersicht!M355),IF(K355="T1",G355*M355*0.95-M355,H355*M355*0.95-M355)))</f>
        <v>#VALUE!</v>
      </c>
      <c r="P355" s="136"/>
      <c r="Q355" s="69"/>
      <c r="R355" s="52">
        <f>IF(OR(P355="",N355="NO BET"),0,IF(K355=P355,O355,IF(N355="PINNACLE",-[1]Übersicht!M355,-M355)))</f>
        <v>0</v>
      </c>
      <c r="S355" s="69"/>
      <c r="T355" s="249"/>
      <c r="U355" s="9"/>
    </row>
    <row r="356" spans="1:21" ht="15.75" customHeight="1" thickBot="1" x14ac:dyDescent="0.25">
      <c r="A356" s="258"/>
      <c r="B356" s="247"/>
      <c r="C356" s="168"/>
      <c r="D356" s="63"/>
      <c r="E356" s="63"/>
      <c r="F356" s="63" t="str">
        <f t="shared" si="107"/>
        <v/>
      </c>
      <c r="G356" s="63"/>
      <c r="H356" s="63"/>
      <c r="I356" s="63" t="str">
        <f t="shared" si="108"/>
        <v/>
      </c>
      <c r="J356" s="63" t="str">
        <f t="shared" si="109"/>
        <v/>
      </c>
      <c r="K356" s="63" t="str">
        <f t="shared" si="104"/>
        <v/>
      </c>
      <c r="L356" s="132" t="str">
        <f t="shared" si="110"/>
        <v/>
      </c>
      <c r="M356" s="65" t="str">
        <f t="shared" si="111"/>
        <v/>
      </c>
      <c r="N356" s="133" t="str">
        <f>IF(AND(L356="",[1]Übersicht!L356=""),"",IF(AND(L356="NEGATIV EV",[1]Übersicht!L356="NO BET"),"NO BET",IF(AND(NOT(L356="NEGATIV EV"),L356&gt;[1]Übersicht!L356),"BET365",IF([1]Übersicht!L356="NO BET","BET365","PINNACLE"))))</f>
        <v>BET365</v>
      </c>
      <c r="O356" s="138" t="e">
        <f>IF(OR(N356="",N356="NO BET"),"",IF(N356="PINNACLE",IF([1]Übersicht!K356="T1",[1]Übersicht!G356*[1]Übersicht!M356-[1]Übersicht!M356,[1]Übersicht!H356*[1]Übersicht!M356-[1]Übersicht!M356),IF(K356="T1",G356*M356*0.95-M356,H356*M356*0.95-M356)))</f>
        <v>#VALUE!</v>
      </c>
      <c r="P356" s="66"/>
      <c r="Q356" s="9"/>
      <c r="R356" s="135">
        <f>IF(OR(P356="",N356="NO BET"),0,IF(K356=P356,O356,IF(N356="PINNACLE",-[1]Übersicht!M356,-M356)))</f>
        <v>0</v>
      </c>
      <c r="S356" s="9"/>
      <c r="T356" s="250"/>
      <c r="U356" s="9"/>
    </row>
    <row r="357" spans="1:21" x14ac:dyDescent="0.2">
      <c r="A357" s="9"/>
      <c r="B357" s="9"/>
      <c r="C357" s="11"/>
      <c r="D357" s="9"/>
      <c r="E357" s="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10"/>
      <c r="S357" s="9"/>
      <c r="T357" s="11"/>
      <c r="U357" s="9"/>
    </row>
    <row r="358" spans="1:21" x14ac:dyDescent="0.2">
      <c r="A358" s="9"/>
      <c r="B358" s="9"/>
      <c r="C358" s="11"/>
      <c r="D358" s="9"/>
      <c r="E358" s="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10"/>
      <c r="S358" s="9"/>
      <c r="T358" s="11"/>
      <c r="U358" s="9"/>
    </row>
    <row r="359" spans="1:21" ht="15.75" thickBot="1" x14ac:dyDescent="0.25">
      <c r="A359" s="9"/>
      <c r="B359" s="9"/>
      <c r="C359" s="11"/>
      <c r="D359" s="9"/>
      <c r="E359" s="9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10"/>
      <c r="S359" s="9"/>
      <c r="T359" s="11"/>
      <c r="U359" s="9"/>
    </row>
    <row r="360" spans="1:21" ht="19.5" customHeight="1" thickBot="1" x14ac:dyDescent="0.25">
      <c r="A360" s="79" t="s">
        <v>6</v>
      </c>
      <c r="B360" s="245" t="s">
        <v>23</v>
      </c>
      <c r="C360" s="160"/>
      <c r="D360" s="43" t="s">
        <v>9</v>
      </c>
      <c r="E360" s="43" t="s">
        <v>10</v>
      </c>
      <c r="F360" s="43" t="s">
        <v>11</v>
      </c>
      <c r="G360" s="43" t="s">
        <v>12</v>
      </c>
      <c r="H360" s="43" t="s">
        <v>13</v>
      </c>
      <c r="I360" s="43" t="s">
        <v>14</v>
      </c>
      <c r="J360" s="43" t="s">
        <v>15</v>
      </c>
      <c r="K360" s="43" t="s">
        <v>33</v>
      </c>
      <c r="L360" s="43" t="s">
        <v>16</v>
      </c>
      <c r="M360" s="43" t="s">
        <v>38</v>
      </c>
      <c r="N360" s="128" t="s">
        <v>87</v>
      </c>
      <c r="O360" s="128" t="s">
        <v>89</v>
      </c>
      <c r="P360" s="137" t="s">
        <v>18</v>
      </c>
      <c r="Q360" s="69"/>
      <c r="R360" s="134" t="s">
        <v>34</v>
      </c>
      <c r="S360" s="69"/>
      <c r="T360" s="47" t="s">
        <v>29</v>
      </c>
      <c r="U360" s="9"/>
    </row>
    <row r="361" spans="1:21" ht="15.75" customHeight="1" thickBot="1" x14ac:dyDescent="0.25">
      <c r="A361" s="80"/>
      <c r="B361" s="246"/>
      <c r="C361" s="165"/>
      <c r="D361" s="48"/>
      <c r="E361" s="48"/>
      <c r="F361" s="48" t="str">
        <f t="shared" ref="F361:F370" si="112">IF(AND(C361=""),"",1-C361)</f>
        <v/>
      </c>
      <c r="G361" s="48"/>
      <c r="H361" s="48"/>
      <c r="I361" s="48" t="str">
        <f t="shared" ref="I361:I370" si="113">IF(AND(C361=""),"",G361*C361)</f>
        <v/>
      </c>
      <c r="J361" s="48" t="str">
        <f t="shared" ref="J361:J370" si="114">IF(AND(C361=""),"",H361*F361)</f>
        <v/>
      </c>
      <c r="K361" s="48" t="str">
        <f t="shared" ref="K361:K370" si="115">IF(AND(I361=""),"",IF(AND(I361&gt;J361),"T1","T2"))</f>
        <v/>
      </c>
      <c r="L361" s="129" t="str">
        <f t="shared" ref="L361:L365" si="116">IF(AND(K361=""),"",IF(AND((J361*0.95-1)&lt;0,(I361*0.95-1)&lt;0),"NEGATIV EV", IF(AND(K361="T1"),I361*0.95 - 1,J361*0.95 - 1)))</f>
        <v/>
      </c>
      <c r="M361" s="50" t="str">
        <f t="shared" ref="M361:M365" si="117">IF(L361="","",IF(L361&lt;0.5,K$2*M$2,IF(L361&lt;0.75,K$2*M$3,IF(L361&lt;1,K$2*M$4,IF(L361&lt;1.25,K$2*M$5,IF(L361&lt;1.5,K$2*M$6,IF(L361&lt;2,K$2*M$7,IF(L361&lt;2.5,K$2*M$8,IF(L361="NEGATIV EV","NEGATIV EV",K$2*M$9)))))))))</f>
        <v/>
      </c>
      <c r="N361" s="133" t="str">
        <f>IF(AND(L361="",[1]Übersicht!L361=""),"",IF(AND(L361="NEGATIV EV",[1]Übersicht!L361="NO BET"),"NO BET",IF(AND(NOT(L361="NEGATIV EV"),L361&gt;[1]Übersicht!L361),"BET365",IF([1]Übersicht!L361="NO BET","BET365","PINNACLE"))))</f>
        <v>BET365</v>
      </c>
      <c r="O361" s="140" t="e">
        <f>IF(OR(N361="",N361="NO BET"),"",IF(N361="PINNACLE",IF([1]Übersicht!K361="T1",[1]Übersicht!G361*[1]Übersicht!M361-[1]Übersicht!M361,[1]Übersicht!H361*[1]Übersicht!M361-[1]Übersicht!M361),IF(K361="T1",G361*M361*0.95-M361,H361*M361*0.95-M361)))</f>
        <v>#VALUE!</v>
      </c>
      <c r="P361" s="136"/>
      <c r="Q361" s="70"/>
      <c r="R361" s="52">
        <f>IF(OR(P361="",N361="NO BET"),0,IF(K361=P361,O361,IF(N361="PINNACLE",-[1]Übersicht!M361,-M361)))</f>
        <v>0</v>
      </c>
      <c r="S361" s="69"/>
      <c r="T361" s="241">
        <f>SUM(R361:R370)</f>
        <v>0</v>
      </c>
      <c r="U361" s="9"/>
    </row>
    <row r="362" spans="1:21" ht="15.75" customHeight="1" thickBot="1" x14ac:dyDescent="0.25">
      <c r="A362" s="257" t="s">
        <v>6</v>
      </c>
      <c r="B362" s="246"/>
      <c r="C362" s="166"/>
      <c r="D362" s="53"/>
      <c r="E362" s="53"/>
      <c r="F362" s="53" t="str">
        <f t="shared" si="112"/>
        <v/>
      </c>
      <c r="G362" s="53"/>
      <c r="H362" s="53"/>
      <c r="I362" s="53" t="str">
        <f t="shared" si="113"/>
        <v/>
      </c>
      <c r="J362" s="53" t="str">
        <f t="shared" si="114"/>
        <v/>
      </c>
      <c r="K362" s="53" t="str">
        <f t="shared" si="115"/>
        <v/>
      </c>
      <c r="L362" s="130" t="str">
        <f t="shared" si="116"/>
        <v/>
      </c>
      <c r="M362" s="55" t="str">
        <f t="shared" si="117"/>
        <v/>
      </c>
      <c r="N362" s="133" t="str">
        <f>IF(AND(L362="",[1]Übersicht!L362=""),"",IF(AND(L362="NEGATIV EV",[1]Übersicht!L362="NO BET"),"NO BET",IF(AND(NOT(L362="NEGATIV EV"),L362&gt;[1]Übersicht!L362),"BET365",IF([1]Übersicht!L362="NO BET","BET365","PINNACLE"))))</f>
        <v>BET365</v>
      </c>
      <c r="O362" s="138" t="e">
        <f>IF(OR(N362="",N362="NO BET"),"",IF(N362="PINNACLE",IF([1]Übersicht!K362="T1",[1]Übersicht!G362*[1]Übersicht!M362-[1]Übersicht!M362,[1]Übersicht!H362*[1]Übersicht!M362-[1]Übersicht!M362),IF(K362="T1",G362*M362*0.95-M362,H362*M362*0.95-M362)))</f>
        <v>#VALUE!</v>
      </c>
      <c r="P362" s="136"/>
      <c r="Q362" s="69"/>
      <c r="R362" s="52">
        <f>IF(OR(P362="",N362="NO BET"),0,IF(K362=P362,O362,IF(N362="PINNACLE",-[1]Übersicht!M362,-M362)))</f>
        <v>0</v>
      </c>
      <c r="S362" s="69"/>
      <c r="T362" s="241"/>
      <c r="U362" s="9"/>
    </row>
    <row r="363" spans="1:21" ht="15.75" customHeight="1" thickBot="1" x14ac:dyDescent="0.25">
      <c r="A363" s="257"/>
      <c r="B363" s="246"/>
      <c r="C363" s="167"/>
      <c r="D363" s="7"/>
      <c r="E363" s="7"/>
      <c r="F363" s="7" t="str">
        <f t="shared" si="112"/>
        <v/>
      </c>
      <c r="G363" s="7"/>
      <c r="H363" s="7"/>
      <c r="I363" s="7" t="str">
        <f t="shared" si="113"/>
        <v/>
      </c>
      <c r="J363" s="7" t="str">
        <f t="shared" si="114"/>
        <v/>
      </c>
      <c r="K363" s="7" t="str">
        <f t="shared" si="115"/>
        <v/>
      </c>
      <c r="L363" s="131" t="str">
        <f t="shared" si="116"/>
        <v/>
      </c>
      <c r="M363" s="59" t="str">
        <f t="shared" si="117"/>
        <v/>
      </c>
      <c r="N363" s="133" t="str">
        <f>IF(AND(L363="",[1]Übersicht!L363=""),"",IF(AND(L363="NEGATIV EV",[1]Übersicht!L363="NO BET"),"NO BET",IF(AND(NOT(L363="NEGATIV EV"),L363&gt;[1]Übersicht!L363),"BET365",IF([1]Übersicht!L363="NO BET","BET365","PINNACLE"))))</f>
        <v>BET365</v>
      </c>
      <c r="O363" s="140" t="e">
        <f>IF(OR(N363="",N363="NO BET"),"",IF(N363="PINNACLE",IF([1]Übersicht!K363="T1",[1]Übersicht!G363*[1]Übersicht!M363-[1]Übersicht!M363,[1]Übersicht!H363*[1]Übersicht!M363-[1]Übersicht!M363),IF(K363="T1",G363*M363*0.95-M363,H363*M363*0.95-M363)))</f>
        <v>#VALUE!</v>
      </c>
      <c r="P363" s="136"/>
      <c r="Q363" s="69"/>
      <c r="R363" s="52">
        <f>IF(OR(P363="",N363="NO BET"),0,IF(K363=P363,O363,IF(N363="PINNACLE",-[1]Übersicht!M363,-M363)))</f>
        <v>0</v>
      </c>
      <c r="S363" s="69"/>
      <c r="T363" s="241"/>
      <c r="U363" s="9"/>
    </row>
    <row r="364" spans="1:21" ht="15.75" customHeight="1" thickBot="1" x14ac:dyDescent="0.25">
      <c r="A364" s="257"/>
      <c r="B364" s="246"/>
      <c r="C364" s="166"/>
      <c r="D364" s="53"/>
      <c r="E364" s="53"/>
      <c r="F364" s="53" t="str">
        <f t="shared" si="112"/>
        <v/>
      </c>
      <c r="G364" s="53"/>
      <c r="H364" s="53"/>
      <c r="I364" s="53" t="str">
        <f t="shared" si="113"/>
        <v/>
      </c>
      <c r="J364" s="53" t="str">
        <f t="shared" si="114"/>
        <v/>
      </c>
      <c r="K364" s="53" t="str">
        <f t="shared" si="115"/>
        <v/>
      </c>
      <c r="L364" s="130" t="str">
        <f t="shared" si="116"/>
        <v/>
      </c>
      <c r="M364" s="55" t="str">
        <f t="shared" si="117"/>
        <v/>
      </c>
      <c r="N364" s="133" t="str">
        <f>IF(AND(L364="",[1]Übersicht!L364=""),"",IF(AND(L364="NEGATIV EV",[1]Übersicht!L364="NO BET"),"NO BET",IF(AND(NOT(L364="NEGATIV EV"),L364&gt;[1]Übersicht!L364),"BET365",IF([1]Übersicht!L364="NO BET","BET365","PINNACLE"))))</f>
        <v>BET365</v>
      </c>
      <c r="O364" s="138" t="e">
        <f>IF(OR(N364="",N364="NO BET"),"",IF(N364="PINNACLE",IF([1]Übersicht!K364="T1",[1]Übersicht!G364*[1]Übersicht!M364-[1]Übersicht!M364,[1]Übersicht!H364*[1]Übersicht!M364-[1]Übersicht!M364),IF(K364="T1",G364*M364*0.95-M364,H364*M364*0.95-M364)))</f>
        <v>#VALUE!</v>
      </c>
      <c r="P364" s="136"/>
      <c r="Q364" s="69"/>
      <c r="R364" s="52">
        <f>IF(OR(P364="",N364="NO BET"),0,IF(K364=P364,O364,IF(N364="PINNACLE",-[1]Übersicht!M364,-M364)))</f>
        <v>0</v>
      </c>
      <c r="S364" s="69"/>
      <c r="T364" s="241"/>
      <c r="U364" s="9"/>
    </row>
    <row r="365" spans="1:21" ht="15.75" customHeight="1" thickBot="1" x14ac:dyDescent="0.25">
      <c r="A365" s="257"/>
      <c r="B365" s="246"/>
      <c r="C365" s="167"/>
      <c r="D365" s="7"/>
      <c r="E365" s="7"/>
      <c r="F365" s="7" t="str">
        <f t="shared" si="112"/>
        <v/>
      </c>
      <c r="G365" s="7"/>
      <c r="H365" s="7"/>
      <c r="I365" s="7" t="str">
        <f t="shared" si="113"/>
        <v/>
      </c>
      <c r="J365" s="7" t="str">
        <f t="shared" si="114"/>
        <v/>
      </c>
      <c r="K365" s="7" t="str">
        <f t="shared" si="115"/>
        <v/>
      </c>
      <c r="L365" s="131" t="str">
        <f t="shared" si="116"/>
        <v/>
      </c>
      <c r="M365" s="60" t="str">
        <f t="shared" si="117"/>
        <v/>
      </c>
      <c r="N365" s="133" t="str">
        <f>IF(AND(L365="",[1]Übersicht!L365=""),"",IF(AND(L365="NEGATIV EV",[1]Übersicht!L365="NO BET"),"NO BET",IF(AND(NOT(L365="NEGATIV EV"),L365&gt;[1]Übersicht!L365),"BET365",IF([1]Übersicht!L365="NO BET","BET365","PINNACLE"))))</f>
        <v>BET365</v>
      </c>
      <c r="O365" s="140" t="e">
        <f>IF(OR(N365="",N365="NO BET"),"",IF(N365="PINNACLE",IF([1]Übersicht!K365="T1",[1]Übersicht!G365*[1]Übersicht!M365-[1]Übersicht!M365,[1]Übersicht!H365*[1]Übersicht!M365-[1]Übersicht!M365),IF(K365="T1",G365*M365*0.95-M365,H365*M365*0.95-M365)))</f>
        <v>#VALUE!</v>
      </c>
      <c r="P365" s="136"/>
      <c r="Q365" s="69"/>
      <c r="R365" s="52">
        <f>IF(OR(P365="",N365="NO BET"),0,IF(K365=P365,O365,IF(N365="PINNACLE",-[1]Übersicht!M365,-M365)))</f>
        <v>0</v>
      </c>
      <c r="S365" s="69"/>
      <c r="T365" s="241"/>
      <c r="U365" s="9"/>
    </row>
    <row r="366" spans="1:21" ht="15.75" customHeight="1" thickBot="1" x14ac:dyDescent="0.25">
      <c r="A366" s="257"/>
      <c r="B366" s="246"/>
      <c r="C366" s="166"/>
      <c r="D366" s="53"/>
      <c r="E366" s="53"/>
      <c r="F366" s="53" t="str">
        <f t="shared" si="112"/>
        <v/>
      </c>
      <c r="G366" s="53"/>
      <c r="H366" s="53"/>
      <c r="I366" s="53" t="str">
        <f t="shared" si="113"/>
        <v/>
      </c>
      <c r="J366" s="53" t="str">
        <f t="shared" si="114"/>
        <v/>
      </c>
      <c r="K366" s="53" t="str">
        <f t="shared" si="115"/>
        <v/>
      </c>
      <c r="L366" s="130" t="str">
        <f>IF(AND(K366=""),"",IF(AND((J366*0.95-1)&lt;0,(I366*0.95-1)&lt;0),"NEGATIV EV", IF(AND(K366="T1"),I366*0.95 - 1,J366*0.95 - 1)))</f>
        <v/>
      </c>
      <c r="M366" s="55" t="str">
        <f>IF(L366="","",IF(L366&lt;0.5,K$2*M$2,IF(L366&lt;0.75,K$2*M$3,IF(L366&lt;1,K$2*M$4,IF(L366&lt;1.25,K$2*M$5,IF(L366&lt;1.5,K$2*M$6,IF(L366&lt;2,K$2*M$7,IF(L366&lt;2.5,K$2*M$8,IF(L366="NEGATIV EV","NEGATIV EV",K$2*M$9)))))))))</f>
        <v/>
      </c>
      <c r="N366" s="133" t="str">
        <f>IF(AND(L366="",[1]Übersicht!L366=""),"",IF(AND(L366="NEGATIV EV",[1]Übersicht!L366="NO BET"),"NO BET",IF(AND(NOT(L366="NEGATIV EV"),L366&gt;[1]Übersicht!L366),"BET365",IF([1]Übersicht!L366="NO BET","BET365","PINNACLE"))))</f>
        <v>BET365</v>
      </c>
      <c r="O366" s="138" t="e">
        <f>IF(OR(N366="",N366="NO BET"),"",IF(N366="PINNACLE",IF([1]Übersicht!K366="T1",[1]Übersicht!G366*[1]Übersicht!M366-[1]Übersicht!M366,[1]Übersicht!H366*[1]Übersicht!M366-[1]Übersicht!M366),IF(K366="T1",G366*M366*0.95-M366,H366*M366*0.95-M366)))</f>
        <v>#VALUE!</v>
      </c>
      <c r="P366" s="136"/>
      <c r="Q366" s="69"/>
      <c r="R366" s="52">
        <f>IF(OR(P366="",N366="NO BET"),0,IF(K366=P366,O366,IF(N366="PINNACLE",-[1]Übersicht!M366,-M366)))</f>
        <v>0</v>
      </c>
      <c r="S366" s="69"/>
      <c r="T366" s="241"/>
      <c r="U366" s="9"/>
    </row>
    <row r="367" spans="1:21" ht="16.5" thickBot="1" x14ac:dyDescent="0.25">
      <c r="A367" s="257"/>
      <c r="B367" s="246"/>
      <c r="C367" s="167"/>
      <c r="D367" s="7"/>
      <c r="E367" s="7"/>
      <c r="F367" s="7" t="str">
        <f t="shared" si="112"/>
        <v/>
      </c>
      <c r="G367" s="7"/>
      <c r="H367" s="7"/>
      <c r="I367" s="7" t="str">
        <f t="shared" si="113"/>
        <v/>
      </c>
      <c r="J367" s="7" t="str">
        <f t="shared" si="114"/>
        <v/>
      </c>
      <c r="K367" s="7" t="str">
        <f t="shared" si="115"/>
        <v/>
      </c>
      <c r="L367" s="131" t="str">
        <f t="shared" ref="L367:L370" si="118">IF(AND(K367=""),"",IF(AND((J367*0.95-1)&lt;0,(I367*0.95-1)&lt;0),"NEGATIV EV", IF(AND(K367="T1"),I367*0.95 - 1,J367*0.95 - 1)))</f>
        <v/>
      </c>
      <c r="M367" s="59" t="str">
        <f t="shared" ref="M367:M370" si="119">IF(L367="","",IF(L367&lt;0.5,K$2*M$2,IF(L367&lt;0.75,K$2*M$3,IF(L367&lt;1,K$2*M$4,IF(L367&lt;1.25,K$2*M$5,IF(L367&lt;1.5,K$2*M$6,IF(L367&lt;2,K$2*M$7,IF(L367&lt;2.5,K$2*M$8,IF(L367="NEGATIV EV","NEGATIV EV",K$2*M$9)))))))))</f>
        <v/>
      </c>
      <c r="N367" s="133" t="str">
        <f>IF(AND(L367="",[1]Übersicht!L367=""),"",IF(AND(L367="NEGATIV EV",[1]Übersicht!L367="NO BET"),"NO BET",IF(AND(NOT(L367="NEGATIV EV"),L367&gt;[1]Übersicht!L367),"BET365",IF([1]Übersicht!L367="NO BET","BET365","PINNACLE"))))</f>
        <v>BET365</v>
      </c>
      <c r="O367" s="140" t="e">
        <f>IF(OR(N367="",N367="NO BET"),"",IF(N367="PINNACLE",IF([1]Übersicht!K367="T1",[1]Übersicht!G367*[1]Übersicht!M367-[1]Übersicht!M367,[1]Übersicht!H367*[1]Übersicht!M367-[1]Übersicht!M367),IF(K367="T1",G367*M367*0.95-M367,H367*M367*0.95-M367)))</f>
        <v>#VALUE!</v>
      </c>
      <c r="P367" s="56"/>
      <c r="Q367" s="69"/>
      <c r="R367" s="52">
        <f>IF(OR(P367="",N367="NO BET"),0,IF(K367=P367,O367,IF(N367="PINNACLE",-[1]Übersicht!M367,-M367)))</f>
        <v>0</v>
      </c>
      <c r="S367" s="69"/>
      <c r="T367" s="61" t="s">
        <v>31</v>
      </c>
      <c r="U367" s="9"/>
    </row>
    <row r="368" spans="1:21" ht="15.75" customHeight="1" thickBot="1" x14ac:dyDescent="0.25">
      <c r="A368" s="257"/>
      <c r="B368" s="246"/>
      <c r="C368" s="166"/>
      <c r="D368" s="53"/>
      <c r="E368" s="53"/>
      <c r="F368" s="53" t="str">
        <f t="shared" si="112"/>
        <v/>
      </c>
      <c r="G368" s="53"/>
      <c r="H368" s="53"/>
      <c r="I368" s="53" t="str">
        <f t="shared" si="113"/>
        <v/>
      </c>
      <c r="J368" s="53" t="str">
        <f t="shared" si="114"/>
        <v/>
      </c>
      <c r="K368" s="53" t="str">
        <f t="shared" si="115"/>
        <v/>
      </c>
      <c r="L368" s="130" t="str">
        <f t="shared" si="118"/>
        <v/>
      </c>
      <c r="M368" s="62" t="str">
        <f t="shared" si="119"/>
        <v/>
      </c>
      <c r="N368" s="133" t="str">
        <f>IF(AND(L368="",[1]Übersicht!L368=""),"",IF(AND(L368="NEGATIV EV",[1]Übersicht!L368="NO BET"),"NO BET",IF(AND(NOT(L368="NEGATIV EV"),L368&gt;[1]Übersicht!L368),"BET365",IF([1]Übersicht!L368="NO BET","BET365","PINNACLE"))))</f>
        <v>BET365</v>
      </c>
      <c r="O368" s="138" t="e">
        <f>IF(OR(N368="",N368="NO BET"),"",IF(N368="PINNACLE",IF([1]Übersicht!K368="T1",[1]Übersicht!G368*[1]Übersicht!M368-[1]Übersicht!M368,[1]Übersicht!H368*[1]Übersicht!M368-[1]Übersicht!M368),IF(K368="T1",G368*M368*0.95-M368,H368*M368*0.95-M368)))</f>
        <v>#VALUE!</v>
      </c>
      <c r="P368" s="136"/>
      <c r="Q368" s="69"/>
      <c r="R368" s="52">
        <f>IF(OR(P368="",N368="NO BET"),0,IF(K368=P368,O368,IF(N368="PINNACLE",-[1]Übersicht!M368,-M368)))</f>
        <v>0</v>
      </c>
      <c r="S368" s="69"/>
      <c r="T368" s="248" t="e">
        <f>IF(AND(NOT(N361=0)),T361/N361,0)</f>
        <v>#VALUE!</v>
      </c>
      <c r="U368" s="9"/>
    </row>
    <row r="369" spans="1:21" ht="15.75" customHeight="1" thickBot="1" x14ac:dyDescent="0.25">
      <c r="A369" s="257"/>
      <c r="B369" s="246"/>
      <c r="C369" s="167"/>
      <c r="D369" s="7"/>
      <c r="E369" s="7"/>
      <c r="F369" s="7" t="str">
        <f t="shared" si="112"/>
        <v/>
      </c>
      <c r="G369" s="7"/>
      <c r="H369" s="7"/>
      <c r="I369" s="7" t="str">
        <f t="shared" si="113"/>
        <v/>
      </c>
      <c r="J369" s="7" t="str">
        <f t="shared" si="114"/>
        <v/>
      </c>
      <c r="K369" s="7" t="str">
        <f t="shared" si="115"/>
        <v/>
      </c>
      <c r="L369" s="131" t="str">
        <f t="shared" si="118"/>
        <v/>
      </c>
      <c r="M369" s="60" t="str">
        <f t="shared" si="119"/>
        <v/>
      </c>
      <c r="N369" s="133" t="str">
        <f>IF(AND(L369="",[1]Übersicht!L369=""),"",IF(AND(L369="NEGATIV EV",[1]Übersicht!L369="NO BET"),"NO BET",IF(AND(NOT(L369="NEGATIV EV"),L369&gt;[1]Übersicht!L369),"BET365",IF([1]Übersicht!L369="NO BET","BET365","PINNACLE"))))</f>
        <v>BET365</v>
      </c>
      <c r="O369" s="139" t="e">
        <f>IF(OR(N369="",N369="NO BET"),"",IF(N369="PINNACLE",IF([1]Übersicht!K369="T1",[1]Übersicht!G369*[1]Übersicht!M369-[1]Übersicht!M369,[1]Übersicht!H369*[1]Übersicht!M369-[1]Übersicht!M369),IF(K369="T1",G369*M369*0.95-M369,H369*M369*0.95-M369)))</f>
        <v>#VALUE!</v>
      </c>
      <c r="P369" s="136"/>
      <c r="Q369" s="69"/>
      <c r="R369" s="52">
        <f>IF(OR(P369="",N369="NO BET"),0,IF(K369=P369,O369,IF(N369="PINNACLE",-[1]Übersicht!M369,-M369)))</f>
        <v>0</v>
      </c>
      <c r="S369" s="69"/>
      <c r="T369" s="249"/>
      <c r="U369" s="9"/>
    </row>
    <row r="370" spans="1:21" ht="15.75" customHeight="1" thickBot="1" x14ac:dyDescent="0.25">
      <c r="A370" s="258"/>
      <c r="B370" s="247"/>
      <c r="C370" s="168"/>
      <c r="D370" s="63"/>
      <c r="E370" s="63"/>
      <c r="F370" s="63" t="str">
        <f t="shared" si="112"/>
        <v/>
      </c>
      <c r="G370" s="63"/>
      <c r="H370" s="63"/>
      <c r="I370" s="63" t="str">
        <f t="shared" si="113"/>
        <v/>
      </c>
      <c r="J370" s="63" t="str">
        <f t="shared" si="114"/>
        <v/>
      </c>
      <c r="K370" s="63" t="str">
        <f t="shared" si="115"/>
        <v/>
      </c>
      <c r="L370" s="132" t="str">
        <f t="shared" si="118"/>
        <v/>
      </c>
      <c r="M370" s="65" t="str">
        <f t="shared" si="119"/>
        <v/>
      </c>
      <c r="N370" s="133" t="str">
        <f>IF(AND(L370="",[1]Übersicht!L370=""),"",IF(AND(L370="NEGATIV EV",[1]Übersicht!L370="NO BET"),"NO BET",IF(AND(NOT(L370="NEGATIV EV"),L370&gt;[1]Übersicht!L370),"BET365",IF([1]Übersicht!L370="NO BET","BET365","PINNACLE"))))</f>
        <v>BET365</v>
      </c>
      <c r="O370" s="138" t="e">
        <f>IF(OR(N370="",N370="NO BET"),"",IF(N370="PINNACLE",IF([1]Übersicht!K370="T1",[1]Übersicht!G370*[1]Übersicht!M370-[1]Übersicht!M370,[1]Übersicht!H370*[1]Übersicht!M370-[1]Übersicht!M370),IF(K370="T1",G370*M370*0.95-M370,H370*M370*0.95-M370)))</f>
        <v>#VALUE!</v>
      </c>
      <c r="P370" s="66"/>
      <c r="Q370" s="9"/>
      <c r="R370" s="135">
        <f>IF(OR(P370="",N370="NO BET"),0,IF(K370=P370,O370,IF(N370="PINNACLE",-[1]Übersicht!M370,-M370)))</f>
        <v>0</v>
      </c>
      <c r="S370" s="9"/>
      <c r="T370" s="250"/>
      <c r="U370" s="9"/>
    </row>
    <row r="371" spans="1:21" x14ac:dyDescent="0.2">
      <c r="A371" s="9"/>
      <c r="B371" s="9"/>
      <c r="C371" s="11"/>
      <c r="D371" s="9"/>
      <c r="E371" s="9"/>
      <c r="F371" s="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10"/>
      <c r="S371" s="9"/>
      <c r="T371" s="11"/>
      <c r="U371" s="9"/>
    </row>
    <row r="372" spans="1:21" x14ac:dyDescent="0.2">
      <c r="A372" s="9"/>
      <c r="B372" s="9"/>
      <c r="C372" s="11"/>
      <c r="D372" s="9"/>
      <c r="E372" s="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10"/>
      <c r="S372" s="9"/>
      <c r="T372" s="11"/>
      <c r="U372" s="9"/>
    </row>
    <row r="373" spans="1:21" ht="15.75" thickBot="1" x14ac:dyDescent="0.25">
      <c r="A373" s="9"/>
      <c r="B373" s="9"/>
      <c r="C373" s="11"/>
      <c r="D373" s="9"/>
      <c r="E373" s="9"/>
      <c r="F373" s="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10"/>
      <c r="S373" s="9"/>
      <c r="T373" s="11"/>
      <c r="U373" s="9"/>
    </row>
    <row r="374" spans="1:21" ht="19.5" customHeight="1" thickBot="1" x14ac:dyDescent="0.25">
      <c r="A374" s="79" t="s">
        <v>6</v>
      </c>
      <c r="B374" s="245" t="s">
        <v>24</v>
      </c>
      <c r="C374" s="160"/>
      <c r="D374" s="43" t="s">
        <v>9</v>
      </c>
      <c r="E374" s="43" t="s">
        <v>10</v>
      </c>
      <c r="F374" s="43" t="s">
        <v>11</v>
      </c>
      <c r="G374" s="43" t="s">
        <v>12</v>
      </c>
      <c r="H374" s="43" t="s">
        <v>13</v>
      </c>
      <c r="I374" s="43" t="s">
        <v>14</v>
      </c>
      <c r="J374" s="43" t="s">
        <v>15</v>
      </c>
      <c r="K374" s="43" t="s">
        <v>33</v>
      </c>
      <c r="L374" s="43" t="s">
        <v>16</v>
      </c>
      <c r="M374" s="43" t="s">
        <v>38</v>
      </c>
      <c r="N374" s="128" t="s">
        <v>87</v>
      </c>
      <c r="O374" s="128" t="s">
        <v>89</v>
      </c>
      <c r="P374" s="137" t="s">
        <v>18</v>
      </c>
      <c r="Q374" s="69"/>
      <c r="R374" s="134" t="s">
        <v>34</v>
      </c>
      <c r="S374" s="69"/>
      <c r="T374" s="47" t="s">
        <v>29</v>
      </c>
      <c r="U374" s="9"/>
    </row>
    <row r="375" spans="1:21" ht="15.75" customHeight="1" thickBot="1" x14ac:dyDescent="0.25">
      <c r="A375" s="80"/>
      <c r="B375" s="246"/>
      <c r="C375" s="165"/>
      <c r="D375" s="48"/>
      <c r="E375" s="48"/>
      <c r="F375" s="48" t="str">
        <f>IF(AND(C375=""),"",1-C375)</f>
        <v/>
      </c>
      <c r="G375" s="48"/>
      <c r="H375" s="48"/>
      <c r="I375" s="48" t="str">
        <f>IF(AND(C375=""),"",G375*C375)</f>
        <v/>
      </c>
      <c r="J375" s="48" t="str">
        <f>IF(AND(C375=""),"",H375*F375)</f>
        <v/>
      </c>
      <c r="K375" s="48" t="str">
        <f t="shared" ref="K375:K384" si="120">IF(AND(I375=""),"",IF(AND(I375&gt;J375),"T1","T2"))</f>
        <v/>
      </c>
      <c r="L375" s="129" t="str">
        <f t="shared" ref="L375:L379" si="121">IF(AND(K375=""),"",IF(AND((J375*0.95-1)&lt;0,(I375*0.95-1)&lt;0),"NEGATIV EV", IF(AND(K375="T1"),I375*0.95 - 1,J375*0.95 - 1)))</f>
        <v/>
      </c>
      <c r="M375" s="50" t="str">
        <f t="shared" ref="M375:M379" si="122">IF(L375="","",IF(L375&lt;0.5,K$2*M$2,IF(L375&lt;0.75,K$2*M$3,IF(L375&lt;1,K$2*M$4,IF(L375&lt;1.25,K$2*M$5,IF(L375&lt;1.5,K$2*M$6,IF(L375&lt;2,K$2*M$7,IF(L375&lt;2.5,K$2*M$8,IF(L375="NEGATIV EV","NEGATIV EV",K$2*M$9)))))))))</f>
        <v/>
      </c>
      <c r="N375" s="133" t="str">
        <f>IF(AND(L375="",[1]Übersicht!L375=""),"",IF(AND(L375="NEGATIV EV",[1]Übersicht!L375="NO BET"),"NO BET",IF(AND(NOT(L375="NEGATIV EV"),L375&gt;[1]Übersicht!L375),"BET365",IF([1]Übersicht!L375="NO BET","BET365","PINNACLE"))))</f>
        <v>BET365</v>
      </c>
      <c r="O375" s="140" t="e">
        <f>IF(OR(N375="",N375="NO BET"),"",IF(N375="PINNACLE",IF([1]Übersicht!K375="T1",[1]Übersicht!G375*[1]Übersicht!M375-[1]Übersicht!M375,[1]Übersicht!H375*[1]Übersicht!M375-[1]Übersicht!M375),IF(K375="T1",G375*M375*0.95-M375,H375*M375*0.95-M375)))</f>
        <v>#VALUE!</v>
      </c>
      <c r="P375" s="136"/>
      <c r="Q375" s="70"/>
      <c r="R375" s="52">
        <f>IF(OR(P375="",N375="NO BET"),0,IF(K375=P375,O375,IF(N375="PINNACLE",-[1]Übersicht!M375,-M375)))</f>
        <v>0</v>
      </c>
      <c r="S375" s="69"/>
      <c r="T375" s="241">
        <f>SUM(R375:R384)</f>
        <v>0</v>
      </c>
      <c r="U375" s="9"/>
    </row>
    <row r="376" spans="1:21" ht="15.75" customHeight="1" thickBot="1" x14ac:dyDescent="0.25">
      <c r="A376" s="257" t="s">
        <v>6</v>
      </c>
      <c r="B376" s="246"/>
      <c r="C376" s="166"/>
      <c r="D376" s="53"/>
      <c r="E376" s="53"/>
      <c r="F376" s="53" t="str">
        <f t="shared" ref="F376:F384" si="123">IF(AND(C376=""),"",1-C376)</f>
        <v/>
      </c>
      <c r="G376" s="53"/>
      <c r="H376" s="53"/>
      <c r="I376" s="53" t="str">
        <f t="shared" ref="I376:I384" si="124">IF(AND(C376=""),"",G376*C376)</f>
        <v/>
      </c>
      <c r="J376" s="53" t="str">
        <f t="shared" ref="J376:J384" si="125">IF(AND(C376=""),"",H376*F376)</f>
        <v/>
      </c>
      <c r="K376" s="53" t="str">
        <f t="shared" si="120"/>
        <v/>
      </c>
      <c r="L376" s="130" t="str">
        <f t="shared" si="121"/>
        <v/>
      </c>
      <c r="M376" s="55" t="str">
        <f t="shared" si="122"/>
        <v/>
      </c>
      <c r="N376" s="133" t="str">
        <f>IF(AND(L376="",[1]Übersicht!L376=""),"",IF(AND(L376="NEGATIV EV",[1]Übersicht!L376="NO BET"),"NO BET",IF(AND(NOT(L376="NEGATIV EV"),L376&gt;[1]Übersicht!L376),"BET365",IF([1]Übersicht!L376="NO BET","BET365","PINNACLE"))))</f>
        <v>BET365</v>
      </c>
      <c r="O376" s="138" t="e">
        <f>IF(OR(N376="",N376="NO BET"),"",IF(N376="PINNACLE",IF([1]Übersicht!K376="T1",[1]Übersicht!G376*[1]Übersicht!M376-[1]Übersicht!M376,[1]Übersicht!H376*[1]Übersicht!M376-[1]Übersicht!M376),IF(K376="T1",G376*M376*0.95-M376,H376*M376*0.95-M376)))</f>
        <v>#VALUE!</v>
      </c>
      <c r="P376" s="136"/>
      <c r="Q376" s="69"/>
      <c r="R376" s="52">
        <f>IF(OR(P376="",N376="NO BET"),0,IF(K376=P376,O376,IF(N376="PINNACLE",-[1]Übersicht!M376,-M376)))</f>
        <v>0</v>
      </c>
      <c r="S376" s="69"/>
      <c r="T376" s="241"/>
      <c r="U376" s="9"/>
    </row>
    <row r="377" spans="1:21" ht="15.75" customHeight="1" thickBot="1" x14ac:dyDescent="0.25">
      <c r="A377" s="257"/>
      <c r="B377" s="246"/>
      <c r="C377" s="167"/>
      <c r="D377" s="7"/>
      <c r="E377" s="7"/>
      <c r="F377" s="7" t="str">
        <f t="shared" si="123"/>
        <v/>
      </c>
      <c r="G377" s="7"/>
      <c r="H377" s="7"/>
      <c r="I377" s="7" t="str">
        <f t="shared" si="124"/>
        <v/>
      </c>
      <c r="J377" s="7" t="str">
        <f t="shared" si="125"/>
        <v/>
      </c>
      <c r="K377" s="7" t="str">
        <f t="shared" si="120"/>
        <v/>
      </c>
      <c r="L377" s="131" t="str">
        <f t="shared" si="121"/>
        <v/>
      </c>
      <c r="M377" s="59" t="str">
        <f t="shared" si="122"/>
        <v/>
      </c>
      <c r="N377" s="133" t="str">
        <f>IF(AND(L377="",[1]Übersicht!L377=""),"",IF(AND(L377="NEGATIV EV",[1]Übersicht!L377="NO BET"),"NO BET",IF(AND(NOT(L377="NEGATIV EV"),L377&gt;[1]Übersicht!L377),"BET365",IF([1]Übersicht!L377="NO BET","BET365","PINNACLE"))))</f>
        <v>BET365</v>
      </c>
      <c r="O377" s="140" t="e">
        <f>IF(OR(N377="",N377="NO BET"),"",IF(N377="PINNACLE",IF([1]Übersicht!K377="T1",[1]Übersicht!G377*[1]Übersicht!M377-[1]Übersicht!M377,[1]Übersicht!H377*[1]Übersicht!M377-[1]Übersicht!M377),IF(K377="T1",G377*M377*0.95-M377,H377*M377*0.95-M377)))</f>
        <v>#VALUE!</v>
      </c>
      <c r="P377" s="136"/>
      <c r="Q377" s="69"/>
      <c r="R377" s="52">
        <f>IF(OR(P377="",N377="NO BET"),0,IF(K377=P377,O377,IF(N377="PINNACLE",-[1]Übersicht!M377,-M377)))</f>
        <v>0</v>
      </c>
      <c r="S377" s="69"/>
      <c r="T377" s="241"/>
      <c r="U377" s="9"/>
    </row>
    <row r="378" spans="1:21" ht="15.75" customHeight="1" thickBot="1" x14ac:dyDescent="0.25">
      <c r="A378" s="257"/>
      <c r="B378" s="246"/>
      <c r="C378" s="166"/>
      <c r="D378" s="53"/>
      <c r="E378" s="53"/>
      <c r="F378" s="53" t="str">
        <f t="shared" si="123"/>
        <v/>
      </c>
      <c r="G378" s="53"/>
      <c r="H378" s="53"/>
      <c r="I378" s="53" t="str">
        <f t="shared" si="124"/>
        <v/>
      </c>
      <c r="J378" s="53" t="str">
        <f t="shared" si="125"/>
        <v/>
      </c>
      <c r="K378" s="53" t="str">
        <f t="shared" si="120"/>
        <v/>
      </c>
      <c r="L378" s="130" t="str">
        <f t="shared" si="121"/>
        <v/>
      </c>
      <c r="M378" s="55" t="str">
        <f t="shared" si="122"/>
        <v/>
      </c>
      <c r="N378" s="133" t="str">
        <f>IF(AND(L378="",[1]Übersicht!L378=""),"",IF(AND(L378="NEGATIV EV",[1]Übersicht!L378="NO BET"),"NO BET",IF(AND(NOT(L378="NEGATIV EV"),L378&gt;[1]Übersicht!L378),"BET365",IF([1]Übersicht!L378="NO BET","BET365","PINNACLE"))))</f>
        <v>BET365</v>
      </c>
      <c r="O378" s="138" t="e">
        <f>IF(OR(N378="",N378="NO BET"),"",IF(N378="PINNACLE",IF([1]Übersicht!K378="T1",[1]Übersicht!G378*[1]Übersicht!M378-[1]Übersicht!M378,[1]Übersicht!H378*[1]Übersicht!M378-[1]Übersicht!M378),IF(K378="T1",G378*M378*0.95-M378,H378*M378*0.95-M378)))</f>
        <v>#VALUE!</v>
      </c>
      <c r="P378" s="136"/>
      <c r="Q378" s="69"/>
      <c r="R378" s="52">
        <f>IF(OR(P378="",N378="NO BET"),0,IF(K378=P378,O378,IF(N378="PINNACLE",-[1]Übersicht!M378,-M378)))</f>
        <v>0</v>
      </c>
      <c r="S378" s="69"/>
      <c r="T378" s="241"/>
      <c r="U378" s="9"/>
    </row>
    <row r="379" spans="1:21" ht="15.75" customHeight="1" thickBot="1" x14ac:dyDescent="0.25">
      <c r="A379" s="257"/>
      <c r="B379" s="246"/>
      <c r="C379" s="167"/>
      <c r="D379" s="7"/>
      <c r="E379" s="7"/>
      <c r="F379" s="7" t="str">
        <f t="shared" si="123"/>
        <v/>
      </c>
      <c r="G379" s="7"/>
      <c r="H379" s="7"/>
      <c r="I379" s="7" t="str">
        <f t="shared" si="124"/>
        <v/>
      </c>
      <c r="J379" s="7" t="str">
        <f t="shared" si="125"/>
        <v/>
      </c>
      <c r="K379" s="7" t="str">
        <f t="shared" si="120"/>
        <v/>
      </c>
      <c r="L379" s="131" t="str">
        <f t="shared" si="121"/>
        <v/>
      </c>
      <c r="M379" s="60" t="str">
        <f t="shared" si="122"/>
        <v/>
      </c>
      <c r="N379" s="133" t="str">
        <f>IF(AND(L379="",[1]Übersicht!L379=""),"",IF(AND(L379="NEGATIV EV",[1]Übersicht!L379="NO BET"),"NO BET",IF(AND(NOT(L379="NEGATIV EV"),L379&gt;[1]Übersicht!L379),"BET365",IF([1]Übersicht!L379="NO BET","BET365","PINNACLE"))))</f>
        <v>BET365</v>
      </c>
      <c r="O379" s="140" t="e">
        <f>IF(OR(N379="",N379="NO BET"),"",IF(N379="PINNACLE",IF([1]Übersicht!K379="T1",[1]Übersicht!G379*[1]Übersicht!M379-[1]Übersicht!M379,[1]Übersicht!H379*[1]Übersicht!M379-[1]Übersicht!M379),IF(K379="T1",G379*M379*0.95-M379,H379*M379*0.95-M379)))</f>
        <v>#VALUE!</v>
      </c>
      <c r="P379" s="136"/>
      <c r="Q379" s="69"/>
      <c r="R379" s="52">
        <f>IF(OR(P379="",N379="NO BET"),0,IF(K379=P379,O379,IF(N379="PINNACLE",-[1]Übersicht!M379,-M379)))</f>
        <v>0</v>
      </c>
      <c r="S379" s="69"/>
      <c r="T379" s="241"/>
      <c r="U379" s="9"/>
    </row>
    <row r="380" spans="1:21" ht="15.75" customHeight="1" thickBot="1" x14ac:dyDescent="0.25">
      <c r="A380" s="257"/>
      <c r="B380" s="246"/>
      <c r="C380" s="166"/>
      <c r="D380" s="53"/>
      <c r="E380" s="53"/>
      <c r="F380" s="53" t="str">
        <f t="shared" si="123"/>
        <v/>
      </c>
      <c r="G380" s="53"/>
      <c r="H380" s="53"/>
      <c r="I380" s="53" t="str">
        <f t="shared" si="124"/>
        <v/>
      </c>
      <c r="J380" s="53" t="str">
        <f t="shared" si="125"/>
        <v/>
      </c>
      <c r="K380" s="53" t="str">
        <f t="shared" si="120"/>
        <v/>
      </c>
      <c r="L380" s="130" t="str">
        <f>IF(AND(K380=""),"",IF(AND((J380*0.95-1)&lt;0,(I380*0.95-1)&lt;0),"NEGATIV EV", IF(AND(K380="T1"),I380*0.95 - 1,J380*0.95 - 1)))</f>
        <v/>
      </c>
      <c r="M380" s="55" t="str">
        <f>IF(L380="","",IF(L380&lt;0.5,K$2*M$2,IF(L380&lt;0.75,K$2*M$3,IF(L380&lt;1,K$2*M$4,IF(L380&lt;1.25,K$2*M$5,IF(L380&lt;1.5,K$2*M$6,IF(L380&lt;2,K$2*M$7,IF(L380&lt;2.5,K$2*M$8,IF(L380="NEGATIV EV","NEGATIV EV",K$2*M$9)))))))))</f>
        <v/>
      </c>
      <c r="N380" s="133" t="str">
        <f>IF(AND(L380="",[1]Übersicht!L380=""),"",IF(AND(L380="NEGATIV EV",[1]Übersicht!L380="NO BET"),"NO BET",IF(AND(NOT(L380="NEGATIV EV"),L380&gt;[1]Übersicht!L380),"BET365",IF([1]Übersicht!L380="NO BET","BET365","PINNACLE"))))</f>
        <v>BET365</v>
      </c>
      <c r="O380" s="138" t="e">
        <f>IF(OR(N380="",N380="NO BET"),"",IF(N380="PINNACLE",IF([1]Übersicht!K380="T1",[1]Übersicht!G380*[1]Übersicht!M380-[1]Übersicht!M380,[1]Übersicht!H380*[1]Übersicht!M380-[1]Übersicht!M380),IF(K380="T1",G380*M380*0.95-M380,H380*M380*0.95-M380)))</f>
        <v>#VALUE!</v>
      </c>
      <c r="P380" s="136"/>
      <c r="Q380" s="69"/>
      <c r="R380" s="52">
        <f>IF(OR(P380="",N380="NO BET"),0,IF(K380=P380,O380,IF(N380="PINNACLE",-[1]Übersicht!M380,-M380)))</f>
        <v>0</v>
      </c>
      <c r="S380" s="69"/>
      <c r="T380" s="241"/>
      <c r="U380" s="9"/>
    </row>
    <row r="381" spans="1:21" ht="16.5" thickBot="1" x14ac:dyDescent="0.25">
      <c r="A381" s="257"/>
      <c r="B381" s="246"/>
      <c r="C381" s="167"/>
      <c r="D381" s="7"/>
      <c r="E381" s="7"/>
      <c r="F381" s="7" t="str">
        <f t="shared" si="123"/>
        <v/>
      </c>
      <c r="G381" s="7"/>
      <c r="H381" s="7"/>
      <c r="I381" s="7" t="str">
        <f t="shared" si="124"/>
        <v/>
      </c>
      <c r="J381" s="7" t="str">
        <f t="shared" si="125"/>
        <v/>
      </c>
      <c r="K381" s="7" t="str">
        <f t="shared" si="120"/>
        <v/>
      </c>
      <c r="L381" s="131" t="str">
        <f t="shared" ref="L381:L384" si="126">IF(AND(K381=""),"",IF(AND((J381*0.95-1)&lt;0,(I381*0.95-1)&lt;0),"NEGATIV EV", IF(AND(K381="T1"),I381*0.95 - 1,J381*0.95 - 1)))</f>
        <v/>
      </c>
      <c r="M381" s="59" t="str">
        <f t="shared" ref="M381:M384" si="127">IF(L381="","",IF(L381&lt;0.5,K$2*M$2,IF(L381&lt;0.75,K$2*M$3,IF(L381&lt;1,K$2*M$4,IF(L381&lt;1.25,K$2*M$5,IF(L381&lt;1.5,K$2*M$6,IF(L381&lt;2,K$2*M$7,IF(L381&lt;2.5,K$2*M$8,IF(L381="NEGATIV EV","NEGATIV EV",K$2*M$9)))))))))</f>
        <v/>
      </c>
      <c r="N381" s="133" t="str">
        <f>IF(AND(L381="",[1]Übersicht!L381=""),"",IF(AND(L381="NEGATIV EV",[1]Übersicht!L381="NO BET"),"NO BET",IF(AND(NOT(L381="NEGATIV EV"),L381&gt;[1]Übersicht!L381),"BET365",IF([1]Übersicht!L381="NO BET","BET365","PINNACLE"))))</f>
        <v>BET365</v>
      </c>
      <c r="O381" s="140" t="e">
        <f>IF(OR(N381="",N381="NO BET"),"",IF(N381="PINNACLE",IF([1]Übersicht!K381="T1",[1]Übersicht!G381*[1]Übersicht!M381-[1]Übersicht!M381,[1]Übersicht!H381*[1]Übersicht!M381-[1]Übersicht!M381),IF(K381="T1",G381*M381*0.95-M381,H381*M381*0.95-M381)))</f>
        <v>#VALUE!</v>
      </c>
      <c r="P381" s="56"/>
      <c r="Q381" s="69"/>
      <c r="R381" s="52">
        <f>IF(OR(P381="",N381="NO BET"),0,IF(K381=P381,O381,IF(N381="PINNACLE",-[1]Übersicht!M381,-M381)))</f>
        <v>0</v>
      </c>
      <c r="S381" s="69"/>
      <c r="T381" s="61" t="s">
        <v>31</v>
      </c>
      <c r="U381" s="9"/>
    </row>
    <row r="382" spans="1:21" ht="15.75" customHeight="1" thickBot="1" x14ac:dyDescent="0.25">
      <c r="A382" s="257"/>
      <c r="B382" s="246"/>
      <c r="C382" s="166"/>
      <c r="D382" s="53"/>
      <c r="E382" s="53"/>
      <c r="F382" s="53" t="str">
        <f t="shared" si="123"/>
        <v/>
      </c>
      <c r="G382" s="53"/>
      <c r="H382" s="53"/>
      <c r="I382" s="53" t="str">
        <f t="shared" si="124"/>
        <v/>
      </c>
      <c r="J382" s="53" t="str">
        <f t="shared" si="125"/>
        <v/>
      </c>
      <c r="K382" s="53" t="str">
        <f t="shared" si="120"/>
        <v/>
      </c>
      <c r="L382" s="130" t="str">
        <f t="shared" si="126"/>
        <v/>
      </c>
      <c r="M382" s="62" t="str">
        <f t="shared" si="127"/>
        <v/>
      </c>
      <c r="N382" s="133" t="str">
        <f>IF(AND(L382="",[1]Übersicht!L382=""),"",IF(AND(L382="NEGATIV EV",[1]Übersicht!L382="NO BET"),"NO BET",IF(AND(NOT(L382="NEGATIV EV"),L382&gt;[1]Übersicht!L382),"BET365",IF([1]Übersicht!L382="NO BET","BET365","PINNACLE"))))</f>
        <v>BET365</v>
      </c>
      <c r="O382" s="138" t="e">
        <f>IF(OR(N382="",N382="NO BET"),"",IF(N382="PINNACLE",IF([1]Übersicht!K382="T1",[1]Übersicht!G382*[1]Übersicht!M382-[1]Übersicht!M382,[1]Übersicht!H382*[1]Übersicht!M382-[1]Übersicht!M382),IF(K382="T1",G382*M382*0.95-M382,H382*M382*0.95-M382)))</f>
        <v>#VALUE!</v>
      </c>
      <c r="P382" s="136"/>
      <c r="Q382" s="69"/>
      <c r="R382" s="52">
        <f>IF(OR(P382="",N382="NO BET"),0,IF(K382=P382,O382,IF(N382="PINNACLE",-[1]Übersicht!M382,-M382)))</f>
        <v>0</v>
      </c>
      <c r="S382" s="69"/>
      <c r="T382" s="248" t="e">
        <f>IF(AND(NOT(N375=0)),T375/N375,0)</f>
        <v>#VALUE!</v>
      </c>
      <c r="U382" s="9"/>
    </row>
    <row r="383" spans="1:21" ht="15.75" customHeight="1" thickBot="1" x14ac:dyDescent="0.25">
      <c r="A383" s="257"/>
      <c r="B383" s="246"/>
      <c r="C383" s="167"/>
      <c r="D383" s="7"/>
      <c r="E383" s="7"/>
      <c r="F383" s="7" t="str">
        <f t="shared" si="123"/>
        <v/>
      </c>
      <c r="G383" s="7"/>
      <c r="H383" s="7"/>
      <c r="I383" s="7" t="str">
        <f t="shared" si="124"/>
        <v/>
      </c>
      <c r="J383" s="7" t="str">
        <f t="shared" si="125"/>
        <v/>
      </c>
      <c r="K383" s="7" t="str">
        <f t="shared" si="120"/>
        <v/>
      </c>
      <c r="L383" s="131" t="str">
        <f t="shared" si="126"/>
        <v/>
      </c>
      <c r="M383" s="60" t="str">
        <f t="shared" si="127"/>
        <v/>
      </c>
      <c r="N383" s="133" t="str">
        <f>IF(AND(L383="",[1]Übersicht!L383=""),"",IF(AND(L383="NEGATIV EV",[1]Übersicht!L383="NO BET"),"NO BET",IF(AND(NOT(L383="NEGATIV EV"),L383&gt;[1]Übersicht!L383),"BET365",IF([1]Übersicht!L383="NO BET","BET365","PINNACLE"))))</f>
        <v>BET365</v>
      </c>
      <c r="O383" s="139" t="e">
        <f>IF(OR(N383="",N383="NO BET"),"",IF(N383="PINNACLE",IF([1]Übersicht!K383="T1",[1]Übersicht!G383*[1]Übersicht!M383-[1]Übersicht!M383,[1]Übersicht!H383*[1]Übersicht!M383-[1]Übersicht!M383),IF(K383="T1",G383*M383*0.95-M383,H383*M383*0.95-M383)))</f>
        <v>#VALUE!</v>
      </c>
      <c r="P383" s="136"/>
      <c r="Q383" s="69"/>
      <c r="R383" s="52">
        <f>IF(OR(P383="",N383="NO BET"),0,IF(K383=P383,O383,IF(N383="PINNACLE",-[1]Übersicht!M383,-M383)))</f>
        <v>0</v>
      </c>
      <c r="S383" s="69"/>
      <c r="T383" s="249"/>
      <c r="U383" s="9"/>
    </row>
    <row r="384" spans="1:21" ht="15.75" customHeight="1" thickBot="1" x14ac:dyDescent="0.25">
      <c r="A384" s="258"/>
      <c r="B384" s="247"/>
      <c r="C384" s="168"/>
      <c r="D384" s="63"/>
      <c r="E384" s="63"/>
      <c r="F384" s="63" t="str">
        <f t="shared" si="123"/>
        <v/>
      </c>
      <c r="G384" s="63"/>
      <c r="H384" s="63"/>
      <c r="I384" s="63" t="str">
        <f t="shared" si="124"/>
        <v/>
      </c>
      <c r="J384" s="63" t="str">
        <f t="shared" si="125"/>
        <v/>
      </c>
      <c r="K384" s="63" t="str">
        <f t="shared" si="120"/>
        <v/>
      </c>
      <c r="L384" s="132" t="str">
        <f t="shared" si="126"/>
        <v/>
      </c>
      <c r="M384" s="65" t="str">
        <f t="shared" si="127"/>
        <v/>
      </c>
      <c r="N384" s="133" t="str">
        <f>IF(AND(L384="",[1]Übersicht!L384=""),"",IF(AND(L384="NEGATIV EV",[1]Übersicht!L384="NO BET"),"NO BET",IF(AND(NOT(L384="NEGATIV EV"),L384&gt;[1]Übersicht!L384),"BET365",IF([1]Übersicht!L384="NO BET","BET365","PINNACLE"))))</f>
        <v>BET365</v>
      </c>
      <c r="O384" s="138" t="e">
        <f>IF(OR(N384="",N384="NO BET"),"",IF(N384="PINNACLE",IF([1]Übersicht!K384="T1",[1]Übersicht!G384*[1]Übersicht!M384-[1]Übersicht!M384,[1]Übersicht!H384*[1]Übersicht!M384-[1]Übersicht!M384),IF(K384="T1",G384*M384*0.95-M384,H384*M384*0.95-M384)))</f>
        <v>#VALUE!</v>
      </c>
      <c r="P384" s="66"/>
      <c r="Q384" s="9"/>
      <c r="R384" s="135">
        <f>IF(OR(P384="",N384="NO BET"),0,IF(K384=P384,O384,IF(N384="PINNACLE",-[1]Übersicht!M384,-M384)))</f>
        <v>0</v>
      </c>
      <c r="S384" s="9"/>
      <c r="T384" s="250"/>
      <c r="U384" s="9"/>
    </row>
    <row r="385" spans="1:21" x14ac:dyDescent="0.2">
      <c r="A385" s="9"/>
      <c r="B385" s="9"/>
      <c r="C385" s="11"/>
      <c r="D385" s="9"/>
      <c r="E385" s="9"/>
      <c r="F385" s="9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10"/>
      <c r="S385" s="9"/>
      <c r="T385" s="11"/>
      <c r="U385" s="9"/>
    </row>
    <row r="386" spans="1:21" x14ac:dyDescent="0.2">
      <c r="A386" s="9"/>
      <c r="B386" s="9"/>
      <c r="C386" s="11"/>
      <c r="D386" s="9"/>
      <c r="E386" s="9"/>
      <c r="F386" s="9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10"/>
      <c r="S386" s="9"/>
      <c r="T386" s="11"/>
      <c r="U386" s="9"/>
    </row>
    <row r="387" spans="1:21" ht="15.75" thickBot="1" x14ac:dyDescent="0.25">
      <c r="A387" s="9"/>
      <c r="B387" s="9"/>
      <c r="C387" s="11"/>
      <c r="D387" s="9"/>
      <c r="E387" s="9"/>
      <c r="F387" s="9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10"/>
      <c r="S387" s="9"/>
      <c r="T387" s="11"/>
      <c r="U387" s="9"/>
    </row>
    <row r="388" spans="1:21" ht="19.5" customHeight="1" thickBot="1" x14ac:dyDescent="0.25">
      <c r="A388" s="79" t="s">
        <v>6</v>
      </c>
      <c r="B388" s="270" t="s">
        <v>25</v>
      </c>
      <c r="C388" s="160"/>
      <c r="D388" s="43" t="s">
        <v>9</v>
      </c>
      <c r="E388" s="43" t="s">
        <v>10</v>
      </c>
      <c r="F388" s="43" t="s">
        <v>11</v>
      </c>
      <c r="G388" s="43" t="s">
        <v>12</v>
      </c>
      <c r="H388" s="43" t="s">
        <v>13</v>
      </c>
      <c r="I388" s="43" t="s">
        <v>14</v>
      </c>
      <c r="J388" s="43" t="s">
        <v>15</v>
      </c>
      <c r="K388" s="43" t="s">
        <v>33</v>
      </c>
      <c r="L388" s="43" t="s">
        <v>16</v>
      </c>
      <c r="M388" s="43" t="s">
        <v>38</v>
      </c>
      <c r="N388" s="128" t="s">
        <v>87</v>
      </c>
      <c r="O388" s="128" t="s">
        <v>89</v>
      </c>
      <c r="P388" s="137" t="s">
        <v>18</v>
      </c>
      <c r="Q388" s="69"/>
      <c r="R388" s="134" t="s">
        <v>34</v>
      </c>
      <c r="S388" s="69"/>
      <c r="T388" s="47" t="s">
        <v>29</v>
      </c>
      <c r="U388" s="9"/>
    </row>
    <row r="389" spans="1:21" ht="15.75" customHeight="1" thickBot="1" x14ac:dyDescent="0.25">
      <c r="A389" s="80"/>
      <c r="B389" s="271"/>
      <c r="C389" s="165"/>
      <c r="D389" s="48"/>
      <c r="E389" s="48"/>
      <c r="F389" s="48" t="str">
        <f>IF(AND(C389=""),"",1-C389)</f>
        <v/>
      </c>
      <c r="G389" s="48"/>
      <c r="H389" s="48"/>
      <c r="I389" s="48" t="str">
        <f t="shared" ref="I389:I398" si="128">IF(AND(C389=""),"",G389*C389)</f>
        <v/>
      </c>
      <c r="J389" s="48" t="str">
        <f t="shared" ref="J389:J398" si="129">IF(AND(C389=""),"",H389*F389)</f>
        <v/>
      </c>
      <c r="K389" s="48" t="str">
        <f t="shared" ref="K389:K398" si="130">IF(AND(I389=""),"",IF(AND(I389&gt;J389),"T1","T2"))</f>
        <v/>
      </c>
      <c r="L389" s="129" t="str">
        <f t="shared" ref="L389:L393" si="131">IF(AND(K389=""),"",IF(AND((J389*0.95-1)&lt;0,(I389*0.95-1)&lt;0),"NEGATIV EV", IF(AND(K389="T1"),I389*0.95 - 1,J389*0.95 - 1)))</f>
        <v/>
      </c>
      <c r="M389" s="50" t="str">
        <f t="shared" ref="M389:M393" si="132">IF(L389="","",IF(L389&lt;0.5,K$2*M$2,IF(L389&lt;0.75,K$2*M$3,IF(L389&lt;1,K$2*M$4,IF(L389&lt;1.25,K$2*M$5,IF(L389&lt;1.5,K$2*M$6,IF(L389&lt;2,K$2*M$7,IF(L389&lt;2.5,K$2*M$8,IF(L389="NEGATIV EV","NEGATIV EV",K$2*M$9)))))))))</f>
        <v/>
      </c>
      <c r="N389" s="133" t="str">
        <f>IF(AND(L389="",[1]Übersicht!L389=""),"",IF(AND(L389="NEGATIV EV",[1]Übersicht!L389="NO BET"),"NO BET",IF(AND(NOT(L389="NEGATIV EV"),L389&gt;[1]Übersicht!L389),"BET365",IF([1]Übersicht!L389="NO BET","BET365","PINNACLE"))))</f>
        <v>BET365</v>
      </c>
      <c r="O389" s="140" t="e">
        <f>IF(OR(N389="",N389="NO BET"),"",IF(N389="PINNACLE",IF([1]Übersicht!K389="T1",[1]Übersicht!G389*[1]Übersicht!M389-[1]Übersicht!M389,[1]Übersicht!H389*[1]Übersicht!M389-[1]Übersicht!M389),IF(K389="T1",G389*M389*0.95-M389,H389*M389*0.95-M389)))</f>
        <v>#VALUE!</v>
      </c>
      <c r="P389" s="136"/>
      <c r="Q389" s="70"/>
      <c r="R389" s="52">
        <f>IF(OR(P389="",N389="NO BET"),0,IF(K389=P389,O389,IF(N389="PINNACLE",-[1]Übersicht!M389,-M389)))</f>
        <v>0</v>
      </c>
      <c r="S389" s="69"/>
      <c r="T389" s="241">
        <f>SUM(R389:R398)</f>
        <v>0</v>
      </c>
      <c r="U389" s="9"/>
    </row>
    <row r="390" spans="1:21" ht="15.75" customHeight="1" thickBot="1" x14ac:dyDescent="0.25">
      <c r="A390" s="257" t="s">
        <v>6</v>
      </c>
      <c r="B390" s="271"/>
      <c r="C390" s="166"/>
      <c r="D390" s="53"/>
      <c r="E390" s="53"/>
      <c r="F390" s="53" t="str">
        <f t="shared" ref="F390:F398" si="133">IF(AND(C390=""),"",1-C390)</f>
        <v/>
      </c>
      <c r="G390" s="53"/>
      <c r="H390" s="53"/>
      <c r="I390" s="53" t="str">
        <f t="shared" si="128"/>
        <v/>
      </c>
      <c r="J390" s="53" t="str">
        <f t="shared" si="129"/>
        <v/>
      </c>
      <c r="K390" s="53" t="str">
        <f t="shared" si="130"/>
        <v/>
      </c>
      <c r="L390" s="130" t="str">
        <f t="shared" si="131"/>
        <v/>
      </c>
      <c r="M390" s="55" t="str">
        <f t="shared" si="132"/>
        <v/>
      </c>
      <c r="N390" s="133" t="str">
        <f>IF(AND(L390="",[1]Übersicht!L390=""),"",IF(AND(L390="NEGATIV EV",[1]Übersicht!L390="NO BET"),"NO BET",IF(AND(NOT(L390="NEGATIV EV"),L390&gt;[1]Übersicht!L390),"BET365",IF([1]Übersicht!L390="NO BET","BET365","PINNACLE"))))</f>
        <v>BET365</v>
      </c>
      <c r="O390" s="138" t="e">
        <f>IF(OR(N390="",N390="NO BET"),"",IF(N390="PINNACLE",IF([1]Übersicht!K390="T1",[1]Übersicht!G390*[1]Übersicht!M390-[1]Übersicht!M390,[1]Übersicht!H390*[1]Übersicht!M390-[1]Übersicht!M390),IF(K390="T1",G390*M390*0.95-M390,H390*M390*0.95-M390)))</f>
        <v>#VALUE!</v>
      </c>
      <c r="P390" s="136"/>
      <c r="Q390" s="69"/>
      <c r="R390" s="52">
        <f>IF(OR(P390="",N390="NO BET"),0,IF(K390=P390,O390,IF(N390="PINNACLE",-[1]Übersicht!M390,-M390)))</f>
        <v>0</v>
      </c>
      <c r="S390" s="69"/>
      <c r="T390" s="241"/>
      <c r="U390" s="9"/>
    </row>
    <row r="391" spans="1:21" ht="15.75" customHeight="1" thickBot="1" x14ac:dyDescent="0.25">
      <c r="A391" s="257"/>
      <c r="B391" s="271"/>
      <c r="C391" s="167"/>
      <c r="D391" s="7"/>
      <c r="E391" s="7"/>
      <c r="F391" s="7" t="str">
        <f t="shared" si="133"/>
        <v/>
      </c>
      <c r="G391" s="7"/>
      <c r="H391" s="7"/>
      <c r="I391" s="7" t="str">
        <f t="shared" si="128"/>
        <v/>
      </c>
      <c r="J391" s="7" t="str">
        <f t="shared" si="129"/>
        <v/>
      </c>
      <c r="K391" s="7" t="str">
        <f t="shared" si="130"/>
        <v/>
      </c>
      <c r="L391" s="131" t="str">
        <f t="shared" si="131"/>
        <v/>
      </c>
      <c r="M391" s="59" t="str">
        <f t="shared" si="132"/>
        <v/>
      </c>
      <c r="N391" s="133" t="str">
        <f>IF(AND(L391="",[1]Übersicht!L391=""),"",IF(AND(L391="NEGATIV EV",[1]Übersicht!L391="NO BET"),"NO BET",IF(AND(NOT(L391="NEGATIV EV"),L391&gt;[1]Übersicht!L391),"BET365",IF([1]Übersicht!L391="NO BET","BET365","PINNACLE"))))</f>
        <v>BET365</v>
      </c>
      <c r="O391" s="140" t="e">
        <f>IF(OR(N391="",N391="NO BET"),"",IF(N391="PINNACLE",IF([1]Übersicht!K391="T1",[1]Übersicht!G391*[1]Übersicht!M391-[1]Übersicht!M391,[1]Übersicht!H391*[1]Übersicht!M391-[1]Übersicht!M391),IF(K391="T1",G391*M391*0.95-M391,H391*M391*0.95-M391)))</f>
        <v>#VALUE!</v>
      </c>
      <c r="P391" s="136"/>
      <c r="Q391" s="69"/>
      <c r="R391" s="52">
        <f>IF(OR(P391="",N391="NO BET"),0,IF(K391=P391,O391,IF(N391="PINNACLE",-[1]Übersicht!M391,-M391)))</f>
        <v>0</v>
      </c>
      <c r="S391" s="69"/>
      <c r="T391" s="241"/>
      <c r="U391" s="9"/>
    </row>
    <row r="392" spans="1:21" ht="15.75" customHeight="1" thickBot="1" x14ac:dyDescent="0.25">
      <c r="A392" s="257"/>
      <c r="B392" s="271"/>
      <c r="C392" s="166"/>
      <c r="D392" s="53"/>
      <c r="E392" s="53"/>
      <c r="F392" s="53" t="str">
        <f t="shared" si="133"/>
        <v/>
      </c>
      <c r="G392" s="53"/>
      <c r="H392" s="53"/>
      <c r="I392" s="53" t="str">
        <f t="shared" si="128"/>
        <v/>
      </c>
      <c r="J392" s="53" t="str">
        <f t="shared" si="129"/>
        <v/>
      </c>
      <c r="K392" s="53" t="str">
        <f t="shared" si="130"/>
        <v/>
      </c>
      <c r="L392" s="130" t="str">
        <f t="shared" si="131"/>
        <v/>
      </c>
      <c r="M392" s="55" t="str">
        <f t="shared" si="132"/>
        <v/>
      </c>
      <c r="N392" s="133" t="str">
        <f>IF(AND(L392="",[1]Übersicht!L392=""),"",IF(AND(L392="NEGATIV EV",[1]Übersicht!L392="NO BET"),"NO BET",IF(AND(NOT(L392="NEGATIV EV"),L392&gt;[1]Übersicht!L392),"BET365",IF([1]Übersicht!L392="NO BET","BET365","PINNACLE"))))</f>
        <v>BET365</v>
      </c>
      <c r="O392" s="138" t="e">
        <f>IF(OR(N392="",N392="NO BET"),"",IF(N392="PINNACLE",IF([1]Übersicht!K392="T1",[1]Übersicht!G392*[1]Übersicht!M392-[1]Übersicht!M392,[1]Übersicht!H392*[1]Übersicht!M392-[1]Übersicht!M392),IF(K392="T1",G392*M392*0.95-M392,H392*M392*0.95-M392)))</f>
        <v>#VALUE!</v>
      </c>
      <c r="P392" s="136"/>
      <c r="Q392" s="69"/>
      <c r="R392" s="52">
        <f>IF(OR(P392="",N392="NO BET"),0,IF(K392=P392,O392,IF(N392="PINNACLE",-[1]Übersicht!M392,-M392)))</f>
        <v>0</v>
      </c>
      <c r="S392" s="69"/>
      <c r="T392" s="241"/>
      <c r="U392" s="9"/>
    </row>
    <row r="393" spans="1:21" ht="15.75" customHeight="1" thickBot="1" x14ac:dyDescent="0.25">
      <c r="A393" s="257"/>
      <c r="B393" s="271"/>
      <c r="C393" s="167"/>
      <c r="D393" s="7"/>
      <c r="E393" s="7"/>
      <c r="F393" s="7" t="str">
        <f t="shared" si="133"/>
        <v/>
      </c>
      <c r="G393" s="7"/>
      <c r="H393" s="7"/>
      <c r="I393" s="7" t="str">
        <f t="shared" si="128"/>
        <v/>
      </c>
      <c r="J393" s="7" t="str">
        <f t="shared" si="129"/>
        <v/>
      </c>
      <c r="K393" s="7" t="str">
        <f t="shared" si="130"/>
        <v/>
      </c>
      <c r="L393" s="131" t="str">
        <f t="shared" si="131"/>
        <v/>
      </c>
      <c r="M393" s="60" t="str">
        <f t="shared" si="132"/>
        <v/>
      </c>
      <c r="N393" s="133" t="str">
        <f>IF(AND(L393="",[1]Übersicht!L393=""),"",IF(AND(L393="NEGATIV EV",[1]Übersicht!L393="NO BET"),"NO BET",IF(AND(NOT(L393="NEGATIV EV"),L393&gt;[1]Übersicht!L393),"BET365",IF([1]Übersicht!L393="NO BET","BET365","PINNACLE"))))</f>
        <v>BET365</v>
      </c>
      <c r="O393" s="140" t="e">
        <f>IF(OR(N393="",N393="NO BET"),"",IF(N393="PINNACLE",IF([1]Übersicht!K393="T1",[1]Übersicht!G393*[1]Übersicht!M393-[1]Übersicht!M393,[1]Übersicht!H393*[1]Übersicht!M393-[1]Übersicht!M393),IF(K393="T1",G393*M393*0.95-M393,H393*M393*0.95-M393)))</f>
        <v>#VALUE!</v>
      </c>
      <c r="P393" s="136"/>
      <c r="Q393" s="69"/>
      <c r="R393" s="52">
        <f>IF(OR(P393="",N393="NO BET"),0,IF(K393=P393,O393,IF(N393="PINNACLE",-[1]Übersicht!M393,-M393)))</f>
        <v>0</v>
      </c>
      <c r="S393" s="69"/>
      <c r="T393" s="241"/>
      <c r="U393" s="9"/>
    </row>
    <row r="394" spans="1:21" ht="15.75" customHeight="1" thickBot="1" x14ac:dyDescent="0.25">
      <c r="A394" s="257"/>
      <c r="B394" s="271"/>
      <c r="C394" s="166"/>
      <c r="D394" s="53"/>
      <c r="E394" s="53"/>
      <c r="F394" s="53" t="str">
        <f t="shared" si="133"/>
        <v/>
      </c>
      <c r="G394" s="53"/>
      <c r="H394" s="53"/>
      <c r="I394" s="53" t="str">
        <f t="shared" si="128"/>
        <v/>
      </c>
      <c r="J394" s="53" t="str">
        <f t="shared" si="129"/>
        <v/>
      </c>
      <c r="K394" s="53" t="str">
        <f t="shared" si="130"/>
        <v/>
      </c>
      <c r="L394" s="130" t="str">
        <f>IF(AND(K394=""),"",IF(AND((J394*0.95-1)&lt;0,(I394*0.95-1)&lt;0),"NEGATIV EV", IF(AND(K394="T1"),I394*0.95 - 1,J394*0.95 - 1)))</f>
        <v/>
      </c>
      <c r="M394" s="55" t="str">
        <f>IF(L394="","",IF(L394&lt;0.5,K$2*M$2,IF(L394&lt;0.75,K$2*M$3,IF(L394&lt;1,K$2*M$4,IF(L394&lt;1.25,K$2*M$5,IF(L394&lt;1.5,K$2*M$6,IF(L394&lt;2,K$2*M$7,IF(L394&lt;2.5,K$2*M$8,IF(L394="NEGATIV EV","NEGATIV EV",K$2*M$9)))))))))</f>
        <v/>
      </c>
      <c r="N394" s="133" t="str">
        <f>IF(AND(L394="",[1]Übersicht!L394=""),"",IF(AND(L394="NEGATIV EV",[1]Übersicht!L394="NO BET"),"NO BET",IF(AND(NOT(L394="NEGATIV EV"),L394&gt;[1]Übersicht!L394),"BET365",IF([1]Übersicht!L394="NO BET","BET365","PINNACLE"))))</f>
        <v>BET365</v>
      </c>
      <c r="O394" s="138" t="e">
        <f>IF(OR(N394="",N394="NO BET"),"",IF(N394="PINNACLE",IF([1]Übersicht!K394="T1",[1]Übersicht!G394*[1]Übersicht!M394-[1]Übersicht!M394,[1]Übersicht!H394*[1]Übersicht!M394-[1]Übersicht!M394),IF(K394="T1",G394*M394*0.95-M394,H394*M394*0.95-M394)))</f>
        <v>#VALUE!</v>
      </c>
      <c r="P394" s="136"/>
      <c r="Q394" s="69"/>
      <c r="R394" s="52">
        <f>IF(OR(P394="",N394="NO BET"),0,IF(K394=P394,O394,IF(N394="PINNACLE",-[1]Übersicht!M394,-M394)))</f>
        <v>0</v>
      </c>
      <c r="S394" s="69"/>
      <c r="T394" s="241"/>
      <c r="U394" s="9"/>
    </row>
    <row r="395" spans="1:21" ht="16.5" thickBot="1" x14ac:dyDescent="0.25">
      <c r="A395" s="257"/>
      <c r="B395" s="271"/>
      <c r="C395" s="167"/>
      <c r="D395" s="7"/>
      <c r="E395" s="7"/>
      <c r="F395" s="7" t="str">
        <f t="shared" si="133"/>
        <v/>
      </c>
      <c r="G395" s="7"/>
      <c r="H395" s="7"/>
      <c r="I395" s="7" t="str">
        <f t="shared" si="128"/>
        <v/>
      </c>
      <c r="J395" s="7" t="str">
        <f t="shared" si="129"/>
        <v/>
      </c>
      <c r="K395" s="7" t="str">
        <f t="shared" si="130"/>
        <v/>
      </c>
      <c r="L395" s="131" t="str">
        <f t="shared" ref="L395:L398" si="134">IF(AND(K395=""),"",IF(AND((J395*0.95-1)&lt;0,(I395*0.95-1)&lt;0),"NEGATIV EV", IF(AND(K395="T1"),I395*0.95 - 1,J395*0.95 - 1)))</f>
        <v/>
      </c>
      <c r="M395" s="59" t="str">
        <f t="shared" ref="M395:M398" si="135">IF(L395="","",IF(L395&lt;0.5,K$2*M$2,IF(L395&lt;0.75,K$2*M$3,IF(L395&lt;1,K$2*M$4,IF(L395&lt;1.25,K$2*M$5,IF(L395&lt;1.5,K$2*M$6,IF(L395&lt;2,K$2*M$7,IF(L395&lt;2.5,K$2*M$8,IF(L395="NEGATIV EV","NEGATIV EV",K$2*M$9)))))))))</f>
        <v/>
      </c>
      <c r="N395" s="133" t="str">
        <f>IF(AND(L395="",[1]Übersicht!L395=""),"",IF(AND(L395="NEGATIV EV",[1]Übersicht!L395="NO BET"),"NO BET",IF(AND(NOT(L395="NEGATIV EV"),L395&gt;[1]Übersicht!L395),"BET365",IF([1]Übersicht!L395="NO BET","BET365","PINNACLE"))))</f>
        <v>BET365</v>
      </c>
      <c r="O395" s="140" t="e">
        <f>IF(OR(N395="",N395="NO BET"),"",IF(N395="PINNACLE",IF([1]Übersicht!K395="T1",[1]Übersicht!G395*[1]Übersicht!M395-[1]Übersicht!M395,[1]Übersicht!H395*[1]Übersicht!M395-[1]Übersicht!M395),IF(K395="T1",G395*M395*0.95-M395,H395*M395*0.95-M395)))</f>
        <v>#VALUE!</v>
      </c>
      <c r="P395" s="56"/>
      <c r="Q395" s="69"/>
      <c r="R395" s="52">
        <f>IF(OR(P395="",N395="NO BET"),0,IF(K395=P395,O395,IF(N395="PINNACLE",-[1]Übersicht!M395,-M395)))</f>
        <v>0</v>
      </c>
      <c r="S395" s="69"/>
      <c r="T395" s="61" t="s">
        <v>31</v>
      </c>
      <c r="U395" s="9"/>
    </row>
    <row r="396" spans="1:21" ht="15.75" customHeight="1" thickBot="1" x14ac:dyDescent="0.25">
      <c r="A396" s="257"/>
      <c r="B396" s="271"/>
      <c r="C396" s="166"/>
      <c r="D396" s="53"/>
      <c r="E396" s="53"/>
      <c r="F396" s="53" t="str">
        <f t="shared" si="133"/>
        <v/>
      </c>
      <c r="G396" s="53"/>
      <c r="H396" s="53"/>
      <c r="I396" s="53" t="str">
        <f t="shared" si="128"/>
        <v/>
      </c>
      <c r="J396" s="53" t="str">
        <f t="shared" si="129"/>
        <v/>
      </c>
      <c r="K396" s="53" t="str">
        <f t="shared" si="130"/>
        <v/>
      </c>
      <c r="L396" s="130" t="str">
        <f t="shared" si="134"/>
        <v/>
      </c>
      <c r="M396" s="62" t="str">
        <f t="shared" si="135"/>
        <v/>
      </c>
      <c r="N396" s="133" t="str">
        <f>IF(AND(L396="",[1]Übersicht!L396=""),"",IF(AND(L396="NEGATIV EV",[1]Übersicht!L396="NO BET"),"NO BET",IF(AND(NOT(L396="NEGATIV EV"),L396&gt;[1]Übersicht!L396),"BET365",IF([1]Übersicht!L396="NO BET","BET365","PINNACLE"))))</f>
        <v>BET365</v>
      </c>
      <c r="O396" s="138" t="e">
        <f>IF(OR(N396="",N396="NO BET"),"",IF(N396="PINNACLE",IF([1]Übersicht!K396="T1",[1]Übersicht!G396*[1]Übersicht!M396-[1]Übersicht!M396,[1]Übersicht!H396*[1]Übersicht!M396-[1]Übersicht!M396),IF(K396="T1",G396*M396*0.95-M396,H396*M396*0.95-M396)))</f>
        <v>#VALUE!</v>
      </c>
      <c r="P396" s="136"/>
      <c r="Q396" s="69"/>
      <c r="R396" s="52">
        <f>IF(OR(P396="",N396="NO BET"),0,IF(K396=P396,O396,IF(N396="PINNACLE",-[1]Übersicht!M396,-M396)))</f>
        <v>0</v>
      </c>
      <c r="S396" s="69"/>
      <c r="T396" s="248" t="e">
        <f>IF(AND(NOT(N389=0)),T389/N389,0)</f>
        <v>#VALUE!</v>
      </c>
      <c r="U396" s="9"/>
    </row>
    <row r="397" spans="1:21" ht="15.75" customHeight="1" thickBot="1" x14ac:dyDescent="0.25">
      <c r="A397" s="257"/>
      <c r="B397" s="271"/>
      <c r="C397" s="167"/>
      <c r="D397" s="7"/>
      <c r="E397" s="7"/>
      <c r="F397" s="7" t="str">
        <f t="shared" si="133"/>
        <v/>
      </c>
      <c r="G397" s="7"/>
      <c r="H397" s="7"/>
      <c r="I397" s="7" t="str">
        <f t="shared" si="128"/>
        <v/>
      </c>
      <c r="J397" s="7" t="str">
        <f t="shared" si="129"/>
        <v/>
      </c>
      <c r="K397" s="7" t="str">
        <f t="shared" si="130"/>
        <v/>
      </c>
      <c r="L397" s="131" t="str">
        <f t="shared" si="134"/>
        <v/>
      </c>
      <c r="M397" s="60" t="str">
        <f t="shared" si="135"/>
        <v/>
      </c>
      <c r="N397" s="133" t="str">
        <f>IF(AND(L397="",[1]Übersicht!L397=""),"",IF(AND(L397="NEGATIV EV",[1]Übersicht!L397="NO BET"),"NO BET",IF(AND(NOT(L397="NEGATIV EV"),L397&gt;[1]Übersicht!L397),"BET365",IF([1]Übersicht!L397="NO BET","BET365","PINNACLE"))))</f>
        <v>BET365</v>
      </c>
      <c r="O397" s="139" t="e">
        <f>IF(OR(N397="",N397="NO BET"),"",IF(N397="PINNACLE",IF([1]Übersicht!K397="T1",[1]Übersicht!G397*[1]Übersicht!M397-[1]Übersicht!M397,[1]Übersicht!H397*[1]Übersicht!M397-[1]Übersicht!M397),IF(K397="T1",G397*M397*0.95-M397,H397*M397*0.95-M397)))</f>
        <v>#VALUE!</v>
      </c>
      <c r="P397" s="136"/>
      <c r="Q397" s="69"/>
      <c r="R397" s="52">
        <f>IF(OR(P397="",N397="NO BET"),0,IF(K397=P397,O397,IF(N397="PINNACLE",-[1]Übersicht!M397,-M397)))</f>
        <v>0</v>
      </c>
      <c r="S397" s="69"/>
      <c r="T397" s="249"/>
      <c r="U397" s="9"/>
    </row>
    <row r="398" spans="1:21" ht="15.75" customHeight="1" thickBot="1" x14ac:dyDescent="0.25">
      <c r="A398" s="258"/>
      <c r="B398" s="272"/>
      <c r="C398" s="168"/>
      <c r="D398" s="63"/>
      <c r="E398" s="63"/>
      <c r="F398" s="63" t="str">
        <f t="shared" si="133"/>
        <v/>
      </c>
      <c r="G398" s="63"/>
      <c r="H398" s="63"/>
      <c r="I398" s="63" t="str">
        <f t="shared" si="128"/>
        <v/>
      </c>
      <c r="J398" s="63" t="str">
        <f t="shared" si="129"/>
        <v/>
      </c>
      <c r="K398" s="63" t="str">
        <f t="shared" si="130"/>
        <v/>
      </c>
      <c r="L398" s="132" t="str">
        <f t="shared" si="134"/>
        <v/>
      </c>
      <c r="M398" s="65" t="str">
        <f t="shared" si="135"/>
        <v/>
      </c>
      <c r="N398" s="133" t="str">
        <f>IF(AND(L398="",[1]Übersicht!L398=""),"",IF(AND(L398="NEGATIV EV",[1]Übersicht!L398="NO BET"),"NO BET",IF(AND(NOT(L398="NEGATIV EV"),L398&gt;[1]Übersicht!L398),"BET365",IF([1]Übersicht!L398="NO BET","BET365","PINNACLE"))))</f>
        <v>BET365</v>
      </c>
      <c r="O398" s="138" t="e">
        <f>IF(OR(N398="",N398="NO BET"),"",IF(N398="PINNACLE",IF([1]Übersicht!K398="T1",[1]Übersicht!G398*[1]Übersicht!M398-[1]Übersicht!M398,[1]Übersicht!H398*[1]Übersicht!M398-[1]Übersicht!M398),IF(K398="T1",G398*M398*0.95-M398,H398*M398*0.95-M398)))</f>
        <v>#VALUE!</v>
      </c>
      <c r="P398" s="66"/>
      <c r="Q398" s="9"/>
      <c r="R398" s="135">
        <f>IF(OR(P398="",N398="NO BET"),0,IF(K398=P398,O398,IF(N398="PINNACLE",-[1]Übersicht!M398,-M398)))</f>
        <v>0</v>
      </c>
      <c r="S398" s="9"/>
      <c r="T398" s="250"/>
      <c r="U398" s="9"/>
    </row>
    <row r="399" spans="1:21" x14ac:dyDescent="0.2">
      <c r="A399" s="9"/>
      <c r="B399" s="9"/>
      <c r="C399" s="11"/>
      <c r="D399" s="9"/>
      <c r="E399" s="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10"/>
      <c r="S399" s="9"/>
      <c r="T399" s="11"/>
      <c r="U399" s="9"/>
    </row>
    <row r="400" spans="1:21" x14ac:dyDescent="0.2">
      <c r="A400" s="9"/>
      <c r="B400" s="9"/>
      <c r="C400" s="11"/>
      <c r="D400" s="9"/>
      <c r="E400" s="9"/>
      <c r="F400" s="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10"/>
      <c r="S400" s="9"/>
      <c r="T400" s="11"/>
      <c r="U400" s="9"/>
    </row>
    <row r="401" spans="1:21" ht="15.75" thickBot="1" x14ac:dyDescent="0.25">
      <c r="A401" s="9"/>
      <c r="B401" s="9"/>
      <c r="C401" s="11"/>
      <c r="D401" s="9"/>
      <c r="E401" s="9"/>
      <c r="F401" s="9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10"/>
      <c r="S401" s="9"/>
      <c r="T401" s="11"/>
      <c r="U401" s="9"/>
    </row>
    <row r="402" spans="1:21" ht="19.5" customHeight="1" thickBot="1" x14ac:dyDescent="0.25">
      <c r="A402" s="79" t="s">
        <v>6</v>
      </c>
      <c r="B402" s="245" t="s">
        <v>26</v>
      </c>
      <c r="C402" s="169"/>
      <c r="D402" s="81" t="s">
        <v>9</v>
      </c>
      <c r="E402" s="81" t="s">
        <v>10</v>
      </c>
      <c r="F402" s="81" t="s">
        <v>11</v>
      </c>
      <c r="G402" s="81" t="s">
        <v>12</v>
      </c>
      <c r="H402" s="81" t="s">
        <v>13</v>
      </c>
      <c r="I402" s="81" t="s">
        <v>14</v>
      </c>
      <c r="J402" s="81" t="s">
        <v>15</v>
      </c>
      <c r="K402" s="81" t="s">
        <v>33</v>
      </c>
      <c r="L402" s="43" t="s">
        <v>16</v>
      </c>
      <c r="M402" s="43" t="s">
        <v>38</v>
      </c>
      <c r="N402" s="128" t="s">
        <v>87</v>
      </c>
      <c r="O402" s="128" t="s">
        <v>89</v>
      </c>
      <c r="P402" s="137" t="s">
        <v>18</v>
      </c>
      <c r="Q402" s="69"/>
      <c r="R402" s="134" t="s">
        <v>34</v>
      </c>
      <c r="S402" s="69"/>
      <c r="T402" s="47" t="s">
        <v>29</v>
      </c>
      <c r="U402" s="9"/>
    </row>
    <row r="403" spans="1:21" ht="15.75" customHeight="1" thickBot="1" x14ac:dyDescent="0.25">
      <c r="A403" s="80"/>
      <c r="B403" s="246"/>
      <c r="C403" s="165"/>
      <c r="D403" s="48"/>
      <c r="E403" s="48"/>
      <c r="F403" s="48" t="str">
        <f>IF(AND(C403=""),"",1-C403)</f>
        <v/>
      </c>
      <c r="G403" s="48"/>
      <c r="H403" s="48"/>
      <c r="I403" s="48" t="str">
        <f>IF(AND(C403=""),"",G403*C403)</f>
        <v/>
      </c>
      <c r="J403" s="48" t="str">
        <f>IF(AND(C403=""),"",H403*F403)</f>
        <v/>
      </c>
      <c r="K403" s="48" t="str">
        <f t="shared" ref="K403:K412" si="136">IF(AND(I403=""),"",IF(AND(I403&gt;J403),"T1","T2"))</f>
        <v/>
      </c>
      <c r="L403" s="129" t="str">
        <f t="shared" ref="L403:L407" si="137">IF(AND(K403=""),"",IF(AND((J403*0.95-1)&lt;0,(I403*0.95-1)&lt;0),"NEGATIV EV", IF(AND(K403="T1"),I403*0.95 - 1,J403*0.95 - 1)))</f>
        <v/>
      </c>
      <c r="M403" s="50" t="str">
        <f t="shared" ref="M403:M407" si="138">IF(L403="","",IF(L403&lt;0.5,K$2*M$2,IF(L403&lt;0.75,K$2*M$3,IF(L403&lt;1,K$2*M$4,IF(L403&lt;1.25,K$2*M$5,IF(L403&lt;1.5,K$2*M$6,IF(L403&lt;2,K$2*M$7,IF(L403&lt;2.5,K$2*M$8,IF(L403="NEGATIV EV","NEGATIV EV",K$2*M$9)))))))))</f>
        <v/>
      </c>
      <c r="N403" s="133" t="str">
        <f>IF(AND(L403="",[1]Übersicht!L403=""),"",IF(AND(L403="NEGATIV EV",[1]Übersicht!L403="NO BET"),"NO BET",IF(AND(NOT(L403="NEGATIV EV"),L403&gt;[1]Übersicht!L403),"BET365",IF([1]Übersicht!L403="NO BET","BET365","PINNACLE"))))</f>
        <v>BET365</v>
      </c>
      <c r="O403" s="140" t="e">
        <f>IF(OR(N403="",N403="NO BET"),"",IF(N403="PINNACLE",IF([1]Übersicht!K403="T1",[1]Übersicht!G403*[1]Übersicht!M403-[1]Übersicht!M403,[1]Übersicht!H403*[1]Übersicht!M403-[1]Übersicht!M403),IF(K403="T1",G403*M403*0.95-M403,H403*M403*0.95-M403)))</f>
        <v>#VALUE!</v>
      </c>
      <c r="P403" s="136"/>
      <c r="Q403" s="70"/>
      <c r="R403" s="52">
        <f>IF(OR(P403="",N403="NO BET"),0,IF(K403=P403,O403,IF(N403="PINNACLE",-[1]Übersicht!M403,-M403)))</f>
        <v>0</v>
      </c>
      <c r="S403" s="69"/>
      <c r="T403" s="241">
        <f>SUM(R403:R412)</f>
        <v>0</v>
      </c>
      <c r="U403" s="9"/>
    </row>
    <row r="404" spans="1:21" ht="15.75" customHeight="1" thickBot="1" x14ac:dyDescent="0.25">
      <c r="A404" s="257" t="s">
        <v>6</v>
      </c>
      <c r="B404" s="246"/>
      <c r="C404" s="166"/>
      <c r="D404" s="53"/>
      <c r="E404" s="53"/>
      <c r="F404" s="53" t="str">
        <f t="shared" ref="F404:F412" si="139">IF(AND(C404=""),"",1-C404)</f>
        <v/>
      </c>
      <c r="G404" s="53"/>
      <c r="H404" s="53"/>
      <c r="I404" s="53" t="str">
        <f t="shared" ref="I404:I412" si="140">IF(AND(C404=""),"",G404*C404)</f>
        <v/>
      </c>
      <c r="J404" s="53" t="str">
        <f t="shared" ref="J404:J412" si="141">IF(AND(C404=""),"",H404*F404)</f>
        <v/>
      </c>
      <c r="K404" s="53" t="str">
        <f t="shared" si="136"/>
        <v/>
      </c>
      <c r="L404" s="130" t="str">
        <f t="shared" si="137"/>
        <v/>
      </c>
      <c r="M404" s="55" t="str">
        <f t="shared" si="138"/>
        <v/>
      </c>
      <c r="N404" s="133" t="str">
        <f>IF(AND(L404="",[1]Übersicht!L404=""),"",IF(AND(L404="NEGATIV EV",[1]Übersicht!L404="NO BET"),"NO BET",IF(AND(NOT(L404="NEGATIV EV"),L404&gt;[1]Übersicht!L404),"BET365",IF([1]Übersicht!L404="NO BET","BET365","PINNACLE"))))</f>
        <v>BET365</v>
      </c>
      <c r="O404" s="138" t="e">
        <f>IF(OR(N404="",N404="NO BET"),"",IF(N404="PINNACLE",IF([1]Übersicht!K404="T1",[1]Übersicht!G404*[1]Übersicht!M404-[1]Übersicht!M404,[1]Übersicht!H404*[1]Übersicht!M404-[1]Übersicht!M404),IF(K404="T1",G404*M404*0.95-M404,H404*M404*0.95-M404)))</f>
        <v>#VALUE!</v>
      </c>
      <c r="P404" s="136"/>
      <c r="Q404" s="69"/>
      <c r="R404" s="52">
        <f>IF(OR(P404="",N404="NO BET"),0,IF(K404=P404,O404,IF(N404="PINNACLE",-[1]Übersicht!M404,-M404)))</f>
        <v>0</v>
      </c>
      <c r="S404" s="69"/>
      <c r="T404" s="241"/>
      <c r="U404" s="9"/>
    </row>
    <row r="405" spans="1:21" ht="15.75" customHeight="1" thickBot="1" x14ac:dyDescent="0.25">
      <c r="A405" s="257"/>
      <c r="B405" s="246"/>
      <c r="C405" s="167"/>
      <c r="D405" s="7"/>
      <c r="E405" s="7"/>
      <c r="F405" s="7" t="str">
        <f t="shared" si="139"/>
        <v/>
      </c>
      <c r="G405" s="7"/>
      <c r="H405" s="7"/>
      <c r="I405" s="7" t="str">
        <f t="shared" si="140"/>
        <v/>
      </c>
      <c r="J405" s="7" t="str">
        <f t="shared" si="141"/>
        <v/>
      </c>
      <c r="K405" s="7" t="str">
        <f t="shared" si="136"/>
        <v/>
      </c>
      <c r="L405" s="131" t="str">
        <f t="shared" si="137"/>
        <v/>
      </c>
      <c r="M405" s="59" t="str">
        <f t="shared" si="138"/>
        <v/>
      </c>
      <c r="N405" s="133" t="str">
        <f>IF(AND(L405="",[1]Übersicht!L405=""),"",IF(AND(L405="NEGATIV EV",[1]Übersicht!L405="NO BET"),"NO BET",IF(AND(NOT(L405="NEGATIV EV"),L405&gt;[1]Übersicht!L405),"BET365",IF([1]Übersicht!L405="NO BET","BET365","PINNACLE"))))</f>
        <v>BET365</v>
      </c>
      <c r="O405" s="140" t="e">
        <f>IF(OR(N405="",N405="NO BET"),"",IF(N405="PINNACLE",IF([1]Übersicht!K405="T1",[1]Übersicht!G405*[1]Übersicht!M405-[1]Übersicht!M405,[1]Übersicht!H405*[1]Übersicht!M405-[1]Übersicht!M405),IF(K405="T1",G405*M405*0.95-M405,H405*M405*0.95-M405)))</f>
        <v>#VALUE!</v>
      </c>
      <c r="P405" s="136"/>
      <c r="Q405" s="69"/>
      <c r="R405" s="52">
        <f>IF(OR(P405="",N405="NO BET"),0,IF(K405=P405,O405,IF(N405="PINNACLE",-[1]Übersicht!M405,-M405)))</f>
        <v>0</v>
      </c>
      <c r="S405" s="69"/>
      <c r="T405" s="241"/>
      <c r="U405" s="9"/>
    </row>
    <row r="406" spans="1:21" ht="15.75" customHeight="1" thickBot="1" x14ac:dyDescent="0.25">
      <c r="A406" s="257"/>
      <c r="B406" s="246"/>
      <c r="C406" s="166"/>
      <c r="D406" s="53"/>
      <c r="E406" s="53"/>
      <c r="F406" s="53" t="str">
        <f t="shared" si="139"/>
        <v/>
      </c>
      <c r="G406" s="53"/>
      <c r="H406" s="53"/>
      <c r="I406" s="53" t="str">
        <f t="shared" si="140"/>
        <v/>
      </c>
      <c r="J406" s="53" t="str">
        <f t="shared" si="141"/>
        <v/>
      </c>
      <c r="K406" s="53" t="str">
        <f t="shared" si="136"/>
        <v/>
      </c>
      <c r="L406" s="130" t="str">
        <f t="shared" si="137"/>
        <v/>
      </c>
      <c r="M406" s="55" t="str">
        <f t="shared" si="138"/>
        <v/>
      </c>
      <c r="N406" s="133" t="str">
        <f>IF(AND(L406="",[1]Übersicht!L406=""),"",IF(AND(L406="NEGATIV EV",[1]Übersicht!L406="NO BET"),"NO BET",IF(AND(NOT(L406="NEGATIV EV"),L406&gt;[1]Übersicht!L406),"BET365",IF([1]Übersicht!L406="NO BET","BET365","PINNACLE"))))</f>
        <v>BET365</v>
      </c>
      <c r="O406" s="138" t="e">
        <f>IF(OR(N406="",N406="NO BET"),"",IF(N406="PINNACLE",IF([1]Übersicht!K406="T1",[1]Übersicht!G406*[1]Übersicht!M406-[1]Übersicht!M406,[1]Übersicht!H406*[1]Übersicht!M406-[1]Übersicht!M406),IF(K406="T1",G406*M406*0.95-M406,H406*M406*0.95-M406)))</f>
        <v>#VALUE!</v>
      </c>
      <c r="P406" s="136"/>
      <c r="Q406" s="69"/>
      <c r="R406" s="52">
        <f>IF(OR(P406="",N406="NO BET"),0,IF(K406=P406,O406,IF(N406="PINNACLE",-[1]Übersicht!M406,-M406)))</f>
        <v>0</v>
      </c>
      <c r="S406" s="69"/>
      <c r="T406" s="241"/>
      <c r="U406" s="9"/>
    </row>
    <row r="407" spans="1:21" ht="15.75" customHeight="1" thickBot="1" x14ac:dyDescent="0.25">
      <c r="A407" s="257"/>
      <c r="B407" s="246"/>
      <c r="C407" s="167"/>
      <c r="D407" s="7"/>
      <c r="E407" s="7"/>
      <c r="F407" s="7" t="str">
        <f t="shared" si="139"/>
        <v/>
      </c>
      <c r="G407" s="7"/>
      <c r="H407" s="7"/>
      <c r="I407" s="7" t="str">
        <f>IF(AND(C407=""),"",G407*C407)</f>
        <v/>
      </c>
      <c r="J407" s="7" t="str">
        <f>IF(AND(C407=""),"",H407*F407)</f>
        <v/>
      </c>
      <c r="K407" s="7" t="str">
        <f t="shared" si="136"/>
        <v/>
      </c>
      <c r="L407" s="131" t="str">
        <f t="shared" si="137"/>
        <v/>
      </c>
      <c r="M407" s="60" t="str">
        <f t="shared" si="138"/>
        <v/>
      </c>
      <c r="N407" s="133" t="str">
        <f>IF(AND(L407="",[1]Übersicht!L407=""),"",IF(AND(L407="NEGATIV EV",[1]Übersicht!L407="NO BET"),"NO BET",IF(AND(NOT(L407="NEGATIV EV"),L407&gt;[1]Übersicht!L407),"BET365",IF([1]Übersicht!L407="NO BET","BET365","PINNACLE"))))</f>
        <v>BET365</v>
      </c>
      <c r="O407" s="140" t="e">
        <f>IF(OR(N407="",N407="NO BET"),"",IF(N407="PINNACLE",IF([1]Übersicht!K407="T1",[1]Übersicht!G407*[1]Übersicht!M407-[1]Übersicht!M407,[1]Übersicht!H407*[1]Übersicht!M407-[1]Übersicht!M407),IF(K407="T1",G407*M407*0.95-M407,H407*M407*0.95-M407)))</f>
        <v>#VALUE!</v>
      </c>
      <c r="P407" s="136"/>
      <c r="Q407" s="69"/>
      <c r="R407" s="52">
        <f>IF(OR(P407="",N407="NO BET"),0,IF(K407=P407,O407,IF(N407="PINNACLE",-[1]Übersicht!M407,-M407)))</f>
        <v>0</v>
      </c>
      <c r="S407" s="69"/>
      <c r="T407" s="241"/>
      <c r="U407" s="9"/>
    </row>
    <row r="408" spans="1:21" ht="15.75" customHeight="1" thickBot="1" x14ac:dyDescent="0.25">
      <c r="A408" s="257"/>
      <c r="B408" s="246"/>
      <c r="C408" s="166"/>
      <c r="D408" s="53"/>
      <c r="E408" s="53"/>
      <c r="F408" s="53" t="str">
        <f t="shared" si="139"/>
        <v/>
      </c>
      <c r="G408" s="53"/>
      <c r="H408" s="53"/>
      <c r="I408" s="53" t="str">
        <f t="shared" si="140"/>
        <v/>
      </c>
      <c r="J408" s="53" t="str">
        <f t="shared" si="141"/>
        <v/>
      </c>
      <c r="K408" s="53" t="str">
        <f t="shared" si="136"/>
        <v/>
      </c>
      <c r="L408" s="130" t="str">
        <f>IF(AND(K408=""),"",IF(AND((J408*0.95-1)&lt;0,(I408*0.95-1)&lt;0),"NEGATIV EV", IF(AND(K408="T1"),I408*0.95 - 1,J408*0.95 - 1)))</f>
        <v/>
      </c>
      <c r="M408" s="55" t="str">
        <f>IF(L408="","",IF(L408&lt;0.5,K$2*M$2,IF(L408&lt;0.75,K$2*M$3,IF(L408&lt;1,K$2*M$4,IF(L408&lt;1.25,K$2*M$5,IF(L408&lt;1.5,K$2*M$6,IF(L408&lt;2,K$2*M$7,IF(L408&lt;2.5,K$2*M$8,IF(L408="NEGATIV EV","NEGATIV EV",K$2*M$9)))))))))</f>
        <v/>
      </c>
      <c r="N408" s="133" t="str">
        <f>IF(AND(L408="",[1]Übersicht!L408=""),"",IF(AND(L408="NEGATIV EV",[1]Übersicht!L408="NO BET"),"NO BET",IF(AND(NOT(L408="NEGATIV EV"),L408&gt;[1]Übersicht!L408),"BET365",IF([1]Übersicht!L408="NO BET","BET365","PINNACLE"))))</f>
        <v>BET365</v>
      </c>
      <c r="O408" s="138" t="e">
        <f>IF(OR(N408="",N408="NO BET"),"",IF(N408="PINNACLE",IF([1]Übersicht!K408="T1",[1]Übersicht!G408*[1]Übersicht!M408-[1]Übersicht!M408,[1]Übersicht!H408*[1]Übersicht!M408-[1]Übersicht!M408),IF(K408="T1",G408*M408*0.95-M408,H408*M408*0.95-M408)))</f>
        <v>#VALUE!</v>
      </c>
      <c r="P408" s="136"/>
      <c r="Q408" s="69"/>
      <c r="R408" s="52">
        <f>IF(OR(P408="",N408="NO BET"),0,IF(K408=P408,O408,IF(N408="PINNACLE",-[1]Übersicht!M408,-M408)))</f>
        <v>0</v>
      </c>
      <c r="S408" s="69"/>
      <c r="T408" s="241"/>
      <c r="U408" s="9"/>
    </row>
    <row r="409" spans="1:21" ht="16.5" thickBot="1" x14ac:dyDescent="0.25">
      <c r="A409" s="257"/>
      <c r="B409" s="246"/>
      <c r="C409" s="167"/>
      <c r="D409" s="7"/>
      <c r="E409" s="7"/>
      <c r="F409" s="7" t="str">
        <f t="shared" si="139"/>
        <v/>
      </c>
      <c r="G409" s="7"/>
      <c r="H409" s="7"/>
      <c r="I409" s="7" t="str">
        <f t="shared" si="140"/>
        <v/>
      </c>
      <c r="J409" s="7" t="str">
        <f t="shared" si="141"/>
        <v/>
      </c>
      <c r="K409" s="7" t="str">
        <f t="shared" si="136"/>
        <v/>
      </c>
      <c r="L409" s="131" t="str">
        <f t="shared" ref="L409:L412" si="142">IF(AND(K409=""),"",IF(AND((J409*0.95-1)&lt;0,(I409*0.95-1)&lt;0),"NEGATIV EV", IF(AND(K409="T1"),I409*0.95 - 1,J409*0.95 - 1)))</f>
        <v/>
      </c>
      <c r="M409" s="59" t="str">
        <f t="shared" ref="M409:M412" si="143">IF(L409="","",IF(L409&lt;0.5,K$2*M$2,IF(L409&lt;0.75,K$2*M$3,IF(L409&lt;1,K$2*M$4,IF(L409&lt;1.25,K$2*M$5,IF(L409&lt;1.5,K$2*M$6,IF(L409&lt;2,K$2*M$7,IF(L409&lt;2.5,K$2*M$8,IF(L409="NEGATIV EV","NEGATIV EV",K$2*M$9)))))))))</f>
        <v/>
      </c>
      <c r="N409" s="133" t="str">
        <f>IF(AND(L409="",[1]Übersicht!L409=""),"",IF(AND(L409="NEGATIV EV",[1]Übersicht!L409="NO BET"),"NO BET",IF(AND(NOT(L409="NEGATIV EV"),L409&gt;[1]Übersicht!L409),"BET365",IF([1]Übersicht!L409="NO BET","BET365","PINNACLE"))))</f>
        <v>BET365</v>
      </c>
      <c r="O409" s="140" t="e">
        <f>IF(OR(N409="",N409="NO BET"),"",IF(N409="PINNACLE",IF([1]Übersicht!K409="T1",[1]Übersicht!G409*[1]Übersicht!M409-[1]Übersicht!M409,[1]Übersicht!H409*[1]Übersicht!M409-[1]Übersicht!M409),IF(K409="T1",G409*M409*0.95-M409,H409*M409*0.95-M409)))</f>
        <v>#VALUE!</v>
      </c>
      <c r="P409" s="56"/>
      <c r="Q409" s="69"/>
      <c r="R409" s="52">
        <f>IF(OR(P409="",N409="NO BET"),0,IF(K409=P409,O409,IF(N409="PINNACLE",-[1]Übersicht!M409,-M409)))</f>
        <v>0</v>
      </c>
      <c r="S409" s="69"/>
      <c r="T409" s="61" t="s">
        <v>31</v>
      </c>
      <c r="U409" s="9"/>
    </row>
    <row r="410" spans="1:21" ht="15.75" customHeight="1" thickBot="1" x14ac:dyDescent="0.25">
      <c r="A410" s="257"/>
      <c r="B410" s="246"/>
      <c r="C410" s="166"/>
      <c r="D410" s="53"/>
      <c r="E410" s="53"/>
      <c r="F410" s="53" t="str">
        <f t="shared" si="139"/>
        <v/>
      </c>
      <c r="G410" s="53"/>
      <c r="H410" s="53"/>
      <c r="I410" s="53" t="str">
        <f t="shared" si="140"/>
        <v/>
      </c>
      <c r="J410" s="53" t="str">
        <f t="shared" si="141"/>
        <v/>
      </c>
      <c r="K410" s="53" t="str">
        <f t="shared" si="136"/>
        <v/>
      </c>
      <c r="L410" s="130" t="str">
        <f t="shared" si="142"/>
        <v/>
      </c>
      <c r="M410" s="62" t="str">
        <f t="shared" si="143"/>
        <v/>
      </c>
      <c r="N410" s="133" t="str">
        <f>IF(AND(L410="",[1]Übersicht!L410=""),"",IF(AND(L410="NEGATIV EV",[1]Übersicht!L410="NO BET"),"NO BET",IF(AND(NOT(L410="NEGATIV EV"),L410&gt;[1]Übersicht!L410),"BET365",IF([1]Übersicht!L410="NO BET","BET365","PINNACLE"))))</f>
        <v>BET365</v>
      </c>
      <c r="O410" s="138" t="e">
        <f>IF(OR(N410="",N410="NO BET"),"",IF(N410="PINNACLE",IF([1]Übersicht!K410="T1",[1]Übersicht!G410*[1]Übersicht!M410-[1]Übersicht!M410,[1]Übersicht!H410*[1]Übersicht!M410-[1]Übersicht!M410),IF(K410="T1",G410*M410*0.95-M410,H410*M410*0.95-M410)))</f>
        <v>#VALUE!</v>
      </c>
      <c r="P410" s="136"/>
      <c r="Q410" s="69"/>
      <c r="R410" s="52">
        <f>IF(OR(P410="",N410="NO BET"),0,IF(K410=P410,O410,IF(N410="PINNACLE",-[1]Übersicht!M410,-M410)))</f>
        <v>0</v>
      </c>
      <c r="S410" s="69"/>
      <c r="T410" s="248" t="e">
        <f>IF(AND(NOT(N403=0)),T403/N403,0)</f>
        <v>#VALUE!</v>
      </c>
      <c r="U410" s="9"/>
    </row>
    <row r="411" spans="1:21" ht="15.75" customHeight="1" thickBot="1" x14ac:dyDescent="0.25">
      <c r="A411" s="257"/>
      <c r="B411" s="246"/>
      <c r="C411" s="167"/>
      <c r="D411" s="7"/>
      <c r="E411" s="7"/>
      <c r="F411" s="7" t="str">
        <f t="shared" si="139"/>
        <v/>
      </c>
      <c r="G411" s="7"/>
      <c r="H411" s="7"/>
      <c r="I411" s="7" t="str">
        <f t="shared" si="140"/>
        <v/>
      </c>
      <c r="J411" s="7" t="str">
        <f t="shared" si="141"/>
        <v/>
      </c>
      <c r="K411" s="7" t="str">
        <f t="shared" si="136"/>
        <v/>
      </c>
      <c r="L411" s="131" t="str">
        <f t="shared" si="142"/>
        <v/>
      </c>
      <c r="M411" s="60" t="str">
        <f t="shared" si="143"/>
        <v/>
      </c>
      <c r="N411" s="133" t="str">
        <f>IF(AND(L411="",[1]Übersicht!L411=""),"",IF(AND(L411="NEGATIV EV",[1]Übersicht!L411="NO BET"),"NO BET",IF(AND(NOT(L411="NEGATIV EV"),L411&gt;[1]Übersicht!L411),"BET365",IF([1]Übersicht!L411="NO BET","BET365","PINNACLE"))))</f>
        <v>BET365</v>
      </c>
      <c r="O411" s="139" t="e">
        <f>IF(OR(N411="",N411="NO BET"),"",IF(N411="PINNACLE",IF([1]Übersicht!K411="T1",[1]Übersicht!G411*[1]Übersicht!M411-[1]Übersicht!M411,[1]Übersicht!H411*[1]Übersicht!M411-[1]Übersicht!M411),IF(K411="T1",G411*M411*0.95-M411,H411*M411*0.95-M411)))</f>
        <v>#VALUE!</v>
      </c>
      <c r="P411" s="136"/>
      <c r="Q411" s="69"/>
      <c r="R411" s="52">
        <f>IF(OR(P411="",N411="NO BET"),0,IF(K411=P411,O411,IF(N411="PINNACLE",-[1]Übersicht!M411,-M411)))</f>
        <v>0</v>
      </c>
      <c r="S411" s="69"/>
      <c r="T411" s="249"/>
      <c r="U411" s="9"/>
    </row>
    <row r="412" spans="1:21" ht="15.75" customHeight="1" thickBot="1" x14ac:dyDescent="0.25">
      <c r="A412" s="258"/>
      <c r="B412" s="247"/>
      <c r="C412" s="168"/>
      <c r="D412" s="63"/>
      <c r="E412" s="63"/>
      <c r="F412" s="63" t="str">
        <f t="shared" si="139"/>
        <v/>
      </c>
      <c r="G412" s="63"/>
      <c r="H412" s="63"/>
      <c r="I412" s="63" t="str">
        <f t="shared" si="140"/>
        <v/>
      </c>
      <c r="J412" s="63" t="str">
        <f t="shared" si="141"/>
        <v/>
      </c>
      <c r="K412" s="63" t="str">
        <f t="shared" si="136"/>
        <v/>
      </c>
      <c r="L412" s="132" t="str">
        <f t="shared" si="142"/>
        <v/>
      </c>
      <c r="M412" s="65" t="str">
        <f t="shared" si="143"/>
        <v/>
      </c>
      <c r="N412" s="133" t="str">
        <f>IF(AND(L412="",[1]Übersicht!L412=""),"",IF(AND(L412="NEGATIV EV",[1]Übersicht!L412="NO BET"),"NO BET",IF(AND(NOT(L412="NEGATIV EV"),L412&gt;[1]Übersicht!L412),"BET365",IF([1]Übersicht!L412="NO BET","BET365","PINNACLE"))))</f>
        <v>BET365</v>
      </c>
      <c r="O412" s="138" t="e">
        <f>IF(OR(N412="",N412="NO BET"),"",IF(N412="PINNACLE",IF([1]Übersicht!K412="T1",[1]Übersicht!G412*[1]Übersicht!M412-[1]Übersicht!M412,[1]Übersicht!H412*[1]Übersicht!M412-[1]Übersicht!M412),IF(K412="T1",G412*M412*0.95-M412,H412*M412*0.95-M412)))</f>
        <v>#VALUE!</v>
      </c>
      <c r="P412" s="66"/>
      <c r="Q412" s="9"/>
      <c r="R412" s="135">
        <f>IF(OR(P412="",N412="NO BET"),0,IF(K412=P412,O412,IF(N412="PINNACLE",-[1]Übersicht!M412,-M412)))</f>
        <v>0</v>
      </c>
      <c r="S412" s="9"/>
      <c r="T412" s="250"/>
      <c r="U412" s="9"/>
    </row>
    <row r="413" spans="1:21" x14ac:dyDescent="0.2">
      <c r="A413" s="9"/>
      <c r="B413" s="9"/>
      <c r="C413" s="11"/>
      <c r="D413" s="9"/>
      <c r="E413" s="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10"/>
      <c r="S413" s="9"/>
      <c r="T413" s="11"/>
      <c r="U413" s="9"/>
    </row>
    <row r="414" spans="1:21" x14ac:dyDescent="0.2">
      <c r="A414" s="9"/>
      <c r="B414" s="9"/>
      <c r="C414" s="11"/>
      <c r="D414" s="9"/>
      <c r="E414" s="9"/>
      <c r="F414" s="9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10"/>
      <c r="S414" s="9"/>
      <c r="T414" s="11"/>
      <c r="U414" s="9"/>
    </row>
    <row r="415" spans="1:21" ht="15.75" thickBot="1" x14ac:dyDescent="0.25">
      <c r="A415" s="9"/>
      <c r="B415" s="9"/>
      <c r="C415" s="11"/>
      <c r="D415" s="9"/>
      <c r="E415" s="9"/>
      <c r="F415" s="9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10"/>
      <c r="S415" s="9"/>
      <c r="T415" s="11"/>
      <c r="U415" s="9"/>
    </row>
    <row r="416" spans="1:21" ht="19.5" customHeight="1" thickBot="1" x14ac:dyDescent="0.25">
      <c r="A416" s="79" t="s">
        <v>6</v>
      </c>
      <c r="B416" s="245" t="s">
        <v>27</v>
      </c>
      <c r="C416" s="160"/>
      <c r="D416" s="43" t="s">
        <v>9</v>
      </c>
      <c r="E416" s="43" t="s">
        <v>10</v>
      </c>
      <c r="F416" s="43" t="s">
        <v>11</v>
      </c>
      <c r="G416" s="43" t="s">
        <v>12</v>
      </c>
      <c r="H416" s="43" t="s">
        <v>13</v>
      </c>
      <c r="I416" s="43" t="s">
        <v>14</v>
      </c>
      <c r="J416" s="43" t="s">
        <v>15</v>
      </c>
      <c r="K416" s="43" t="s">
        <v>33</v>
      </c>
      <c r="L416" s="43" t="s">
        <v>16</v>
      </c>
      <c r="M416" s="43" t="s">
        <v>38</v>
      </c>
      <c r="N416" s="128" t="s">
        <v>87</v>
      </c>
      <c r="O416" s="128" t="s">
        <v>89</v>
      </c>
      <c r="P416" s="137" t="s">
        <v>18</v>
      </c>
      <c r="Q416" s="69"/>
      <c r="R416" s="134" t="s">
        <v>34</v>
      </c>
      <c r="S416" s="69"/>
      <c r="T416" s="47" t="s">
        <v>29</v>
      </c>
      <c r="U416" s="9"/>
    </row>
    <row r="417" spans="1:21" ht="15.75" customHeight="1" thickBot="1" x14ac:dyDescent="0.25">
      <c r="A417" s="80"/>
      <c r="B417" s="246"/>
      <c r="C417" s="165"/>
      <c r="D417" s="48"/>
      <c r="E417" s="48"/>
      <c r="F417" s="48" t="str">
        <f>IF(AND(C417=""),"",1-C417)</f>
        <v/>
      </c>
      <c r="G417" s="48"/>
      <c r="H417" s="48"/>
      <c r="I417" s="48" t="str">
        <f>IF(AND(C417=""),"",G417*C417)</f>
        <v/>
      </c>
      <c r="J417" s="48" t="str">
        <f>IF(AND(C417=""),"",H417*F417)</f>
        <v/>
      </c>
      <c r="K417" s="48" t="str">
        <f t="shared" ref="K417:K426" si="144">IF(AND(I417=""),"",IF(AND(I417&gt;J417),"T1","T2"))</f>
        <v/>
      </c>
      <c r="L417" s="129" t="str">
        <f t="shared" ref="L417:L421" si="145">IF(AND(K417=""),"",IF(AND((J417*0.95-1)&lt;0,(I417*0.95-1)&lt;0),"NEGATIV EV", IF(AND(K417="T1"),I417*0.95 - 1,J417*0.95 - 1)))</f>
        <v/>
      </c>
      <c r="M417" s="50" t="str">
        <f t="shared" ref="M417:M421" si="146">IF(L417="","",IF(L417&lt;0.5,K$2*M$2,IF(L417&lt;0.75,K$2*M$3,IF(L417&lt;1,K$2*M$4,IF(L417&lt;1.25,K$2*M$5,IF(L417&lt;1.5,K$2*M$6,IF(L417&lt;2,K$2*M$7,IF(L417&lt;2.5,K$2*M$8,IF(L417="NEGATIV EV","NEGATIV EV",K$2*M$9)))))))))</f>
        <v/>
      </c>
      <c r="N417" s="133" t="str">
        <f>IF(AND(L417="",[1]Übersicht!L417=""),"",IF(AND(L417="NEGATIV EV",[1]Übersicht!L417="NO BET"),"NO BET",IF(AND(NOT(L417="NEGATIV EV"),L417&gt;[1]Übersicht!L417),"BET365",IF([1]Übersicht!L417="NO BET","BET365","PINNACLE"))))</f>
        <v>BET365</v>
      </c>
      <c r="O417" s="140" t="e">
        <f>IF(OR(N417="",N417="NO BET"),"",IF(N417="PINNACLE",IF([1]Übersicht!K417="T1",[1]Übersicht!G417*[1]Übersicht!M417-[1]Übersicht!M417,[1]Übersicht!H417*[1]Übersicht!M417-[1]Übersicht!M417),IF(K417="T1",G417*M417*0.95-M417,H417*M417*0.95-M417)))</f>
        <v>#VALUE!</v>
      </c>
      <c r="P417" s="136"/>
      <c r="Q417" s="70"/>
      <c r="R417" s="52">
        <f>IF(OR(P417="",N417="NO BET"),0,IF(K417=P417,O417,IF(N417="PINNACLE",-[1]Übersicht!M417,-M417)))</f>
        <v>0</v>
      </c>
      <c r="S417" s="69"/>
      <c r="T417" s="241">
        <f>SUM(R417:R426)</f>
        <v>0</v>
      </c>
      <c r="U417" s="9"/>
    </row>
    <row r="418" spans="1:21" ht="15.75" customHeight="1" thickBot="1" x14ac:dyDescent="0.25">
      <c r="A418" s="257" t="s">
        <v>6</v>
      </c>
      <c r="B418" s="246"/>
      <c r="C418" s="166"/>
      <c r="D418" s="53"/>
      <c r="E418" s="53"/>
      <c r="F418" s="53" t="str">
        <f t="shared" ref="F418:F426" si="147">IF(AND(C418=""),"",1-C418)</f>
        <v/>
      </c>
      <c r="G418" s="53"/>
      <c r="H418" s="53"/>
      <c r="I418" s="53" t="str">
        <f t="shared" ref="I418:I426" si="148">IF(AND(C418=""),"",G418*C418)</f>
        <v/>
      </c>
      <c r="J418" s="53" t="str">
        <f t="shared" ref="J418:J426" si="149">IF(AND(C418=""),"",H418*F418)</f>
        <v/>
      </c>
      <c r="K418" s="53" t="str">
        <f t="shared" si="144"/>
        <v/>
      </c>
      <c r="L418" s="130" t="str">
        <f t="shared" si="145"/>
        <v/>
      </c>
      <c r="M418" s="55" t="str">
        <f t="shared" si="146"/>
        <v/>
      </c>
      <c r="N418" s="133" t="str">
        <f>IF(AND(L418="",[1]Übersicht!L418=""),"",IF(AND(L418="NEGATIV EV",[1]Übersicht!L418="NO BET"),"NO BET",IF(AND(NOT(L418="NEGATIV EV"),L418&gt;[1]Übersicht!L418),"BET365",IF([1]Übersicht!L418="NO BET","BET365","PINNACLE"))))</f>
        <v>BET365</v>
      </c>
      <c r="O418" s="138" t="e">
        <f>IF(OR(N418="",N418="NO BET"),"",IF(N418="PINNACLE",IF([1]Übersicht!K418="T1",[1]Übersicht!G418*[1]Übersicht!M418-[1]Übersicht!M418,[1]Übersicht!H418*[1]Übersicht!M418-[1]Übersicht!M418),IF(K418="T1",G418*M418*0.95-M418,H418*M418*0.95-M418)))</f>
        <v>#VALUE!</v>
      </c>
      <c r="P418" s="136"/>
      <c r="Q418" s="69"/>
      <c r="R418" s="52">
        <f>IF(OR(P418="",N418="NO BET"),0,IF(K418=P418,O418,IF(N418="PINNACLE",-[1]Übersicht!M418,-M418)))</f>
        <v>0</v>
      </c>
      <c r="S418" s="69"/>
      <c r="T418" s="241"/>
      <c r="U418" s="9"/>
    </row>
    <row r="419" spans="1:21" ht="15.75" customHeight="1" thickBot="1" x14ac:dyDescent="0.25">
      <c r="A419" s="257"/>
      <c r="B419" s="246"/>
      <c r="C419" s="167"/>
      <c r="D419" s="7"/>
      <c r="E419" s="7"/>
      <c r="F419" s="7" t="str">
        <f t="shared" si="147"/>
        <v/>
      </c>
      <c r="G419" s="7"/>
      <c r="H419" s="7"/>
      <c r="I419" s="7" t="str">
        <f t="shared" si="148"/>
        <v/>
      </c>
      <c r="J419" s="7" t="str">
        <f t="shared" si="149"/>
        <v/>
      </c>
      <c r="K419" s="7" t="str">
        <f t="shared" si="144"/>
        <v/>
      </c>
      <c r="L419" s="131" t="str">
        <f t="shared" si="145"/>
        <v/>
      </c>
      <c r="M419" s="59" t="str">
        <f t="shared" si="146"/>
        <v/>
      </c>
      <c r="N419" s="133" t="str">
        <f>IF(AND(L419="",[1]Übersicht!L419=""),"",IF(AND(L419="NEGATIV EV",[1]Übersicht!L419="NO BET"),"NO BET",IF(AND(NOT(L419="NEGATIV EV"),L419&gt;[1]Übersicht!L419),"BET365",IF([1]Übersicht!L419="NO BET","BET365","PINNACLE"))))</f>
        <v>BET365</v>
      </c>
      <c r="O419" s="140" t="e">
        <f>IF(OR(N419="",N419="NO BET"),"",IF(N419="PINNACLE",IF([1]Übersicht!K419="T1",[1]Übersicht!G419*[1]Übersicht!M419-[1]Übersicht!M419,[1]Übersicht!H419*[1]Übersicht!M419-[1]Übersicht!M419),IF(K419="T1",G419*M419*0.95-M419,H419*M419*0.95-M419)))</f>
        <v>#VALUE!</v>
      </c>
      <c r="P419" s="136"/>
      <c r="Q419" s="69"/>
      <c r="R419" s="52">
        <f>IF(OR(P419="",N419="NO BET"),0,IF(K419=P419,O419,IF(N419="PINNACLE",-[1]Übersicht!M419,-M419)))</f>
        <v>0</v>
      </c>
      <c r="S419" s="69"/>
      <c r="T419" s="241"/>
      <c r="U419" s="9"/>
    </row>
    <row r="420" spans="1:21" ht="15.75" customHeight="1" thickBot="1" x14ac:dyDescent="0.25">
      <c r="A420" s="257"/>
      <c r="B420" s="246"/>
      <c r="C420" s="166"/>
      <c r="D420" s="53"/>
      <c r="E420" s="53"/>
      <c r="F420" s="53" t="str">
        <f t="shared" si="147"/>
        <v/>
      </c>
      <c r="G420" s="53"/>
      <c r="H420" s="53"/>
      <c r="I420" s="53" t="str">
        <f t="shared" si="148"/>
        <v/>
      </c>
      <c r="J420" s="53" t="str">
        <f t="shared" si="149"/>
        <v/>
      </c>
      <c r="K420" s="53" t="str">
        <f t="shared" si="144"/>
        <v/>
      </c>
      <c r="L420" s="130" t="str">
        <f t="shared" si="145"/>
        <v/>
      </c>
      <c r="M420" s="55" t="str">
        <f t="shared" si="146"/>
        <v/>
      </c>
      <c r="N420" s="133" t="str">
        <f>IF(AND(L420="",[1]Übersicht!L420=""),"",IF(AND(L420="NEGATIV EV",[1]Übersicht!L420="NO BET"),"NO BET",IF(AND(NOT(L420="NEGATIV EV"),L420&gt;[1]Übersicht!L420),"BET365",IF([1]Übersicht!L420="NO BET","BET365","PINNACLE"))))</f>
        <v>BET365</v>
      </c>
      <c r="O420" s="138" t="e">
        <f>IF(OR(N420="",N420="NO BET"),"",IF(N420="PINNACLE",IF([1]Übersicht!K420="T1",[1]Übersicht!G420*[1]Übersicht!M420-[1]Übersicht!M420,[1]Übersicht!H420*[1]Übersicht!M420-[1]Übersicht!M420),IF(K420="T1",G420*M420*0.95-M420,H420*M420*0.95-M420)))</f>
        <v>#VALUE!</v>
      </c>
      <c r="P420" s="136"/>
      <c r="Q420" s="69"/>
      <c r="R420" s="52">
        <f>IF(OR(P420="",N420="NO BET"),0,IF(K420=P420,O420,IF(N420="PINNACLE",-[1]Übersicht!M420,-M420)))</f>
        <v>0</v>
      </c>
      <c r="S420" s="69"/>
      <c r="T420" s="241"/>
      <c r="U420" s="9"/>
    </row>
    <row r="421" spans="1:21" ht="15.75" customHeight="1" thickBot="1" x14ac:dyDescent="0.25">
      <c r="A421" s="257"/>
      <c r="B421" s="246"/>
      <c r="C421" s="167"/>
      <c r="D421" s="7"/>
      <c r="E421" s="7"/>
      <c r="F421" s="7" t="str">
        <f t="shared" si="147"/>
        <v/>
      </c>
      <c r="G421" s="7"/>
      <c r="H421" s="7"/>
      <c r="I421" s="7" t="str">
        <f t="shared" si="148"/>
        <v/>
      </c>
      <c r="J421" s="7" t="str">
        <f t="shared" si="149"/>
        <v/>
      </c>
      <c r="K421" s="7" t="str">
        <f t="shared" si="144"/>
        <v/>
      </c>
      <c r="L421" s="131" t="str">
        <f t="shared" si="145"/>
        <v/>
      </c>
      <c r="M421" s="60" t="str">
        <f t="shared" si="146"/>
        <v/>
      </c>
      <c r="N421" s="133" t="str">
        <f>IF(AND(L421="",[1]Übersicht!L421=""),"",IF(AND(L421="NEGATIV EV",[1]Übersicht!L421="NO BET"),"NO BET",IF(AND(NOT(L421="NEGATIV EV"),L421&gt;[1]Übersicht!L421),"BET365",IF([1]Übersicht!L421="NO BET","BET365","PINNACLE"))))</f>
        <v>BET365</v>
      </c>
      <c r="O421" s="140" t="e">
        <f>IF(OR(N421="",N421="NO BET"),"",IF(N421="PINNACLE",IF([1]Übersicht!K421="T1",[1]Übersicht!G421*[1]Übersicht!M421-[1]Übersicht!M421,[1]Übersicht!H421*[1]Übersicht!M421-[1]Übersicht!M421),IF(K421="T1",G421*M421*0.95-M421,H421*M421*0.95-M421)))</f>
        <v>#VALUE!</v>
      </c>
      <c r="P421" s="136"/>
      <c r="Q421" s="69"/>
      <c r="R421" s="52">
        <f>IF(OR(P421="",N421="NO BET"),0,IF(K421=P421,O421,IF(N421="PINNACLE",-[1]Übersicht!M421,-M421)))</f>
        <v>0</v>
      </c>
      <c r="S421" s="69"/>
      <c r="T421" s="241"/>
      <c r="U421" s="9"/>
    </row>
    <row r="422" spans="1:21" ht="15.75" customHeight="1" thickBot="1" x14ac:dyDescent="0.25">
      <c r="A422" s="257"/>
      <c r="B422" s="246"/>
      <c r="C422" s="166"/>
      <c r="D422" s="53"/>
      <c r="E422" s="53"/>
      <c r="F422" s="53" t="str">
        <f t="shared" si="147"/>
        <v/>
      </c>
      <c r="G422" s="53"/>
      <c r="H422" s="53"/>
      <c r="I422" s="53" t="str">
        <f t="shared" si="148"/>
        <v/>
      </c>
      <c r="J422" s="53" t="str">
        <f t="shared" si="149"/>
        <v/>
      </c>
      <c r="K422" s="53" t="str">
        <f t="shared" si="144"/>
        <v/>
      </c>
      <c r="L422" s="130" t="str">
        <f>IF(AND(K422=""),"",IF(AND((J422*0.95-1)&lt;0,(I422*0.95-1)&lt;0),"NEGATIV EV", IF(AND(K422="T1"),I422*0.95 - 1,J422*0.95 - 1)))</f>
        <v/>
      </c>
      <c r="M422" s="55" t="str">
        <f>IF(L422="","",IF(L422&lt;0.5,K$2*M$2,IF(L422&lt;0.75,K$2*M$3,IF(L422&lt;1,K$2*M$4,IF(L422&lt;1.25,K$2*M$5,IF(L422&lt;1.5,K$2*M$6,IF(L422&lt;2,K$2*M$7,IF(L422&lt;2.5,K$2*M$8,IF(L422="NEGATIV EV","NEGATIV EV",K$2*M$9)))))))))</f>
        <v/>
      </c>
      <c r="N422" s="133" t="str">
        <f>IF(AND(L422="",[1]Übersicht!L422=""),"",IF(AND(L422="NEGATIV EV",[1]Übersicht!L422="NO BET"),"NO BET",IF(AND(NOT(L422="NEGATIV EV"),L422&gt;[1]Übersicht!L422),"BET365",IF([1]Übersicht!L422="NO BET","BET365","PINNACLE"))))</f>
        <v>BET365</v>
      </c>
      <c r="O422" s="138" t="e">
        <f>IF(OR(N422="",N422="NO BET"),"",IF(N422="PINNACLE",IF([1]Übersicht!K422="T1",[1]Übersicht!G422*[1]Übersicht!M422-[1]Übersicht!M422,[1]Übersicht!H422*[1]Übersicht!M422-[1]Übersicht!M422),IF(K422="T1",G422*M422*0.95-M422,H422*M422*0.95-M422)))</f>
        <v>#VALUE!</v>
      </c>
      <c r="P422" s="136"/>
      <c r="Q422" s="69"/>
      <c r="R422" s="52">
        <f>IF(OR(P422="",N422="NO BET"),0,IF(K422=P422,O422,IF(N422="PINNACLE",-[1]Übersicht!M422,-M422)))</f>
        <v>0</v>
      </c>
      <c r="S422" s="69"/>
      <c r="T422" s="241"/>
      <c r="U422" s="9"/>
    </row>
    <row r="423" spans="1:21" ht="16.5" thickBot="1" x14ac:dyDescent="0.25">
      <c r="A423" s="257"/>
      <c r="B423" s="246"/>
      <c r="C423" s="167"/>
      <c r="D423" s="7"/>
      <c r="E423" s="7"/>
      <c r="F423" s="7" t="str">
        <f t="shared" si="147"/>
        <v/>
      </c>
      <c r="G423" s="7"/>
      <c r="H423" s="7"/>
      <c r="I423" s="7" t="str">
        <f t="shared" si="148"/>
        <v/>
      </c>
      <c r="J423" s="7" t="str">
        <f t="shared" si="149"/>
        <v/>
      </c>
      <c r="K423" s="7" t="str">
        <f t="shared" si="144"/>
        <v/>
      </c>
      <c r="L423" s="131" t="str">
        <f t="shared" ref="L423:L426" si="150">IF(AND(K423=""),"",IF(AND((J423*0.95-1)&lt;0,(I423*0.95-1)&lt;0),"NEGATIV EV", IF(AND(K423="T1"),I423*0.95 - 1,J423*0.95 - 1)))</f>
        <v/>
      </c>
      <c r="M423" s="59" t="str">
        <f t="shared" ref="M423:M426" si="151">IF(L423="","",IF(L423&lt;0.5,K$2*M$2,IF(L423&lt;0.75,K$2*M$3,IF(L423&lt;1,K$2*M$4,IF(L423&lt;1.25,K$2*M$5,IF(L423&lt;1.5,K$2*M$6,IF(L423&lt;2,K$2*M$7,IF(L423&lt;2.5,K$2*M$8,IF(L423="NEGATIV EV","NEGATIV EV",K$2*M$9)))))))))</f>
        <v/>
      </c>
      <c r="N423" s="133" t="str">
        <f>IF(AND(L423="",[1]Übersicht!L423=""),"",IF(AND(L423="NEGATIV EV",[1]Übersicht!L423="NO BET"),"NO BET",IF(AND(NOT(L423="NEGATIV EV"),L423&gt;[1]Übersicht!L423),"BET365",IF([1]Übersicht!L423="NO BET","BET365","PINNACLE"))))</f>
        <v>BET365</v>
      </c>
      <c r="O423" s="140" t="e">
        <f>IF(OR(N423="",N423="NO BET"),"",IF(N423="PINNACLE",IF([1]Übersicht!K423="T1",[1]Übersicht!G423*[1]Übersicht!M423-[1]Übersicht!M423,[1]Übersicht!H423*[1]Übersicht!M423-[1]Übersicht!M423),IF(K423="T1",G423*M423*0.95-M423,H423*M423*0.95-M423)))</f>
        <v>#VALUE!</v>
      </c>
      <c r="P423" s="56"/>
      <c r="Q423" s="69"/>
      <c r="R423" s="52">
        <f>IF(OR(P423="",N423="NO BET"),0,IF(K423=P423,O423,IF(N423="PINNACLE",-[1]Übersicht!M423,-M423)))</f>
        <v>0</v>
      </c>
      <c r="S423" s="69"/>
      <c r="T423" s="61" t="s">
        <v>31</v>
      </c>
      <c r="U423" s="9"/>
    </row>
    <row r="424" spans="1:21" ht="15.75" customHeight="1" thickBot="1" x14ac:dyDescent="0.25">
      <c r="A424" s="257"/>
      <c r="B424" s="246"/>
      <c r="C424" s="166"/>
      <c r="D424" s="53"/>
      <c r="E424" s="53"/>
      <c r="F424" s="53" t="str">
        <f t="shared" si="147"/>
        <v/>
      </c>
      <c r="G424" s="53"/>
      <c r="H424" s="53"/>
      <c r="I424" s="53" t="str">
        <f t="shared" si="148"/>
        <v/>
      </c>
      <c r="J424" s="53" t="str">
        <f t="shared" si="149"/>
        <v/>
      </c>
      <c r="K424" s="53" t="str">
        <f t="shared" si="144"/>
        <v/>
      </c>
      <c r="L424" s="130" t="str">
        <f t="shared" si="150"/>
        <v/>
      </c>
      <c r="M424" s="62" t="str">
        <f t="shared" si="151"/>
        <v/>
      </c>
      <c r="N424" s="133" t="str">
        <f>IF(AND(L424="",[1]Übersicht!L424=""),"",IF(AND(L424="NEGATIV EV",[1]Übersicht!L424="NO BET"),"NO BET",IF(AND(NOT(L424="NEGATIV EV"),L424&gt;[1]Übersicht!L424),"BET365",IF([1]Übersicht!L424="NO BET","BET365","PINNACLE"))))</f>
        <v>BET365</v>
      </c>
      <c r="O424" s="138" t="e">
        <f>IF(OR(N424="",N424="NO BET"),"",IF(N424="PINNACLE",IF([1]Übersicht!K424="T1",[1]Übersicht!G424*[1]Übersicht!M424-[1]Übersicht!M424,[1]Übersicht!H424*[1]Übersicht!M424-[1]Übersicht!M424),IF(K424="T1",G424*M424*0.95-M424,H424*M424*0.95-M424)))</f>
        <v>#VALUE!</v>
      </c>
      <c r="P424" s="136"/>
      <c r="Q424" s="69"/>
      <c r="R424" s="52">
        <f>IF(OR(P424="",N424="NO BET"),0,IF(K424=P424,O424,IF(N424="PINNACLE",-[1]Übersicht!M424,-M424)))</f>
        <v>0</v>
      </c>
      <c r="S424" s="69"/>
      <c r="T424" s="248" t="e">
        <f>IF(AND(NOT(N417=0)),T417/N417,0)</f>
        <v>#VALUE!</v>
      </c>
      <c r="U424" s="9"/>
    </row>
    <row r="425" spans="1:21" ht="15.75" customHeight="1" thickBot="1" x14ac:dyDescent="0.25">
      <c r="A425" s="257"/>
      <c r="B425" s="246"/>
      <c r="C425" s="167"/>
      <c r="D425" s="7"/>
      <c r="E425" s="7"/>
      <c r="F425" s="7" t="str">
        <f t="shared" si="147"/>
        <v/>
      </c>
      <c r="G425" s="7"/>
      <c r="H425" s="7"/>
      <c r="I425" s="7" t="str">
        <f t="shared" si="148"/>
        <v/>
      </c>
      <c r="J425" s="7" t="str">
        <f t="shared" si="149"/>
        <v/>
      </c>
      <c r="K425" s="7" t="str">
        <f t="shared" si="144"/>
        <v/>
      </c>
      <c r="L425" s="131" t="str">
        <f t="shared" si="150"/>
        <v/>
      </c>
      <c r="M425" s="60" t="str">
        <f t="shared" si="151"/>
        <v/>
      </c>
      <c r="N425" s="133" t="str">
        <f>IF(AND(L425="",[1]Übersicht!L425=""),"",IF(AND(L425="NEGATIV EV",[1]Übersicht!L425="NO BET"),"NO BET",IF(AND(NOT(L425="NEGATIV EV"),L425&gt;[1]Übersicht!L425),"BET365",IF([1]Übersicht!L425="NO BET","BET365","PINNACLE"))))</f>
        <v>BET365</v>
      </c>
      <c r="O425" s="139" t="e">
        <f>IF(OR(N425="",N425="NO BET"),"",IF(N425="PINNACLE",IF([1]Übersicht!K425="T1",[1]Übersicht!G425*[1]Übersicht!M425-[1]Übersicht!M425,[1]Übersicht!H425*[1]Übersicht!M425-[1]Übersicht!M425),IF(K425="T1",G425*M425*0.95-M425,H425*M425*0.95-M425)))</f>
        <v>#VALUE!</v>
      </c>
      <c r="P425" s="136"/>
      <c r="Q425" s="69"/>
      <c r="R425" s="52">
        <f>IF(OR(P425="",N425="NO BET"),0,IF(K425=P425,O425,IF(N425="PINNACLE",-[1]Übersicht!M425,-M425)))</f>
        <v>0</v>
      </c>
      <c r="S425" s="69"/>
      <c r="T425" s="249"/>
      <c r="U425" s="9"/>
    </row>
    <row r="426" spans="1:21" ht="15.75" customHeight="1" thickBot="1" x14ac:dyDescent="0.25">
      <c r="A426" s="258"/>
      <c r="B426" s="247"/>
      <c r="C426" s="168"/>
      <c r="D426" s="63"/>
      <c r="E426" s="63"/>
      <c r="F426" s="63" t="str">
        <f t="shared" si="147"/>
        <v/>
      </c>
      <c r="G426" s="63"/>
      <c r="H426" s="63"/>
      <c r="I426" s="63" t="str">
        <f t="shared" si="148"/>
        <v/>
      </c>
      <c r="J426" s="63" t="str">
        <f t="shared" si="149"/>
        <v/>
      </c>
      <c r="K426" s="63" t="str">
        <f t="shared" si="144"/>
        <v/>
      </c>
      <c r="L426" s="132" t="str">
        <f t="shared" si="150"/>
        <v/>
      </c>
      <c r="M426" s="65" t="str">
        <f t="shared" si="151"/>
        <v/>
      </c>
      <c r="N426" s="133" t="str">
        <f>IF(AND(L426="",[1]Übersicht!L426=""),"",IF(AND(L426="NEGATIV EV",[1]Übersicht!L426="NO BET"),"NO BET",IF(AND(NOT(L426="NEGATIV EV"),L426&gt;[1]Übersicht!L426),"BET365",IF([1]Übersicht!L426="NO BET","BET365","PINNACLE"))))</f>
        <v>BET365</v>
      </c>
      <c r="O426" s="138" t="e">
        <f>IF(OR(N426="",N426="NO BET"),"",IF(N426="PINNACLE",IF([1]Übersicht!K426="T1",[1]Übersicht!G426*[1]Übersicht!M426-[1]Übersicht!M426,[1]Übersicht!H426*[1]Übersicht!M426-[1]Übersicht!M426),IF(K426="T1",G426*M426*0.95-M426,H426*M426*0.95-M426)))</f>
        <v>#VALUE!</v>
      </c>
      <c r="P426" s="66"/>
      <c r="Q426" s="9"/>
      <c r="R426" s="135">
        <f>IF(OR(P426="",N426="NO BET"),0,IF(K426=P426,O426,IF(N426="PINNACLE",-[1]Übersicht!M426,-M426)))</f>
        <v>0</v>
      </c>
      <c r="S426" s="9"/>
      <c r="T426" s="250"/>
      <c r="U426" s="9"/>
    </row>
    <row r="427" spans="1:21" x14ac:dyDescent="0.2">
      <c r="A427" s="9"/>
      <c r="B427" s="9"/>
      <c r="C427" s="11"/>
      <c r="D427" s="9"/>
      <c r="E427" s="9"/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10"/>
      <c r="S427" s="9"/>
      <c r="T427" s="11"/>
      <c r="U427" s="9"/>
    </row>
    <row r="428" spans="1:21" x14ac:dyDescent="0.2">
      <c r="A428" s="9"/>
      <c r="B428" s="9"/>
      <c r="C428" s="11"/>
      <c r="D428" s="9"/>
      <c r="E428" s="9"/>
      <c r="F428" s="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10"/>
      <c r="S428" s="9"/>
      <c r="T428" s="11"/>
      <c r="U428" s="9"/>
    </row>
    <row r="429" spans="1:21" ht="15.75" thickBot="1" x14ac:dyDescent="0.25">
      <c r="A429" s="9"/>
      <c r="B429" s="9"/>
      <c r="C429" s="11"/>
      <c r="D429" s="9"/>
      <c r="E429" s="9"/>
      <c r="F429" s="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10"/>
      <c r="S429" s="9"/>
      <c r="T429" s="11"/>
      <c r="U429" s="9"/>
    </row>
    <row r="430" spans="1:21" ht="19.5" customHeight="1" thickBot="1" x14ac:dyDescent="0.25">
      <c r="A430" s="79" t="s">
        <v>6</v>
      </c>
      <c r="B430" s="245" t="s">
        <v>28</v>
      </c>
      <c r="C430" s="160"/>
      <c r="D430" s="43" t="s">
        <v>9</v>
      </c>
      <c r="E430" s="43" t="s">
        <v>10</v>
      </c>
      <c r="F430" s="43" t="s">
        <v>11</v>
      </c>
      <c r="G430" s="43" t="s">
        <v>12</v>
      </c>
      <c r="H430" s="43" t="s">
        <v>13</v>
      </c>
      <c r="I430" s="43" t="s">
        <v>14</v>
      </c>
      <c r="J430" s="43" t="s">
        <v>15</v>
      </c>
      <c r="K430" s="43" t="s">
        <v>33</v>
      </c>
      <c r="L430" s="43" t="s">
        <v>16</v>
      </c>
      <c r="M430" s="43" t="s">
        <v>38</v>
      </c>
      <c r="N430" s="128" t="s">
        <v>87</v>
      </c>
      <c r="O430" s="128" t="s">
        <v>89</v>
      </c>
      <c r="P430" s="137" t="s">
        <v>18</v>
      </c>
      <c r="Q430" s="69"/>
      <c r="R430" s="134" t="s">
        <v>34</v>
      </c>
      <c r="S430" s="69"/>
      <c r="T430" s="47" t="s">
        <v>29</v>
      </c>
      <c r="U430" s="9"/>
    </row>
    <row r="431" spans="1:21" ht="15.75" customHeight="1" thickBot="1" x14ac:dyDescent="0.25">
      <c r="A431" s="80"/>
      <c r="B431" s="246"/>
      <c r="C431" s="165"/>
      <c r="D431" s="48"/>
      <c r="E431" s="48"/>
      <c r="F431" s="48" t="str">
        <f>IF(AND(C431=""),"",1-C431)</f>
        <v/>
      </c>
      <c r="G431" s="48"/>
      <c r="H431" s="48"/>
      <c r="I431" s="48" t="str">
        <f>IF(AND(C431=""),"",G431*C431)</f>
        <v/>
      </c>
      <c r="J431" s="48" t="str">
        <f>IF(AND(C431=""),"",H431*F431)</f>
        <v/>
      </c>
      <c r="K431" s="48" t="str">
        <f t="shared" ref="K431:K440" si="152">IF(AND(I431=""),"",IF(AND(I431&gt;J431),"T1","T2"))</f>
        <v/>
      </c>
      <c r="L431" s="129" t="str">
        <f t="shared" ref="L431:L435" si="153">IF(AND(K431=""),"",IF(AND((J431*0.95-1)&lt;0,(I431*0.95-1)&lt;0),"NEGATIV EV", IF(AND(K431="T1"),I431*0.95 - 1,J431*0.95 - 1)))</f>
        <v/>
      </c>
      <c r="M431" s="50" t="str">
        <f t="shared" ref="M431:M435" si="154">IF(L431="","",IF(L431&lt;0.5,K$2*M$2,IF(L431&lt;0.75,K$2*M$3,IF(L431&lt;1,K$2*M$4,IF(L431&lt;1.25,K$2*M$5,IF(L431&lt;1.5,K$2*M$6,IF(L431&lt;2,K$2*M$7,IF(L431&lt;2.5,K$2*M$8,IF(L431="NEGATIV EV","NEGATIV EV",K$2*M$9)))))))))</f>
        <v/>
      </c>
      <c r="N431" s="133" t="str">
        <f>IF(AND(L431="",[1]Übersicht!L431=""),"",IF(AND(L431="NEGATIV EV",[1]Übersicht!L431="NO BET"),"NO BET",IF(AND(NOT(L431="NEGATIV EV"),L431&gt;[1]Übersicht!L431),"BET365",IF([1]Übersicht!L431="NO BET","BET365","PINNACLE"))))</f>
        <v>BET365</v>
      </c>
      <c r="O431" s="140" t="e">
        <f>IF(OR(N431="",N431="NO BET"),"",IF(N431="PINNACLE",IF([1]Übersicht!K431="T1",[1]Übersicht!G431*[1]Übersicht!M431-[1]Übersicht!M431,[1]Übersicht!H431*[1]Übersicht!M431-[1]Übersicht!M431),IF(K431="T1",G431*M431*0.95-M431,H431*M431*0.95-M431)))</f>
        <v>#VALUE!</v>
      </c>
      <c r="P431" s="136"/>
      <c r="Q431" s="70"/>
      <c r="R431" s="52">
        <f>IF(OR(P431="",N431="NO BET"),0,IF(K431=P431,O431,IF(N431="PINNACLE",-[1]Übersicht!M431,-M431)))</f>
        <v>0</v>
      </c>
      <c r="S431" s="69"/>
      <c r="T431" s="241">
        <f>SUM(R431:R440)</f>
        <v>0</v>
      </c>
      <c r="U431" s="9"/>
    </row>
    <row r="432" spans="1:21" ht="15.75" customHeight="1" thickBot="1" x14ac:dyDescent="0.25">
      <c r="A432" s="257" t="s">
        <v>6</v>
      </c>
      <c r="B432" s="246"/>
      <c r="C432" s="166"/>
      <c r="D432" s="53"/>
      <c r="E432" s="53"/>
      <c r="F432" s="53" t="str">
        <f t="shared" ref="F432:F440" si="155">IF(AND(C432=""),"",1-C432)</f>
        <v/>
      </c>
      <c r="G432" s="53"/>
      <c r="H432" s="53"/>
      <c r="I432" s="53" t="str">
        <f t="shared" ref="I432:I440" si="156">IF(AND(C432=""),"",G432*C432)</f>
        <v/>
      </c>
      <c r="J432" s="53" t="str">
        <f t="shared" ref="J432:J440" si="157">IF(AND(C432=""),"",H432*F432)</f>
        <v/>
      </c>
      <c r="K432" s="53" t="str">
        <f t="shared" si="152"/>
        <v/>
      </c>
      <c r="L432" s="130" t="str">
        <f t="shared" si="153"/>
        <v/>
      </c>
      <c r="M432" s="55" t="str">
        <f t="shared" si="154"/>
        <v/>
      </c>
      <c r="N432" s="133" t="str">
        <f>IF(AND(L432="",[1]Übersicht!L432=""),"",IF(AND(L432="NEGATIV EV",[1]Übersicht!L432="NO BET"),"NO BET",IF(AND(NOT(L432="NEGATIV EV"),L432&gt;[1]Übersicht!L432),"BET365",IF([1]Übersicht!L432="NO BET","BET365","PINNACLE"))))</f>
        <v>BET365</v>
      </c>
      <c r="O432" s="138" t="e">
        <f>IF(OR(N432="",N432="NO BET"),"",IF(N432="PINNACLE",IF([1]Übersicht!K432="T1",[1]Übersicht!G432*[1]Übersicht!M432-[1]Übersicht!M432,[1]Übersicht!H432*[1]Übersicht!M432-[1]Übersicht!M432),IF(K432="T1",G432*M432*0.95-M432,H432*M432*0.95-M432)))</f>
        <v>#VALUE!</v>
      </c>
      <c r="P432" s="136"/>
      <c r="Q432" s="69"/>
      <c r="R432" s="52">
        <f>IF(OR(P432="",N432="NO BET"),0,IF(K432=P432,O432,IF(N432="PINNACLE",-[1]Übersicht!M432,-M432)))</f>
        <v>0</v>
      </c>
      <c r="S432" s="69"/>
      <c r="T432" s="241"/>
      <c r="U432" s="9"/>
    </row>
    <row r="433" spans="1:21" ht="15.75" customHeight="1" thickBot="1" x14ac:dyDescent="0.25">
      <c r="A433" s="257"/>
      <c r="B433" s="246"/>
      <c r="C433" s="167"/>
      <c r="D433" s="7"/>
      <c r="E433" s="7"/>
      <c r="F433" s="7" t="str">
        <f t="shared" si="155"/>
        <v/>
      </c>
      <c r="G433" s="7"/>
      <c r="H433" s="7"/>
      <c r="I433" s="7" t="str">
        <f t="shared" si="156"/>
        <v/>
      </c>
      <c r="J433" s="7" t="str">
        <f t="shared" si="157"/>
        <v/>
      </c>
      <c r="K433" s="7" t="str">
        <f t="shared" si="152"/>
        <v/>
      </c>
      <c r="L433" s="131" t="str">
        <f t="shared" si="153"/>
        <v/>
      </c>
      <c r="M433" s="59" t="str">
        <f t="shared" si="154"/>
        <v/>
      </c>
      <c r="N433" s="133" t="str">
        <f>IF(AND(L433="",[1]Übersicht!L433=""),"",IF(AND(L433="NEGATIV EV",[1]Übersicht!L433="NO BET"),"NO BET",IF(AND(NOT(L433="NEGATIV EV"),L433&gt;[1]Übersicht!L433),"BET365",IF([1]Übersicht!L433="NO BET","BET365","PINNACLE"))))</f>
        <v>BET365</v>
      </c>
      <c r="O433" s="140" t="e">
        <f>IF(OR(N433="",N433="NO BET"),"",IF(N433="PINNACLE",IF([1]Übersicht!K433="T1",[1]Übersicht!G433*[1]Übersicht!M433-[1]Übersicht!M433,[1]Übersicht!H433*[1]Übersicht!M433-[1]Übersicht!M433),IF(K433="T1",G433*M433*0.95-M433,H433*M433*0.95-M433)))</f>
        <v>#VALUE!</v>
      </c>
      <c r="P433" s="136"/>
      <c r="Q433" s="69"/>
      <c r="R433" s="52">
        <f>IF(OR(P433="",N433="NO BET"),0,IF(K433=P433,O433,IF(N433="PINNACLE",-[1]Übersicht!M433,-M433)))</f>
        <v>0</v>
      </c>
      <c r="S433" s="69"/>
      <c r="T433" s="241"/>
      <c r="U433" s="9"/>
    </row>
    <row r="434" spans="1:21" ht="15.75" customHeight="1" thickBot="1" x14ac:dyDescent="0.25">
      <c r="A434" s="257"/>
      <c r="B434" s="246"/>
      <c r="C434" s="166"/>
      <c r="D434" s="53"/>
      <c r="E434" s="53"/>
      <c r="F434" s="53" t="str">
        <f t="shared" si="155"/>
        <v/>
      </c>
      <c r="G434" s="53"/>
      <c r="H434" s="53"/>
      <c r="I434" s="53" t="str">
        <f t="shared" si="156"/>
        <v/>
      </c>
      <c r="J434" s="53" t="str">
        <f t="shared" si="157"/>
        <v/>
      </c>
      <c r="K434" s="53" t="str">
        <f t="shared" si="152"/>
        <v/>
      </c>
      <c r="L434" s="130" t="str">
        <f t="shared" si="153"/>
        <v/>
      </c>
      <c r="M434" s="55" t="str">
        <f t="shared" si="154"/>
        <v/>
      </c>
      <c r="N434" s="133" t="str">
        <f>IF(AND(L434="",[1]Übersicht!L434=""),"",IF(AND(L434="NEGATIV EV",[1]Übersicht!L434="NO BET"),"NO BET",IF(AND(NOT(L434="NEGATIV EV"),L434&gt;[1]Übersicht!L434),"BET365",IF([1]Übersicht!L434="NO BET","BET365","PINNACLE"))))</f>
        <v>BET365</v>
      </c>
      <c r="O434" s="138" t="e">
        <f>IF(OR(N434="",N434="NO BET"),"",IF(N434="PINNACLE",IF([1]Übersicht!K434="T1",[1]Übersicht!G434*[1]Übersicht!M434-[1]Übersicht!M434,[1]Übersicht!H434*[1]Übersicht!M434-[1]Übersicht!M434),IF(K434="T1",G434*M434*0.95-M434,H434*M434*0.95-M434)))</f>
        <v>#VALUE!</v>
      </c>
      <c r="P434" s="136"/>
      <c r="Q434" s="69"/>
      <c r="R434" s="52">
        <f>IF(OR(P434="",N434="NO BET"),0,IF(K434=P434,O434,IF(N434="PINNACLE",-[1]Übersicht!M434,-M434)))</f>
        <v>0</v>
      </c>
      <c r="S434" s="69"/>
      <c r="T434" s="241"/>
      <c r="U434" s="9"/>
    </row>
    <row r="435" spans="1:21" ht="15.75" customHeight="1" thickBot="1" x14ac:dyDescent="0.25">
      <c r="A435" s="257"/>
      <c r="B435" s="246"/>
      <c r="C435" s="167"/>
      <c r="D435" s="7"/>
      <c r="E435" s="7"/>
      <c r="F435" s="7" t="str">
        <f t="shared" si="155"/>
        <v/>
      </c>
      <c r="G435" s="7"/>
      <c r="H435" s="7"/>
      <c r="I435" s="7" t="str">
        <f t="shared" si="156"/>
        <v/>
      </c>
      <c r="J435" s="7" t="str">
        <f t="shared" si="157"/>
        <v/>
      </c>
      <c r="K435" s="7" t="str">
        <f t="shared" si="152"/>
        <v/>
      </c>
      <c r="L435" s="131" t="str">
        <f t="shared" si="153"/>
        <v/>
      </c>
      <c r="M435" s="60" t="str">
        <f t="shared" si="154"/>
        <v/>
      </c>
      <c r="N435" s="133" t="str">
        <f>IF(AND(L435="",[1]Übersicht!L435=""),"",IF(AND(L435="NEGATIV EV",[1]Übersicht!L435="NO BET"),"NO BET",IF(AND(NOT(L435="NEGATIV EV"),L435&gt;[1]Übersicht!L435),"BET365",IF([1]Übersicht!L435="NO BET","BET365","PINNACLE"))))</f>
        <v>BET365</v>
      </c>
      <c r="O435" s="140" t="e">
        <f>IF(OR(N435="",N435="NO BET"),"",IF(N435="PINNACLE",IF([1]Übersicht!K435="T1",[1]Übersicht!G435*[1]Übersicht!M435-[1]Übersicht!M435,[1]Übersicht!H435*[1]Übersicht!M435-[1]Übersicht!M435),IF(K435="T1",G435*M435*0.95-M435,H435*M435*0.95-M435)))</f>
        <v>#VALUE!</v>
      </c>
      <c r="P435" s="136"/>
      <c r="Q435" s="69"/>
      <c r="R435" s="52">
        <f>IF(OR(P435="",N435="NO BET"),0,IF(K435=P435,O435,IF(N435="PINNACLE",-[1]Übersicht!M435,-M435)))</f>
        <v>0</v>
      </c>
      <c r="S435" s="69"/>
      <c r="T435" s="241"/>
      <c r="U435" s="9"/>
    </row>
    <row r="436" spans="1:21" ht="15.75" customHeight="1" thickBot="1" x14ac:dyDescent="0.25">
      <c r="A436" s="257"/>
      <c r="B436" s="246"/>
      <c r="C436" s="166"/>
      <c r="D436" s="53"/>
      <c r="E436" s="53"/>
      <c r="F436" s="53" t="str">
        <f t="shared" si="155"/>
        <v/>
      </c>
      <c r="G436" s="53"/>
      <c r="H436" s="53"/>
      <c r="I436" s="53" t="str">
        <f t="shared" si="156"/>
        <v/>
      </c>
      <c r="J436" s="53" t="str">
        <f t="shared" si="157"/>
        <v/>
      </c>
      <c r="K436" s="53" t="str">
        <f t="shared" si="152"/>
        <v/>
      </c>
      <c r="L436" s="130" t="str">
        <f>IF(AND(K436=""),"",IF(AND((J436*0.95-1)&lt;0,(I436*0.95-1)&lt;0),"NEGATIV EV", IF(AND(K436="T1"),I436*0.95 - 1,J436*0.95 - 1)))</f>
        <v/>
      </c>
      <c r="M436" s="55" t="str">
        <f>IF(L436="","",IF(L436&lt;0.5,K$2*M$2,IF(L436&lt;0.75,K$2*M$3,IF(L436&lt;1,K$2*M$4,IF(L436&lt;1.25,K$2*M$5,IF(L436&lt;1.5,K$2*M$6,IF(L436&lt;2,K$2*M$7,IF(L436&lt;2.5,K$2*M$8,IF(L436="NEGATIV EV","NEGATIV EV",K$2*M$9)))))))))</f>
        <v/>
      </c>
      <c r="N436" s="133" t="str">
        <f>IF(AND(L436="",[1]Übersicht!L436=""),"",IF(AND(L436="NEGATIV EV",[1]Übersicht!L436="NO BET"),"NO BET",IF(AND(NOT(L436="NEGATIV EV"),L436&gt;[1]Übersicht!L436),"BET365",IF([1]Übersicht!L436="NO BET","BET365","PINNACLE"))))</f>
        <v>BET365</v>
      </c>
      <c r="O436" s="138" t="e">
        <f>IF(OR(N436="",N436="NO BET"),"",IF(N436="PINNACLE",IF([1]Übersicht!K436="T1",[1]Übersicht!G436*[1]Übersicht!M436-[1]Übersicht!M436,[1]Übersicht!H436*[1]Übersicht!M436-[1]Übersicht!M436),IF(K436="T1",G436*M436*0.95-M436,H436*M436*0.95-M436)))</f>
        <v>#VALUE!</v>
      </c>
      <c r="P436" s="136"/>
      <c r="Q436" s="69"/>
      <c r="R436" s="52">
        <f>IF(OR(P436="",N436="NO BET"),0,IF(K436=P436,O436,IF(N436="PINNACLE",-[1]Übersicht!M436,-M436)))</f>
        <v>0</v>
      </c>
      <c r="S436" s="69"/>
      <c r="T436" s="241"/>
      <c r="U436" s="9"/>
    </row>
    <row r="437" spans="1:21" ht="16.5" thickBot="1" x14ac:dyDescent="0.25">
      <c r="A437" s="257"/>
      <c r="B437" s="246"/>
      <c r="C437" s="167"/>
      <c r="D437" s="7"/>
      <c r="E437" s="7"/>
      <c r="F437" s="7" t="str">
        <f t="shared" si="155"/>
        <v/>
      </c>
      <c r="G437" s="7"/>
      <c r="H437" s="7"/>
      <c r="I437" s="7" t="str">
        <f t="shared" si="156"/>
        <v/>
      </c>
      <c r="J437" s="7" t="str">
        <f t="shared" si="157"/>
        <v/>
      </c>
      <c r="K437" s="7" t="str">
        <f t="shared" si="152"/>
        <v/>
      </c>
      <c r="L437" s="131" t="str">
        <f t="shared" ref="L437:L440" si="158">IF(AND(K437=""),"",IF(AND((J437*0.95-1)&lt;0,(I437*0.95-1)&lt;0),"NEGATIV EV", IF(AND(K437="T1"),I437*0.95 - 1,J437*0.95 - 1)))</f>
        <v/>
      </c>
      <c r="M437" s="59" t="str">
        <f t="shared" ref="M437:M440" si="159">IF(L437="","",IF(L437&lt;0.5,K$2*M$2,IF(L437&lt;0.75,K$2*M$3,IF(L437&lt;1,K$2*M$4,IF(L437&lt;1.25,K$2*M$5,IF(L437&lt;1.5,K$2*M$6,IF(L437&lt;2,K$2*M$7,IF(L437&lt;2.5,K$2*M$8,IF(L437="NEGATIV EV","NEGATIV EV",K$2*M$9)))))))))</f>
        <v/>
      </c>
      <c r="N437" s="133" t="str">
        <f>IF(AND(L437="",[1]Übersicht!L437=""),"",IF(AND(L437="NEGATIV EV",[1]Übersicht!L437="NO BET"),"NO BET",IF(AND(NOT(L437="NEGATIV EV"),L437&gt;[1]Übersicht!L437),"BET365",IF([1]Übersicht!L437="NO BET","BET365","PINNACLE"))))</f>
        <v>BET365</v>
      </c>
      <c r="O437" s="140" t="e">
        <f>IF(OR(N437="",N437="NO BET"),"",IF(N437="PINNACLE",IF([1]Übersicht!K437="T1",[1]Übersicht!G437*[1]Übersicht!M437-[1]Übersicht!M437,[1]Übersicht!H437*[1]Übersicht!M437-[1]Übersicht!M437),IF(K437="T1",G437*M437*0.95-M437,H437*M437*0.95-M437)))</f>
        <v>#VALUE!</v>
      </c>
      <c r="P437" s="56"/>
      <c r="Q437" s="69"/>
      <c r="R437" s="52">
        <f>IF(OR(P437="",N437="NO BET"),0,IF(K437=P437,O437,IF(N437="PINNACLE",-[1]Übersicht!M437,-M437)))</f>
        <v>0</v>
      </c>
      <c r="S437" s="69"/>
      <c r="T437" s="61" t="s">
        <v>31</v>
      </c>
      <c r="U437" s="9"/>
    </row>
    <row r="438" spans="1:21" ht="15.75" customHeight="1" thickBot="1" x14ac:dyDescent="0.25">
      <c r="A438" s="257"/>
      <c r="B438" s="246"/>
      <c r="C438" s="166"/>
      <c r="D438" s="53"/>
      <c r="E438" s="53"/>
      <c r="F438" s="53" t="str">
        <f t="shared" si="155"/>
        <v/>
      </c>
      <c r="G438" s="53"/>
      <c r="H438" s="53"/>
      <c r="I438" s="53" t="str">
        <f t="shared" si="156"/>
        <v/>
      </c>
      <c r="J438" s="53" t="str">
        <f t="shared" si="157"/>
        <v/>
      </c>
      <c r="K438" s="53" t="str">
        <f t="shared" si="152"/>
        <v/>
      </c>
      <c r="L438" s="130" t="str">
        <f t="shared" si="158"/>
        <v/>
      </c>
      <c r="M438" s="62" t="str">
        <f t="shared" si="159"/>
        <v/>
      </c>
      <c r="N438" s="133" t="str">
        <f>IF(AND(L438="",[1]Übersicht!L438=""),"",IF(AND(L438="NEGATIV EV",[1]Übersicht!L438="NO BET"),"NO BET",IF(AND(NOT(L438="NEGATIV EV"),L438&gt;[1]Übersicht!L438),"BET365",IF([1]Übersicht!L438="NO BET","BET365","PINNACLE"))))</f>
        <v>BET365</v>
      </c>
      <c r="O438" s="138" t="e">
        <f>IF(OR(N438="",N438="NO BET"),"",IF(N438="PINNACLE",IF([1]Übersicht!K438="T1",[1]Übersicht!G438*[1]Übersicht!M438-[1]Übersicht!M438,[1]Übersicht!H438*[1]Übersicht!M438-[1]Übersicht!M438),IF(K438="T1",G438*M438*0.95-M438,H438*M438*0.95-M438)))</f>
        <v>#VALUE!</v>
      </c>
      <c r="P438" s="136"/>
      <c r="Q438" s="69"/>
      <c r="R438" s="52">
        <f>IF(OR(P438="",N438="NO BET"),0,IF(K438=P438,O438,IF(N438="PINNACLE",-[1]Übersicht!M438,-M438)))</f>
        <v>0</v>
      </c>
      <c r="S438" s="69"/>
      <c r="T438" s="248" t="e">
        <f>IF(AND(NOT(N431=0)),T431/N431,0)</f>
        <v>#VALUE!</v>
      </c>
      <c r="U438" s="9"/>
    </row>
    <row r="439" spans="1:21" ht="15.75" customHeight="1" thickBot="1" x14ac:dyDescent="0.25">
      <c r="A439" s="257"/>
      <c r="B439" s="246"/>
      <c r="C439" s="167"/>
      <c r="D439" s="7"/>
      <c r="E439" s="7"/>
      <c r="F439" s="7" t="str">
        <f t="shared" si="155"/>
        <v/>
      </c>
      <c r="G439" s="7"/>
      <c r="H439" s="7"/>
      <c r="I439" s="7" t="str">
        <f t="shared" si="156"/>
        <v/>
      </c>
      <c r="J439" s="7" t="str">
        <f t="shared" si="157"/>
        <v/>
      </c>
      <c r="K439" s="7" t="str">
        <f t="shared" si="152"/>
        <v/>
      </c>
      <c r="L439" s="131" t="str">
        <f t="shared" si="158"/>
        <v/>
      </c>
      <c r="M439" s="60" t="str">
        <f t="shared" si="159"/>
        <v/>
      </c>
      <c r="N439" s="133" t="str">
        <f>IF(AND(L439="",[1]Übersicht!L439=""),"",IF(AND(L439="NEGATIV EV",[1]Übersicht!L439="NO BET"),"NO BET",IF(AND(NOT(L439="NEGATIV EV"),L439&gt;[1]Übersicht!L439),"BET365",IF([1]Übersicht!L439="NO BET","BET365","PINNACLE"))))</f>
        <v>BET365</v>
      </c>
      <c r="O439" s="139" t="e">
        <f>IF(OR(N439="",N439="NO BET"),"",IF(N439="PINNACLE",IF([1]Übersicht!K439="T1",[1]Übersicht!G439*[1]Übersicht!M439-[1]Übersicht!M439,[1]Übersicht!H439*[1]Übersicht!M439-[1]Übersicht!M439),IF(K439="T1",G439*M439*0.95-M439,H439*M439*0.95-M439)))</f>
        <v>#VALUE!</v>
      </c>
      <c r="P439" s="136"/>
      <c r="Q439" s="69"/>
      <c r="R439" s="52">
        <f>IF(OR(P439="",N439="NO BET"),0,IF(K439=P439,O439,IF(N439="PINNACLE",-[1]Übersicht!M439,-M439)))</f>
        <v>0</v>
      </c>
      <c r="S439" s="69"/>
      <c r="T439" s="249"/>
      <c r="U439" s="9"/>
    </row>
    <row r="440" spans="1:21" ht="15.75" customHeight="1" thickBot="1" x14ac:dyDescent="0.25">
      <c r="A440" s="258"/>
      <c r="B440" s="247"/>
      <c r="C440" s="168"/>
      <c r="D440" s="63"/>
      <c r="E440" s="63"/>
      <c r="F440" s="63" t="str">
        <f t="shared" si="155"/>
        <v/>
      </c>
      <c r="G440" s="63"/>
      <c r="H440" s="63"/>
      <c r="I440" s="63" t="str">
        <f t="shared" si="156"/>
        <v/>
      </c>
      <c r="J440" s="63" t="str">
        <f t="shared" si="157"/>
        <v/>
      </c>
      <c r="K440" s="63" t="str">
        <f t="shared" si="152"/>
        <v/>
      </c>
      <c r="L440" s="132" t="str">
        <f t="shared" si="158"/>
        <v/>
      </c>
      <c r="M440" s="65" t="str">
        <f t="shared" si="159"/>
        <v/>
      </c>
      <c r="N440" s="133" t="str">
        <f>IF(AND(L440="",[1]Übersicht!L440=""),"",IF(AND(L440="NEGATIV EV",[1]Übersicht!L440="NO BET"),"NO BET",IF(AND(NOT(L440="NEGATIV EV"),L440&gt;[1]Übersicht!L440),"BET365",IF([1]Übersicht!L440="NO BET","BET365","PINNACLE"))))</f>
        <v>BET365</v>
      </c>
      <c r="O440" s="138" t="e">
        <f>IF(OR(N440="",N440="NO BET"),"",IF(N440="PINNACLE",IF([1]Übersicht!K440="T1",[1]Übersicht!G440*[1]Übersicht!M440-[1]Übersicht!M440,[1]Übersicht!H440*[1]Übersicht!M440-[1]Übersicht!M440),IF(K440="T1",G440*M440*0.95-M440,H440*M440*0.95-M440)))</f>
        <v>#VALUE!</v>
      </c>
      <c r="P440" s="66"/>
      <c r="Q440" s="9"/>
      <c r="R440" s="135">
        <f>IF(OR(P440="",N440="NO BET"),0,IF(K440=P440,O440,IF(N440="PINNACLE",-[1]Übersicht!M440,-M440)))</f>
        <v>0</v>
      </c>
      <c r="S440" s="9"/>
      <c r="T440" s="250"/>
      <c r="U440" s="9"/>
    </row>
    <row r="441" spans="1:21" x14ac:dyDescent="0.2">
      <c r="A441" s="9"/>
      <c r="B441" s="9"/>
      <c r="C441" s="11"/>
      <c r="D441" s="9"/>
      <c r="E441" s="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10"/>
      <c r="S441" s="9"/>
      <c r="T441" s="11"/>
      <c r="U441" s="9"/>
    </row>
    <row r="442" spans="1:21" x14ac:dyDescent="0.2">
      <c r="A442" s="76"/>
      <c r="B442" s="76"/>
      <c r="C442" s="78"/>
      <c r="D442" s="76"/>
      <c r="E442" s="76"/>
      <c r="F442" s="76"/>
      <c r="G442" s="76"/>
      <c r="H442" s="76"/>
      <c r="I442" s="76"/>
      <c r="J442" s="76"/>
      <c r="K442" s="76"/>
      <c r="L442" s="76"/>
      <c r="M442" s="76"/>
      <c r="N442" s="76"/>
      <c r="O442" s="76"/>
      <c r="P442" s="76"/>
      <c r="Q442" s="76"/>
      <c r="R442" s="77"/>
      <c r="S442" s="76"/>
      <c r="T442" s="78"/>
      <c r="U442" s="9"/>
    </row>
    <row r="443" spans="1:21" x14ac:dyDescent="0.2">
      <c r="A443" s="76"/>
      <c r="B443" s="76"/>
      <c r="C443" s="78"/>
      <c r="D443" s="76"/>
      <c r="E443" s="76"/>
      <c r="F443" s="76"/>
      <c r="G443" s="76"/>
      <c r="H443" s="76"/>
      <c r="I443" s="76"/>
      <c r="J443" s="76"/>
      <c r="K443" s="76"/>
      <c r="L443" s="76"/>
      <c r="M443" s="76"/>
      <c r="N443" s="76"/>
      <c r="O443" s="76"/>
      <c r="P443" s="76"/>
      <c r="Q443" s="76"/>
      <c r="R443" s="77"/>
      <c r="S443" s="76"/>
      <c r="T443" s="78"/>
      <c r="U443" s="9"/>
    </row>
    <row r="444" spans="1:21" x14ac:dyDescent="0.2">
      <c r="A444" s="76"/>
      <c r="B444" s="76"/>
      <c r="C444" s="78"/>
      <c r="D444" s="76"/>
      <c r="E444" s="76"/>
      <c r="F444" s="76"/>
      <c r="G444" s="76"/>
      <c r="H444" s="76"/>
      <c r="I444" s="76"/>
      <c r="J444" s="76"/>
      <c r="K444" s="76"/>
      <c r="L444" s="76"/>
      <c r="M444" s="76"/>
      <c r="N444" s="76"/>
      <c r="O444" s="76"/>
      <c r="P444" s="76"/>
      <c r="Q444" s="76"/>
      <c r="R444" s="77"/>
      <c r="S444" s="76"/>
      <c r="T444" s="78"/>
      <c r="U444" s="9"/>
    </row>
    <row r="445" spans="1:21" x14ac:dyDescent="0.2">
      <c r="A445" s="76"/>
      <c r="B445" s="76"/>
      <c r="C445" s="78"/>
      <c r="D445" s="76"/>
      <c r="E445" s="76"/>
      <c r="F445" s="76"/>
      <c r="G445" s="76"/>
      <c r="H445" s="76"/>
      <c r="I445" s="76"/>
      <c r="J445" s="76"/>
      <c r="K445" s="76"/>
      <c r="L445" s="76"/>
      <c r="M445" s="76"/>
      <c r="N445" s="76"/>
      <c r="O445" s="76"/>
      <c r="P445" s="76"/>
      <c r="Q445" s="76"/>
      <c r="R445" s="77"/>
      <c r="S445" s="76"/>
      <c r="T445" s="78"/>
      <c r="U445" s="9"/>
    </row>
    <row r="446" spans="1:21" x14ac:dyDescent="0.2">
      <c r="A446" s="76"/>
      <c r="B446" s="76"/>
      <c r="C446" s="78"/>
      <c r="D446" s="76"/>
      <c r="E446" s="76"/>
      <c r="F446" s="76"/>
      <c r="G446" s="76"/>
      <c r="H446" s="76"/>
      <c r="I446" s="76"/>
      <c r="J446" s="76"/>
      <c r="K446" s="76"/>
      <c r="L446" s="76"/>
      <c r="M446" s="76"/>
      <c r="N446" s="76"/>
      <c r="O446" s="76"/>
      <c r="P446" s="76"/>
      <c r="Q446" s="76"/>
      <c r="R446" s="77"/>
      <c r="S446" s="76"/>
      <c r="T446" s="78"/>
      <c r="U446" s="9"/>
    </row>
    <row r="447" spans="1:21" x14ac:dyDescent="0.2">
      <c r="A447" s="76"/>
      <c r="B447" s="76"/>
      <c r="C447" s="78"/>
      <c r="D447" s="76"/>
      <c r="E447" s="76"/>
      <c r="F447" s="76"/>
      <c r="G447" s="76"/>
      <c r="H447" s="76"/>
      <c r="I447" s="76"/>
      <c r="J447" s="76"/>
      <c r="K447" s="76"/>
      <c r="L447" s="76"/>
      <c r="M447" s="76"/>
      <c r="N447" s="76"/>
      <c r="O447" s="76"/>
      <c r="P447" s="76"/>
      <c r="Q447" s="76"/>
      <c r="R447" s="77"/>
      <c r="S447" s="76"/>
      <c r="T447" s="78"/>
      <c r="U447" s="9"/>
    </row>
    <row r="448" spans="1:21" x14ac:dyDescent="0.2">
      <c r="A448" s="76"/>
      <c r="B448" s="76"/>
      <c r="C448" s="78"/>
      <c r="D448" s="76"/>
      <c r="E448" s="76"/>
      <c r="F448" s="76"/>
      <c r="G448" s="76"/>
      <c r="H448" s="76"/>
      <c r="I448" s="76"/>
      <c r="J448" s="76"/>
      <c r="K448" s="76"/>
      <c r="L448" s="76"/>
      <c r="M448" s="76"/>
      <c r="N448" s="76"/>
      <c r="O448" s="76"/>
      <c r="P448" s="76"/>
      <c r="Q448" s="76"/>
      <c r="R448" s="77"/>
      <c r="S448" s="76"/>
      <c r="T448" s="78"/>
      <c r="U448" s="9"/>
    </row>
    <row r="449" spans="1:21" x14ac:dyDescent="0.2">
      <c r="A449" s="76"/>
      <c r="B449" s="76"/>
      <c r="C449" s="78"/>
      <c r="D449" s="76"/>
      <c r="E449" s="76"/>
      <c r="F449" s="76"/>
      <c r="G449" s="76"/>
      <c r="H449" s="76"/>
      <c r="I449" s="76"/>
      <c r="J449" s="76"/>
      <c r="K449" s="76"/>
      <c r="L449" s="76"/>
      <c r="M449" s="76"/>
      <c r="N449" s="76"/>
      <c r="O449" s="76"/>
      <c r="P449" s="76"/>
      <c r="Q449" s="76"/>
      <c r="R449" s="77"/>
      <c r="S449" s="76"/>
      <c r="T449" s="78"/>
      <c r="U449" s="9"/>
    </row>
    <row r="450" spans="1:21" x14ac:dyDescent="0.2">
      <c r="A450" s="76"/>
      <c r="B450" s="76"/>
      <c r="C450" s="78"/>
      <c r="D450" s="76"/>
      <c r="E450" s="76"/>
      <c r="F450" s="76"/>
      <c r="G450" s="76"/>
      <c r="H450" s="76"/>
      <c r="I450" s="76"/>
      <c r="J450" s="76"/>
      <c r="K450" s="76"/>
      <c r="L450" s="76"/>
      <c r="M450" s="76"/>
      <c r="N450" s="76"/>
      <c r="O450" s="76"/>
      <c r="P450" s="76"/>
      <c r="Q450" s="76"/>
      <c r="R450" s="77"/>
      <c r="S450" s="76"/>
      <c r="T450" s="78"/>
      <c r="U450" s="9"/>
    </row>
    <row r="451" spans="1:21" x14ac:dyDescent="0.2">
      <c r="A451" s="76"/>
      <c r="B451" s="76"/>
      <c r="C451" s="78"/>
      <c r="D451" s="76"/>
      <c r="E451" s="76"/>
      <c r="F451" s="76"/>
      <c r="G451" s="76"/>
      <c r="H451" s="76"/>
      <c r="I451" s="76"/>
      <c r="J451" s="76"/>
      <c r="K451" s="76"/>
      <c r="L451" s="76"/>
      <c r="M451" s="76"/>
      <c r="N451" s="76"/>
      <c r="O451" s="76"/>
      <c r="P451" s="76"/>
      <c r="Q451" s="76"/>
      <c r="R451" s="77"/>
      <c r="S451" s="76"/>
      <c r="T451" s="78"/>
      <c r="U451" s="9"/>
    </row>
    <row r="452" spans="1:21" x14ac:dyDescent="0.2">
      <c r="A452" s="76"/>
      <c r="B452" s="76"/>
      <c r="C452" s="78"/>
      <c r="D452" s="76"/>
      <c r="E452" s="76"/>
      <c r="F452" s="76"/>
      <c r="G452" s="76"/>
      <c r="H452" s="76"/>
      <c r="I452" s="76"/>
      <c r="J452" s="76"/>
      <c r="K452" s="76"/>
      <c r="L452" s="76"/>
      <c r="M452" s="76"/>
      <c r="N452" s="76"/>
      <c r="O452" s="76"/>
      <c r="P452" s="76"/>
      <c r="Q452" s="76"/>
      <c r="R452" s="77"/>
      <c r="S452" s="76"/>
      <c r="T452" s="78"/>
      <c r="U452" s="9"/>
    </row>
    <row r="453" spans="1:21" x14ac:dyDescent="0.2">
      <c r="A453" s="76"/>
      <c r="B453" s="76"/>
      <c r="C453" s="78"/>
      <c r="D453" s="76"/>
      <c r="E453" s="76"/>
      <c r="F453" s="76"/>
      <c r="G453" s="76"/>
      <c r="H453" s="76"/>
      <c r="I453" s="76"/>
      <c r="J453" s="76"/>
      <c r="K453" s="76"/>
      <c r="L453" s="76"/>
      <c r="M453" s="76"/>
      <c r="N453" s="76"/>
      <c r="O453" s="76"/>
      <c r="P453" s="76"/>
      <c r="Q453" s="76"/>
      <c r="R453" s="77"/>
      <c r="S453" s="76"/>
      <c r="T453" s="78"/>
      <c r="U453" s="9"/>
    </row>
    <row r="454" spans="1:21" x14ac:dyDescent="0.2">
      <c r="A454" s="76"/>
      <c r="B454" s="76"/>
      <c r="C454" s="78"/>
      <c r="D454" s="76"/>
      <c r="E454" s="76"/>
      <c r="F454" s="76"/>
      <c r="G454" s="76"/>
      <c r="H454" s="76"/>
      <c r="I454" s="76"/>
      <c r="J454" s="76"/>
      <c r="K454" s="76"/>
      <c r="L454" s="76"/>
      <c r="M454" s="76"/>
      <c r="N454" s="76"/>
      <c r="O454" s="76"/>
      <c r="P454" s="76"/>
      <c r="Q454" s="76"/>
      <c r="R454" s="77"/>
      <c r="S454" s="76"/>
      <c r="T454" s="78"/>
      <c r="U454" s="9"/>
    </row>
    <row r="455" spans="1:21" x14ac:dyDescent="0.2">
      <c r="A455" s="76"/>
      <c r="B455" s="76"/>
      <c r="C455" s="78"/>
      <c r="D455" s="76"/>
      <c r="E455" s="76"/>
      <c r="F455" s="76"/>
      <c r="G455" s="76"/>
      <c r="H455" s="76"/>
      <c r="I455" s="76"/>
      <c r="J455" s="76"/>
      <c r="K455" s="76"/>
      <c r="L455" s="76"/>
      <c r="M455" s="76"/>
      <c r="N455" s="76"/>
      <c r="O455" s="76"/>
      <c r="P455" s="76"/>
      <c r="Q455" s="76"/>
      <c r="R455" s="77"/>
      <c r="S455" s="76"/>
      <c r="T455" s="78"/>
      <c r="U455" s="9"/>
    </row>
    <row r="456" spans="1:21" x14ac:dyDescent="0.2">
      <c r="A456" s="76"/>
      <c r="B456" s="76"/>
      <c r="C456" s="78"/>
      <c r="D456" s="76"/>
      <c r="E456" s="76"/>
      <c r="F456" s="76"/>
      <c r="G456" s="76"/>
      <c r="H456" s="76"/>
      <c r="I456" s="76"/>
      <c r="J456" s="76"/>
      <c r="K456" s="76"/>
      <c r="L456" s="76"/>
      <c r="M456" s="76"/>
      <c r="N456" s="76"/>
      <c r="O456" s="76"/>
      <c r="P456" s="76"/>
      <c r="Q456" s="76"/>
      <c r="R456" s="77"/>
      <c r="S456" s="76"/>
      <c r="T456" s="78"/>
      <c r="U456" s="9"/>
    </row>
    <row r="457" spans="1:21" x14ac:dyDescent="0.2">
      <c r="A457" s="76"/>
      <c r="B457" s="76"/>
      <c r="C457" s="78"/>
      <c r="D457" s="76"/>
      <c r="E457" s="76"/>
      <c r="F457" s="76"/>
      <c r="G457" s="76"/>
      <c r="H457" s="76"/>
      <c r="I457" s="76"/>
      <c r="J457" s="76"/>
      <c r="K457" s="76"/>
      <c r="L457" s="76"/>
      <c r="M457" s="76"/>
      <c r="N457" s="76"/>
      <c r="O457" s="76"/>
      <c r="P457" s="76"/>
      <c r="Q457" s="76"/>
      <c r="R457" s="77"/>
      <c r="S457" s="76"/>
      <c r="T457" s="78"/>
      <c r="U457" s="9"/>
    </row>
    <row r="458" spans="1:21" x14ac:dyDescent="0.2">
      <c r="A458" s="76"/>
      <c r="B458" s="76"/>
      <c r="C458" s="78"/>
      <c r="D458" s="76"/>
      <c r="E458" s="76"/>
      <c r="F458" s="76"/>
      <c r="G458" s="76"/>
      <c r="H458" s="76"/>
      <c r="I458" s="76"/>
      <c r="J458" s="76"/>
      <c r="K458" s="76"/>
      <c r="L458" s="76"/>
      <c r="M458" s="76"/>
      <c r="N458" s="76"/>
      <c r="O458" s="76"/>
      <c r="P458" s="76"/>
      <c r="Q458" s="76"/>
      <c r="R458" s="77"/>
      <c r="S458" s="76"/>
      <c r="T458" s="78"/>
      <c r="U458" s="9"/>
    </row>
    <row r="459" spans="1:21" ht="15.75" thickBot="1" x14ac:dyDescent="0.25">
      <c r="A459" s="9"/>
      <c r="B459" s="9"/>
      <c r="C459" s="11"/>
      <c r="D459" s="9"/>
      <c r="E459" s="9"/>
      <c r="F459" s="9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10"/>
      <c r="S459" s="9"/>
      <c r="T459" s="11"/>
      <c r="U459" s="9"/>
    </row>
    <row r="460" spans="1:21" ht="22.5" customHeight="1" thickBot="1" x14ac:dyDescent="0.25">
      <c r="A460" s="79" t="s">
        <v>6</v>
      </c>
      <c r="B460" s="245" t="s">
        <v>8</v>
      </c>
      <c r="C460" s="170"/>
      <c r="D460" s="43" t="s">
        <v>9</v>
      </c>
      <c r="E460" s="43" t="s">
        <v>10</v>
      </c>
      <c r="F460" s="43" t="s">
        <v>11</v>
      </c>
      <c r="G460" s="43" t="s">
        <v>12</v>
      </c>
      <c r="H460" s="43" t="s">
        <v>13</v>
      </c>
      <c r="I460" s="43" t="s">
        <v>14</v>
      </c>
      <c r="J460" s="43" t="s">
        <v>15</v>
      </c>
      <c r="K460" s="43" t="s">
        <v>33</v>
      </c>
      <c r="L460" s="43" t="s">
        <v>16</v>
      </c>
      <c r="M460" s="43" t="s">
        <v>38</v>
      </c>
      <c r="N460" s="128" t="s">
        <v>87</v>
      </c>
      <c r="O460" s="128" t="s">
        <v>89</v>
      </c>
      <c r="P460" s="137" t="s">
        <v>18</v>
      </c>
      <c r="Q460" s="69"/>
      <c r="R460" s="134" t="s">
        <v>34</v>
      </c>
      <c r="S460" s="69"/>
      <c r="T460" s="47" t="s">
        <v>29</v>
      </c>
      <c r="U460" s="9"/>
    </row>
    <row r="461" spans="1:21" ht="15.75" customHeight="1" thickBot="1" x14ac:dyDescent="0.25">
      <c r="A461" s="80"/>
      <c r="B461" s="246"/>
      <c r="C461" s="161">
        <v>0.54</v>
      </c>
      <c r="D461" s="48">
        <v>100</v>
      </c>
      <c r="E461" s="48" t="s">
        <v>63</v>
      </c>
      <c r="F461" s="48">
        <f>IF(AND(C461=""),"",1-C461)</f>
        <v>0.45999999999999996</v>
      </c>
      <c r="G461" s="48">
        <v>2.25</v>
      </c>
      <c r="H461" s="48">
        <v>1.57</v>
      </c>
      <c r="I461" s="129">
        <f>IF(AND(C461=""),"",G461*C461)</f>
        <v>1.2150000000000001</v>
      </c>
      <c r="J461" s="129">
        <f>IF(AND(C461=""),"",H461*F461)</f>
        <v>0.72219999999999995</v>
      </c>
      <c r="K461" s="48" t="str">
        <f t="shared" ref="K461:K470" si="160">IF(AND(I461=""),"",IF(AND(I461&gt;J461),"T1","T2"))</f>
        <v>T1</v>
      </c>
      <c r="L461" s="129">
        <f t="shared" ref="L461:L465" si="161">IF(AND(K461=""),"",IF(AND((J461*0.95-1)&lt;0,(I461*0.95-1)&lt;0),"NEGATIV EV", IF(AND(K461="T1"),I461*0.95 - 1,J461*0.95 - 1)))</f>
        <v>0.15425</v>
      </c>
      <c r="M461" s="50">
        <f t="shared" ref="M461:M465" si="162">IF(L461="","",IF(L461&lt;0.5,K$2*M$2,IF(L461&lt;0.75,K$2*M$3,IF(L461&lt;1,K$2*M$4,IF(L461&lt;1.25,K$2*M$5,IF(L461&lt;1.5,K$2*M$6,IF(L461&lt;2,K$2*M$7,IF(L461&lt;2.5,K$2*M$8,IF(L461="NEGATIV EV","NEGATIV EV",K$2*M$9)))))))))</f>
        <v>56.25</v>
      </c>
      <c r="N461" s="133" t="str">
        <f>IF(AND(L461="",[1]Übersicht!L461=""),"",IF(AND(L461="NEGATIV EV",[1]Übersicht!L461="NO BET"),"NO BET",IF(AND(NOT(L461="NEGATIV EV"),L461&gt;[1]Übersicht!L461),"BET365",IF([1]Übersicht!L461="NO BET","BET365","PINNACLE"))))</f>
        <v>PINNACLE</v>
      </c>
      <c r="O461" s="140">
        <f>IF(OR(N461="",N461="NO BET"),"",IF(N461="PINNACLE",IF([1]Übersicht!K461="T1",[1]Übersicht!G461*[1]Übersicht!M461-[1]Übersicht!M461,[1]Übersicht!H461*[1]Übersicht!M461-[1]Übersicht!M461),IF(K461="T1",G461*M461*0.95-M461,H461*M461*0.95-M461)))</f>
        <v>70.874999999999986</v>
      </c>
      <c r="P461" s="136" t="s">
        <v>40</v>
      </c>
      <c r="Q461" s="70"/>
      <c r="R461" s="52">
        <f>IF(OR(P461="",N461="NO BET"),0,IF(K461=P461,O461,IF(N461="PINNACLE",-[1]Übersicht!M461,-M461)))</f>
        <v>-56.25</v>
      </c>
      <c r="S461" s="69"/>
      <c r="T461" s="241">
        <f>SUM(R461:R470)</f>
        <v>31.574999999999989</v>
      </c>
      <c r="U461" s="9"/>
    </row>
    <row r="462" spans="1:21" ht="15.75" customHeight="1" thickBot="1" x14ac:dyDescent="0.25">
      <c r="A462" s="257" t="s">
        <v>7</v>
      </c>
      <c r="B462" s="246"/>
      <c r="C462" s="162">
        <v>0.61</v>
      </c>
      <c r="D462" s="53" t="s">
        <v>64</v>
      </c>
      <c r="E462" s="53" t="s">
        <v>46</v>
      </c>
      <c r="F462" s="53">
        <f t="shared" ref="F462:F470" si="163">IF(AND(C462=""),"",1-C462)</f>
        <v>0.39</v>
      </c>
      <c r="G462" s="53">
        <v>1.5</v>
      </c>
      <c r="H462" s="53">
        <v>2.5</v>
      </c>
      <c r="I462" s="130">
        <f t="shared" ref="I462:I470" si="164">IF(AND(C462=""),"",G462*C462)</f>
        <v>0.91500000000000004</v>
      </c>
      <c r="J462" s="130">
        <f t="shared" ref="J462:J470" si="165">IF(AND(C462=""),"",H462*F462)</f>
        <v>0.97500000000000009</v>
      </c>
      <c r="K462" s="53" t="str">
        <f t="shared" si="160"/>
        <v>T2</v>
      </c>
      <c r="L462" s="130" t="str">
        <f t="shared" si="161"/>
        <v>NEGATIV EV</v>
      </c>
      <c r="M462" s="55" t="str">
        <f t="shared" si="162"/>
        <v>NEGATIV EV</v>
      </c>
      <c r="N462" s="133" t="str">
        <f>IF(AND(L462="",[1]Übersicht!L462=""),"",IF(AND(L462="NEGATIV EV",[1]Übersicht!L462="NO BET"),"NO BET",IF(AND(NOT(L462="NEGATIV EV"),L462&gt;[1]Übersicht!L462),"BET365",IF([1]Übersicht!L462="NO BET","BET365","PINNACLE"))))</f>
        <v>NO BET</v>
      </c>
      <c r="O462" s="138" t="str">
        <f>IF(OR(N462="",N462="NO BET"),"",IF(N462="PINNACLE",IF([1]Übersicht!K462="T1",[1]Übersicht!G462*[1]Übersicht!M462-[1]Übersicht!M462,[1]Übersicht!H462*[1]Übersicht!M462-[1]Übersicht!M462),IF(K462="T1",G462*M462*0.95-M462,H462*M462*0.95-M462)))</f>
        <v/>
      </c>
      <c r="P462" s="136" t="s">
        <v>88</v>
      </c>
      <c r="Q462" s="69"/>
      <c r="R462" s="52">
        <f>IF(OR(P462="",N462="NO BET"),0,IF(K462=P462,O462,IF(N462="PINNACLE",-[1]Übersicht!M462,-M462)))</f>
        <v>0</v>
      </c>
      <c r="S462" s="69"/>
      <c r="T462" s="241"/>
      <c r="U462" s="9"/>
    </row>
    <row r="463" spans="1:21" ht="15.75" customHeight="1" thickBot="1" x14ac:dyDescent="0.25">
      <c r="A463" s="257"/>
      <c r="B463" s="246"/>
      <c r="C463" s="163">
        <v>0.5</v>
      </c>
      <c r="D463" s="7" t="s">
        <v>45</v>
      </c>
      <c r="E463" s="7" t="s">
        <v>44</v>
      </c>
      <c r="F463" s="7">
        <f t="shared" si="163"/>
        <v>0.5</v>
      </c>
      <c r="G463" s="7">
        <v>1.66</v>
      </c>
      <c r="H463" s="7">
        <v>2.1</v>
      </c>
      <c r="I463" s="131">
        <f t="shared" si="164"/>
        <v>0.83</v>
      </c>
      <c r="J463" s="131">
        <f t="shared" si="165"/>
        <v>1.05</v>
      </c>
      <c r="K463" s="7" t="str">
        <f t="shared" si="160"/>
        <v>T2</v>
      </c>
      <c r="L463" s="131" t="str">
        <f t="shared" si="161"/>
        <v>NEGATIV EV</v>
      </c>
      <c r="M463" s="59" t="str">
        <f t="shared" si="162"/>
        <v>NEGATIV EV</v>
      </c>
      <c r="N463" s="133" t="str">
        <f>IF(AND(L463="",[1]Übersicht!L463=""),"",IF(AND(L463="NEGATIV EV",[1]Übersicht!L463="NO BET"),"NO BET",IF(AND(NOT(L463="NEGATIV EV"),L463&gt;[1]Übersicht!L463),"BET365",IF([1]Übersicht!L463="NO BET","BET365","PINNACLE"))))</f>
        <v>NO BET</v>
      </c>
      <c r="O463" s="140" t="str">
        <f>IF(OR(N463="",N463="NO BET"),"",IF(N463="PINNACLE",IF([1]Übersicht!K463="T1",[1]Übersicht!G463*[1]Übersicht!M463-[1]Übersicht!M463,[1]Übersicht!H463*[1]Übersicht!M463-[1]Übersicht!M463),IF(K463="T1",G463*M463*0.95-M463,H463*M463*0.95-M463)))</f>
        <v/>
      </c>
      <c r="P463" s="136" t="s">
        <v>88</v>
      </c>
      <c r="Q463" s="69"/>
      <c r="R463" s="52">
        <f>IF(OR(P463="",N463="NO BET"),0,IF(K463=P463,O463,IF(N463="PINNACLE",-[1]Übersicht!M463,-M463)))</f>
        <v>0</v>
      </c>
      <c r="S463" s="69"/>
      <c r="T463" s="241"/>
      <c r="U463" s="9"/>
    </row>
    <row r="464" spans="1:21" ht="15.75" customHeight="1" thickBot="1" x14ac:dyDescent="0.25">
      <c r="A464" s="257"/>
      <c r="B464" s="246"/>
      <c r="C464" s="162">
        <v>0.4</v>
      </c>
      <c r="D464" s="53" t="s">
        <v>47</v>
      </c>
      <c r="E464" s="53" t="s">
        <v>49</v>
      </c>
      <c r="F464" s="53">
        <f t="shared" si="163"/>
        <v>0.6</v>
      </c>
      <c r="G464" s="53">
        <v>3.25</v>
      </c>
      <c r="H464" s="53">
        <v>1.33</v>
      </c>
      <c r="I464" s="130">
        <f t="shared" si="164"/>
        <v>1.3</v>
      </c>
      <c r="J464" s="130">
        <f t="shared" si="165"/>
        <v>0.79800000000000004</v>
      </c>
      <c r="K464" s="53" t="str">
        <f t="shared" si="160"/>
        <v>T1</v>
      </c>
      <c r="L464" s="130">
        <f t="shared" si="161"/>
        <v>0.23499999999999988</v>
      </c>
      <c r="M464" s="55">
        <f t="shared" si="162"/>
        <v>56.25</v>
      </c>
      <c r="N464" s="133" t="str">
        <f>IF(AND(L464="",[1]Übersicht!L464=""),"",IF(AND(L464="NEGATIV EV",[1]Übersicht!L464="NO BET"),"NO BET",IF(AND(NOT(L464="NEGATIV EV"),L464&gt;[1]Übersicht!L464),"BET365",IF([1]Übersicht!L464="NO BET","BET365","PINNACLE"))))</f>
        <v>PINNACLE</v>
      </c>
      <c r="O464" s="138">
        <f>IF(OR(N464="",N464="NO BET"),"",IF(N464="PINNACLE",IF([1]Übersicht!K464="T1",[1]Übersicht!G464*[1]Übersicht!M464-[1]Übersicht!M464,[1]Übersicht!H464*[1]Übersicht!M464-[1]Übersicht!M464),IF(K464="T1",G464*M464*0.95-M464,H464*M464*0.95-M464)))</f>
        <v>126.5625</v>
      </c>
      <c r="P464" s="136" t="s">
        <v>40</v>
      </c>
      <c r="Q464" s="69"/>
      <c r="R464" s="52">
        <f>IF(OR(P464="",N464="NO BET"),0,IF(K464=P464,O464,IF(N464="PINNACLE",-[1]Übersicht!M464,-M464)))</f>
        <v>-56.25</v>
      </c>
      <c r="S464" s="69"/>
      <c r="T464" s="241"/>
      <c r="U464" s="9"/>
    </row>
    <row r="465" spans="1:21" ht="15.75" customHeight="1" thickBot="1" x14ac:dyDescent="0.25">
      <c r="A465" s="257"/>
      <c r="B465" s="246"/>
      <c r="C465" s="163">
        <v>0.61</v>
      </c>
      <c r="D465" s="7" t="s">
        <v>64</v>
      </c>
      <c r="E465" s="7" t="s">
        <v>47</v>
      </c>
      <c r="F465" s="7">
        <f t="shared" si="163"/>
        <v>0.39</v>
      </c>
      <c r="G465" s="7">
        <v>1.25</v>
      </c>
      <c r="H465" s="7">
        <v>3.75</v>
      </c>
      <c r="I465" s="131">
        <f t="shared" si="164"/>
        <v>0.76249999999999996</v>
      </c>
      <c r="J465" s="131">
        <f t="shared" si="165"/>
        <v>1.4625000000000001</v>
      </c>
      <c r="K465" s="7" t="str">
        <f t="shared" si="160"/>
        <v>T2</v>
      </c>
      <c r="L465" s="131">
        <f t="shared" si="161"/>
        <v>0.38937500000000003</v>
      </c>
      <c r="M465" s="60">
        <f t="shared" si="162"/>
        <v>56.25</v>
      </c>
      <c r="N465" s="133" t="str">
        <f>IF(AND(L465="",[1]Übersicht!L465=""),"",IF(AND(L465="NEGATIV EV",[1]Übersicht!L465="NO BET"),"NO BET",IF(AND(NOT(L465="NEGATIV EV"),L465&gt;[1]Übersicht!L465),"BET365",IF([1]Übersicht!L465="NO BET","BET365","PINNACLE"))))</f>
        <v>BET365</v>
      </c>
      <c r="O465" s="140">
        <f>IF(OR(N465="",N465="NO BET"),"",IF(N465="PINNACLE",IF([1]Übersicht!K465="T1",[1]Übersicht!G465*[1]Übersicht!M465-[1]Übersicht!M465,[1]Übersicht!H465*[1]Übersicht!M465-[1]Übersicht!M465),IF(K465="T1",G465*M465*0.95-M465,H465*M465*0.95-M465)))</f>
        <v>144.140625</v>
      </c>
      <c r="P465" s="136" t="s">
        <v>88</v>
      </c>
      <c r="Q465" s="69"/>
      <c r="R465" s="52">
        <f>IF(OR(P465="",N465="NO BET"),0,IF(K465=P465,O465,IF(N465="PINNACLE",-[1]Übersicht!M465,-M465)))</f>
        <v>-56.25</v>
      </c>
      <c r="S465" s="69"/>
      <c r="T465" s="241"/>
      <c r="U465" s="9"/>
    </row>
    <row r="466" spans="1:21" ht="15.75" customHeight="1" thickBot="1" x14ac:dyDescent="0.25">
      <c r="A466" s="257"/>
      <c r="B466" s="246"/>
      <c r="C466" s="162">
        <v>0.45</v>
      </c>
      <c r="D466" s="53" t="s">
        <v>51</v>
      </c>
      <c r="E466" s="53" t="s">
        <v>58</v>
      </c>
      <c r="F466" s="53">
        <f t="shared" si="163"/>
        <v>0.55000000000000004</v>
      </c>
      <c r="G466" s="53">
        <v>1.83</v>
      </c>
      <c r="H466" s="53">
        <v>1.83</v>
      </c>
      <c r="I466" s="130">
        <f t="shared" si="164"/>
        <v>0.82350000000000001</v>
      </c>
      <c r="J466" s="130">
        <f t="shared" si="165"/>
        <v>1.0065000000000002</v>
      </c>
      <c r="K466" s="53" t="str">
        <f t="shared" si="160"/>
        <v>T2</v>
      </c>
      <c r="L466" s="130" t="str">
        <f>IF(AND(K466=""),"",IF(AND((J466*0.95-1)&lt;0,(I466*0.95-1)&lt;0),"NEGATIV EV", IF(AND(K466="T1"),I466*0.95 - 1,J466*0.95 - 1)))</f>
        <v>NEGATIV EV</v>
      </c>
      <c r="M466" s="55" t="str">
        <f>IF(L466="","",IF(L466&lt;0.5,K$2*M$2,IF(L466&lt;0.75,K$2*M$3,IF(L466&lt;1,K$2*M$4,IF(L466&lt;1.25,K$2*M$5,IF(L466&lt;1.5,K$2*M$6,IF(L466&lt;2,K$2*M$7,IF(L466&lt;2.5,K$2*M$8,IF(L466="NEGATIV EV","NEGATIV EV",K$2*M$9)))))))))</f>
        <v>NEGATIV EV</v>
      </c>
      <c r="N466" s="133" t="str">
        <f>IF(AND(L466="",[1]Übersicht!L466=""),"",IF(AND(L466="NEGATIV EV",[1]Übersicht!L466="NO BET"),"NO BET",IF(AND(NOT(L466="NEGATIV EV"),L466&gt;[1]Übersicht!L466),"BET365",IF([1]Übersicht!L466="NO BET","BET365","PINNACLE"))))</f>
        <v>NO BET</v>
      </c>
      <c r="O466" s="138" t="str">
        <f>IF(OR(N466="",N466="NO BET"),"",IF(N466="PINNACLE",IF([1]Übersicht!K466="T1",[1]Übersicht!G466*[1]Übersicht!M466-[1]Übersicht!M466,[1]Übersicht!H466*[1]Übersicht!M466-[1]Übersicht!M466),IF(K466="T1",G466*M466*0.95-M466,H466*M466*0.95-M466)))</f>
        <v/>
      </c>
      <c r="P466" s="136" t="s">
        <v>40</v>
      </c>
      <c r="Q466" s="69"/>
      <c r="R466" s="52">
        <f>IF(OR(P466="",N466="NO BET"),0,IF(K466=P466,O466,IF(N466="PINNACLE",-[1]Übersicht!M466,-M466)))</f>
        <v>0</v>
      </c>
      <c r="S466" s="69"/>
      <c r="T466" s="241"/>
      <c r="U466" s="9"/>
    </row>
    <row r="467" spans="1:21" ht="16.5" thickBot="1" x14ac:dyDescent="0.25">
      <c r="A467" s="257"/>
      <c r="B467" s="246"/>
      <c r="C467" s="163">
        <v>0.6</v>
      </c>
      <c r="D467" s="7" t="s">
        <v>63</v>
      </c>
      <c r="E467" s="7" t="s">
        <v>51</v>
      </c>
      <c r="F467" s="7">
        <f t="shared" si="163"/>
        <v>0.4</v>
      </c>
      <c r="G467" s="7">
        <v>1.2</v>
      </c>
      <c r="H467" s="7">
        <v>4.33</v>
      </c>
      <c r="I467" s="131">
        <f t="shared" si="164"/>
        <v>0.72</v>
      </c>
      <c r="J467" s="131">
        <f t="shared" si="165"/>
        <v>1.7320000000000002</v>
      </c>
      <c r="K467" s="7" t="str">
        <f t="shared" si="160"/>
        <v>T2</v>
      </c>
      <c r="L467" s="131">
        <f t="shared" ref="L467:L470" si="166">IF(AND(K467=""),"",IF(AND((J467*0.95-1)&lt;0,(I467*0.95-1)&lt;0),"NEGATIV EV", IF(AND(K467="T1"),I467*0.95 - 1,J467*0.95 - 1)))</f>
        <v>0.6454000000000002</v>
      </c>
      <c r="M467" s="59">
        <f t="shared" ref="M467:M470" si="167">IF(L467="","",IF(L467&lt;0.5,K$2*M$2,IF(L467&lt;0.75,K$2*M$3,IF(L467&lt;1,K$2*M$4,IF(L467&lt;1.25,K$2*M$5,IF(L467&lt;1.5,K$2*M$6,IF(L467&lt;2,K$2*M$7,IF(L467&lt;2.5,K$2*M$8,IF(L467="NEGATIV EV","NEGATIV EV",K$2*M$9)))))))))</f>
        <v>75</v>
      </c>
      <c r="N467" s="133" t="str">
        <f>IF(AND(L467="",[1]Übersicht!L467=""),"",IF(AND(L467="NEGATIV EV",[1]Übersicht!L467="NO BET"),"NO BET",IF(AND(NOT(L467="NEGATIV EV"),L467&gt;[1]Übersicht!L467),"BET365",IF([1]Übersicht!L467="NO BET","BET365","PINNACLE"))))</f>
        <v>BET365</v>
      </c>
      <c r="O467" s="140">
        <f>IF(OR(N467="",N467="NO BET"),"",IF(N467="PINNACLE",IF([1]Übersicht!K467="T1",[1]Übersicht!G467*[1]Übersicht!M467-[1]Übersicht!M467,[1]Übersicht!H467*[1]Übersicht!M467-[1]Übersicht!M467),IF(K467="T1",G467*M467*0.95-M467,H467*M467*0.95-M467)))</f>
        <v>233.51249999999999</v>
      </c>
      <c r="P467" s="56" t="s">
        <v>40</v>
      </c>
      <c r="Q467" s="69"/>
      <c r="R467" s="52">
        <f>IF(OR(P467="",N467="NO BET"),0,IF(K467=P467,O467,IF(N467="PINNACLE",-[1]Übersicht!M467,-M467)))</f>
        <v>233.51249999999999</v>
      </c>
      <c r="S467" s="69"/>
      <c r="T467" s="61" t="s">
        <v>31</v>
      </c>
      <c r="U467" s="9"/>
    </row>
    <row r="468" spans="1:21" ht="15.75" thickBot="1" x14ac:dyDescent="0.25">
      <c r="A468" s="257"/>
      <c r="B468" s="246"/>
      <c r="C468" s="162">
        <v>0.47</v>
      </c>
      <c r="D468" s="53" t="s">
        <v>46</v>
      </c>
      <c r="E468" s="53">
        <v>100</v>
      </c>
      <c r="F468" s="53">
        <f t="shared" si="163"/>
        <v>0.53</v>
      </c>
      <c r="G468" s="53">
        <v>2.1</v>
      </c>
      <c r="H468" s="53">
        <v>1.66</v>
      </c>
      <c r="I468" s="130">
        <f t="shared" si="164"/>
        <v>0.98699999999999999</v>
      </c>
      <c r="J468" s="130">
        <f t="shared" si="165"/>
        <v>0.87980000000000003</v>
      </c>
      <c r="K468" s="53" t="str">
        <f t="shared" si="160"/>
        <v>T1</v>
      </c>
      <c r="L468" s="130" t="str">
        <f t="shared" si="166"/>
        <v>NEGATIV EV</v>
      </c>
      <c r="M468" s="62" t="str">
        <f t="shared" si="167"/>
        <v>NEGATIV EV</v>
      </c>
      <c r="N468" s="133" t="str">
        <f>IF(AND(L468="",[1]Übersicht!L468=""),"",IF(AND(L468="NEGATIV EV",[1]Übersicht!L468="NO BET"),"NO BET",IF(AND(NOT(L468="NEGATIV EV"),L468&gt;[1]Übersicht!L468),"BET365",IF([1]Übersicht!L468="NO BET","BET365","PINNACLE"))))</f>
        <v>PINNACLE</v>
      </c>
      <c r="O468" s="138">
        <f>IF(OR(N468="",N468="NO BET"),"",IF(N468="PINNACLE",IF([1]Übersicht!K468="T1",[1]Übersicht!G468*[1]Übersicht!M468-[1]Übersicht!M468,[1]Übersicht!H468*[1]Übersicht!M468-[1]Übersicht!M468),IF(K468="T1",G468*M468*0.95-M468,H468*M468*0.95-M468)))</f>
        <v>79.3125</v>
      </c>
      <c r="P468" s="136" t="s">
        <v>88</v>
      </c>
      <c r="Q468" s="69"/>
      <c r="R468" s="52">
        <f>IF(OR(P468="",N468="NO BET"),0,IF(K468=P468,O468,IF(N468="PINNACLE",-[1]Übersicht!M468,-M468)))</f>
        <v>79.3125</v>
      </c>
      <c r="S468" s="69"/>
      <c r="T468" s="248" t="e">
        <f>IF(AND(NOT(N461=0)),T461/N461,0)</f>
        <v>#VALUE!</v>
      </c>
      <c r="U468" s="9"/>
    </row>
    <row r="469" spans="1:21" ht="15.75" thickBot="1" x14ac:dyDescent="0.25">
      <c r="A469" s="257"/>
      <c r="B469" s="246"/>
      <c r="C469" s="163">
        <v>0.5</v>
      </c>
      <c r="D469" s="7" t="s">
        <v>45</v>
      </c>
      <c r="E469" s="7" t="s">
        <v>49</v>
      </c>
      <c r="F469" s="7">
        <f t="shared" si="163"/>
        <v>0.5</v>
      </c>
      <c r="G469" s="7">
        <v>2.25</v>
      </c>
      <c r="H469" s="7">
        <v>1.57</v>
      </c>
      <c r="I469" s="131">
        <f t="shared" si="164"/>
        <v>1.125</v>
      </c>
      <c r="J469" s="131">
        <f t="shared" si="165"/>
        <v>0.78500000000000003</v>
      </c>
      <c r="K469" s="7" t="str">
        <f t="shared" si="160"/>
        <v>T1</v>
      </c>
      <c r="L469" s="131">
        <f t="shared" si="166"/>
        <v>6.8749999999999867E-2</v>
      </c>
      <c r="M469" s="60">
        <f t="shared" si="167"/>
        <v>56.25</v>
      </c>
      <c r="N469" s="133" t="str">
        <f>IF(AND(L469="",[1]Übersicht!L469=""),"",IF(AND(L469="NEGATIV EV",[1]Übersicht!L469="NO BET"),"NO BET",IF(AND(NOT(L469="NEGATIV EV"),L469&gt;[1]Übersicht!L469),"BET365",IF([1]Übersicht!L469="NO BET","BET365","PINNACLE"))))</f>
        <v>PINNACLE</v>
      </c>
      <c r="O469" s="139">
        <f>IF(OR(N469="",N469="NO BET"),"",IF(N469="PINNACLE",IF([1]Übersicht!K469="T1",[1]Übersicht!G469*[1]Übersicht!M469-[1]Übersicht!M469,[1]Übersicht!H469*[1]Übersicht!M469-[1]Übersicht!M469),IF(K469="T1",G469*M469*0.95-M469,H469*M469*0.95-M469)))</f>
        <v>77.625</v>
      </c>
      <c r="P469" s="136" t="s">
        <v>40</v>
      </c>
      <c r="Q469" s="69"/>
      <c r="R469" s="52">
        <f>IF(OR(P469="",N469="NO BET"),0,IF(K469=P469,O469,IF(N469="PINNACLE",-[1]Übersicht!M469,-M469)))</f>
        <v>-56.25</v>
      </c>
      <c r="S469" s="69"/>
      <c r="T469" s="249"/>
      <c r="U469" s="9"/>
    </row>
    <row r="470" spans="1:21" ht="15.75" thickBot="1" x14ac:dyDescent="0.25">
      <c r="A470" s="258"/>
      <c r="B470" s="247"/>
      <c r="C470" s="164">
        <v>0.51</v>
      </c>
      <c r="D470" s="63" t="s">
        <v>44</v>
      </c>
      <c r="E470" s="63" t="s">
        <v>58</v>
      </c>
      <c r="F470" s="63">
        <f t="shared" si="163"/>
        <v>0.49</v>
      </c>
      <c r="G470" s="63">
        <v>1.57</v>
      </c>
      <c r="H470" s="63">
        <v>2.25</v>
      </c>
      <c r="I470" s="132">
        <f t="shared" si="164"/>
        <v>0.80070000000000008</v>
      </c>
      <c r="J470" s="132">
        <f t="shared" si="165"/>
        <v>1.1025</v>
      </c>
      <c r="K470" s="63" t="str">
        <f t="shared" si="160"/>
        <v>T2</v>
      </c>
      <c r="L470" s="132">
        <f t="shared" si="166"/>
        <v>4.7374999999999945E-2</v>
      </c>
      <c r="M470" s="65">
        <f t="shared" si="167"/>
        <v>56.25</v>
      </c>
      <c r="N470" s="133" t="str">
        <f>IF(AND(L470="",[1]Übersicht!L470=""),"",IF(AND(L470="NEGATIV EV",[1]Übersicht!L470="NO BET"),"NO BET",IF(AND(NOT(L470="NEGATIV EV"),L470&gt;[1]Übersicht!L470),"BET365",IF([1]Übersicht!L470="NO BET","BET365","PINNACLE"))))</f>
        <v>PINNACLE</v>
      </c>
      <c r="O470" s="138">
        <f>IF(OR(N470="",N470="NO BET"),"",IF(N470="PINNACLE",IF([1]Übersicht!K470="T1",[1]Übersicht!G470*[1]Übersicht!M470-[1]Übersicht!M470,[1]Übersicht!H470*[1]Übersicht!M470-[1]Übersicht!M470),IF(K470="T1",G470*M470*0.95-M470,H470*M470*0.95-M470)))</f>
        <v>73.6875</v>
      </c>
      <c r="P470" s="66" t="s">
        <v>88</v>
      </c>
      <c r="Q470" s="9"/>
      <c r="R470" s="135">
        <f>IF(OR(P470="",N470="NO BET"),0,IF(K470=P470,O470,IF(N470="PINNACLE",-[1]Übersicht!M470,-M470)))</f>
        <v>-56.25</v>
      </c>
      <c r="S470" s="9"/>
      <c r="T470" s="250"/>
      <c r="U470" s="9"/>
    </row>
    <row r="471" spans="1:21" x14ac:dyDescent="0.2">
      <c r="A471" s="9"/>
      <c r="B471" s="9"/>
      <c r="C471" s="11"/>
      <c r="D471" s="9"/>
      <c r="E471" s="9"/>
      <c r="F471" s="9"/>
      <c r="G471" s="9"/>
      <c r="H471" s="9"/>
      <c r="I471" s="9"/>
      <c r="J471" s="9"/>
      <c r="K471" s="9"/>
      <c r="L471" s="9"/>
      <c r="M471" s="9"/>
      <c r="N471" s="9"/>
      <c r="O471" s="69"/>
      <c r="P471" s="69"/>
      <c r="Q471" s="69"/>
      <c r="R471" s="82"/>
      <c r="S471" s="69"/>
      <c r="T471" s="83"/>
      <c r="U471" s="9"/>
    </row>
    <row r="472" spans="1:21" x14ac:dyDescent="0.2">
      <c r="A472" s="9"/>
      <c r="B472" s="9"/>
      <c r="C472" s="11"/>
      <c r="D472" s="9"/>
      <c r="E472" s="9"/>
      <c r="F472" s="9"/>
      <c r="G472" s="9"/>
      <c r="H472" s="9"/>
      <c r="I472" s="9"/>
      <c r="J472" s="9"/>
      <c r="K472" s="9"/>
      <c r="L472" s="9"/>
      <c r="M472" s="9"/>
      <c r="N472" s="9"/>
      <c r="O472" s="69"/>
      <c r="P472" s="69"/>
      <c r="Q472" s="69"/>
      <c r="R472" s="82"/>
      <c r="S472" s="69"/>
      <c r="T472" s="83"/>
      <c r="U472" s="9"/>
    </row>
    <row r="473" spans="1:21" ht="15.75" thickBot="1" x14ac:dyDescent="0.25">
      <c r="A473" s="9"/>
      <c r="B473" s="9"/>
      <c r="C473" s="11"/>
      <c r="D473" s="9"/>
      <c r="E473" s="9"/>
      <c r="F473" s="9"/>
      <c r="G473" s="9"/>
      <c r="H473" s="9"/>
      <c r="I473" s="9"/>
      <c r="J473" s="9"/>
      <c r="K473" s="9"/>
      <c r="L473" s="9"/>
      <c r="M473" s="9"/>
      <c r="N473" s="9"/>
      <c r="O473" s="69"/>
      <c r="P473" s="69"/>
      <c r="Q473" s="69"/>
      <c r="R473" s="82"/>
      <c r="S473" s="69"/>
      <c r="T473" s="83"/>
      <c r="U473" s="9"/>
    </row>
    <row r="474" spans="1:21" ht="22.5" customHeight="1" thickBot="1" x14ac:dyDescent="0.25">
      <c r="A474" s="79" t="s">
        <v>6</v>
      </c>
      <c r="B474" s="245" t="s">
        <v>20</v>
      </c>
      <c r="C474" s="171"/>
      <c r="D474" s="43" t="s">
        <v>9</v>
      </c>
      <c r="E474" s="43" t="s">
        <v>10</v>
      </c>
      <c r="F474" s="43" t="s">
        <v>11</v>
      </c>
      <c r="G474" s="43" t="s">
        <v>12</v>
      </c>
      <c r="H474" s="43" t="s">
        <v>13</v>
      </c>
      <c r="I474" s="43" t="s">
        <v>14</v>
      </c>
      <c r="J474" s="43" t="s">
        <v>15</v>
      </c>
      <c r="K474" s="43" t="s">
        <v>33</v>
      </c>
      <c r="L474" s="43" t="s">
        <v>16</v>
      </c>
      <c r="M474" s="43" t="s">
        <v>38</v>
      </c>
      <c r="N474" s="128" t="s">
        <v>87</v>
      </c>
      <c r="O474" s="128" t="s">
        <v>89</v>
      </c>
      <c r="P474" s="137" t="s">
        <v>18</v>
      </c>
      <c r="Q474" s="69"/>
      <c r="R474" s="134" t="s">
        <v>34</v>
      </c>
      <c r="S474" s="69"/>
      <c r="T474" s="47" t="s">
        <v>29</v>
      </c>
      <c r="U474" s="9"/>
    </row>
    <row r="475" spans="1:21" ht="15.75" customHeight="1" thickBot="1" x14ac:dyDescent="0.25">
      <c r="A475" s="80"/>
      <c r="B475" s="246"/>
      <c r="C475" s="161">
        <v>0.5</v>
      </c>
      <c r="D475" s="48" t="s">
        <v>46</v>
      </c>
      <c r="E475" s="48" t="s">
        <v>63</v>
      </c>
      <c r="F475" s="48">
        <f>IF(AND(C475=""),"",1-C475)</f>
        <v>0.5</v>
      </c>
      <c r="G475" s="48">
        <v>2.37</v>
      </c>
      <c r="H475" s="48">
        <v>1.53</v>
      </c>
      <c r="I475" s="48">
        <f>IF(AND(C475=""),"",G475*C475)</f>
        <v>1.1850000000000001</v>
      </c>
      <c r="J475" s="48">
        <f>IF(AND(C475=""),"",H475*F475)</f>
        <v>0.76500000000000001</v>
      </c>
      <c r="K475" s="48" t="str">
        <f t="shared" ref="K475:K484" si="168">IF(AND(I475=""),"",IF(AND(I475&gt;J475),"T1","T2"))</f>
        <v>T1</v>
      </c>
      <c r="L475" s="129">
        <f t="shared" ref="L475:L479" si="169">IF(AND(K475=""),"",IF(AND((J475*0.95-1)&lt;0,(I475*0.95-1)&lt;0),"NEGATIV EV", IF(AND(K475="T1"),I475*0.95 - 1,J475*0.95 - 1)))</f>
        <v>0.12575000000000003</v>
      </c>
      <c r="M475" s="50">
        <f t="shared" ref="M475:M479" si="170">IF(L475="","",IF(L475&lt;0.5,K$2*M$2,IF(L475&lt;0.75,K$2*M$3,IF(L475&lt;1,K$2*M$4,IF(L475&lt;1.25,K$2*M$5,IF(L475&lt;1.5,K$2*M$6,IF(L475&lt;2,K$2*M$7,IF(L475&lt;2.5,K$2*M$8,IF(L475="NEGATIV EV","NEGATIV EV",K$2*M$9)))))))))</f>
        <v>56.25</v>
      </c>
      <c r="N475" s="133" t="str">
        <f>IF(AND(L475="",[1]Übersicht!L475=""),"",IF(AND(L475="NEGATIV EV",[1]Übersicht!L475="NO BET"),"NO BET",IF(AND(NOT(L475="NEGATIV EV"),L475&gt;[1]Übersicht!L475),"BET365",IF([1]Übersicht!L475="NO BET","BET365","PINNACLE"))))</f>
        <v>BET365</v>
      </c>
      <c r="O475" s="140">
        <f>IF(OR(N475="",N475="NO BET"),"",IF(N475="PINNACLE",IF([1]Übersicht!K475="T1",[1]Übersicht!G475*[1]Übersicht!M475-[1]Übersicht!M475,[1]Übersicht!H475*[1]Übersicht!M475-[1]Übersicht!M475),IF(K475="T1",G475*M475*0.95-M475,H475*M475*0.95-M475)))</f>
        <v>70.396874999999994</v>
      </c>
      <c r="P475" s="136"/>
      <c r="Q475" s="70"/>
      <c r="R475" s="52">
        <f>IF(OR(P475="",N475="NO BET"),0,IF(K475=P475,O475,IF(N475="PINNACLE",-[1]Übersicht!M475,-M475)))</f>
        <v>0</v>
      </c>
      <c r="S475" s="69"/>
      <c r="T475" s="241">
        <f>SUM(R475:R484)</f>
        <v>0</v>
      </c>
      <c r="U475" s="9"/>
    </row>
    <row r="476" spans="1:21" ht="15.75" customHeight="1" thickBot="1" x14ac:dyDescent="0.25">
      <c r="A476" s="257" t="s">
        <v>7</v>
      </c>
      <c r="B476" s="246"/>
      <c r="C476" s="162">
        <v>0.57999999999999996</v>
      </c>
      <c r="D476" s="53" t="s">
        <v>64</v>
      </c>
      <c r="E476" s="53" t="s">
        <v>45</v>
      </c>
      <c r="F476" s="53">
        <f t="shared" ref="F476:F484" si="171">IF(AND(C476=""),"",1-C476)</f>
        <v>0.42000000000000004</v>
      </c>
      <c r="G476" s="53">
        <v>1.4</v>
      </c>
      <c r="H476" s="53">
        <v>2.75</v>
      </c>
      <c r="I476" s="53">
        <f t="shared" ref="I476:I484" si="172">IF(AND(C476=""),"",G476*C476)</f>
        <v>0.81199999999999994</v>
      </c>
      <c r="J476" s="53">
        <f t="shared" ref="J476:J484" si="173">IF(AND(C476=""),"",H476*F476)</f>
        <v>1.155</v>
      </c>
      <c r="K476" s="53" t="str">
        <f t="shared" si="168"/>
        <v>T2</v>
      </c>
      <c r="L476" s="130">
        <f t="shared" si="169"/>
        <v>9.7250000000000059E-2</v>
      </c>
      <c r="M476" s="55">
        <f t="shared" si="170"/>
        <v>56.25</v>
      </c>
      <c r="N476" s="133" t="str">
        <f>IF(AND(L476="",[1]Übersicht!L476=""),"",IF(AND(L476="NEGATIV EV",[1]Übersicht!L476="NO BET"),"NO BET",IF(AND(NOT(L476="NEGATIV EV"),L476&gt;[1]Übersicht!L476),"BET365",IF([1]Übersicht!L476="NO BET","BET365","PINNACLE"))))</f>
        <v>BET365</v>
      </c>
      <c r="O476" s="138">
        <f>IF(OR(N476="",N476="NO BET"),"",IF(N476="PINNACLE",IF([1]Übersicht!K476="T1",[1]Übersicht!G476*[1]Übersicht!M476-[1]Übersicht!M476,[1]Übersicht!H476*[1]Übersicht!M476-[1]Übersicht!M476),IF(K476="T1",G476*M476*0.95-M476,H476*M476*0.95-M476)))</f>
        <v>90.703125</v>
      </c>
      <c r="P476" s="136"/>
      <c r="Q476" s="69"/>
      <c r="R476" s="52">
        <f>IF(OR(P476="",N476="NO BET"),0,IF(K476=P476,O476,IF(N476="PINNACLE",-[1]Übersicht!M476,-M476)))</f>
        <v>0</v>
      </c>
      <c r="S476" s="69"/>
      <c r="T476" s="241"/>
      <c r="U476" s="9"/>
    </row>
    <row r="477" spans="1:21" ht="15.75" customHeight="1" thickBot="1" x14ac:dyDescent="0.25">
      <c r="A477" s="257"/>
      <c r="B477" s="246"/>
      <c r="C477" s="163">
        <v>0.46</v>
      </c>
      <c r="D477" s="7" t="s">
        <v>90</v>
      </c>
      <c r="E477" s="7" t="s">
        <v>49</v>
      </c>
      <c r="F477" s="7">
        <f t="shared" si="171"/>
        <v>0.54</v>
      </c>
      <c r="G477" s="7">
        <v>4</v>
      </c>
      <c r="H477" s="7">
        <v>1.22</v>
      </c>
      <c r="I477" s="7">
        <f t="shared" si="172"/>
        <v>1.84</v>
      </c>
      <c r="J477" s="7">
        <f t="shared" si="173"/>
        <v>0.65880000000000005</v>
      </c>
      <c r="K477" s="7" t="str">
        <f t="shared" si="168"/>
        <v>T1</v>
      </c>
      <c r="L477" s="131">
        <f t="shared" si="169"/>
        <v>0.748</v>
      </c>
      <c r="M477" s="59">
        <f t="shared" si="170"/>
        <v>75</v>
      </c>
      <c r="N477" s="133" t="str">
        <f>IF(AND(L477="",[1]Übersicht!L477=""),"",IF(AND(L477="NEGATIV EV",[1]Übersicht!L477="NO BET"),"NO BET",IF(AND(NOT(L477="NEGATIV EV"),L477&gt;[1]Übersicht!L477),"BET365",IF([1]Übersicht!L477="NO BET","BET365","PINNACLE"))))</f>
        <v>BET365</v>
      </c>
      <c r="O477" s="140">
        <f>IF(OR(N477="",N477="NO BET"),"",IF(N477="PINNACLE",IF([1]Übersicht!K477="T1",[1]Übersicht!G477*[1]Übersicht!M477-[1]Übersicht!M477,[1]Übersicht!H477*[1]Übersicht!M477-[1]Übersicht!M477),IF(K477="T1",G477*M477*0.95-M477,H477*M477*0.95-M477)))</f>
        <v>210</v>
      </c>
      <c r="P477" s="136"/>
      <c r="Q477" s="69"/>
      <c r="R477" s="52">
        <f>IF(OR(P477="",N477="NO BET"),0,IF(K477=P477,O477,IF(N477="PINNACLE",-[1]Übersicht!M477,-M477)))</f>
        <v>0</v>
      </c>
      <c r="S477" s="69"/>
      <c r="T477" s="241"/>
      <c r="U477" s="9"/>
    </row>
    <row r="478" spans="1:21" ht="15.75" customHeight="1" thickBot="1" x14ac:dyDescent="0.25">
      <c r="A478" s="257"/>
      <c r="B478" s="246"/>
      <c r="C478" s="162">
        <v>0.51</v>
      </c>
      <c r="D478" s="53">
        <v>100</v>
      </c>
      <c r="E478" s="53" t="s">
        <v>47</v>
      </c>
      <c r="F478" s="53">
        <f t="shared" si="171"/>
        <v>0.49</v>
      </c>
      <c r="G478" s="53">
        <v>1.44</v>
      </c>
      <c r="H478" s="53">
        <v>2.62</v>
      </c>
      <c r="I478" s="53">
        <f t="shared" si="172"/>
        <v>0.73439999999999994</v>
      </c>
      <c r="J478" s="53">
        <f t="shared" si="173"/>
        <v>1.2838000000000001</v>
      </c>
      <c r="K478" s="53" t="str">
        <f t="shared" si="168"/>
        <v>T2</v>
      </c>
      <c r="L478" s="130">
        <f t="shared" si="169"/>
        <v>0.21961000000000008</v>
      </c>
      <c r="M478" s="55">
        <f t="shared" si="170"/>
        <v>56.25</v>
      </c>
      <c r="N478" s="133" t="str">
        <f>IF(AND(L478="",[1]Übersicht!L478=""),"",IF(AND(L478="NEGATIV EV",[1]Übersicht!L478="NO BET"),"NO BET",IF(AND(NOT(L478="NEGATIV EV"),L478&gt;[1]Übersicht!L478),"BET365",IF([1]Übersicht!L478="NO BET","BET365","PINNACLE"))))</f>
        <v>BET365</v>
      </c>
      <c r="O478" s="138">
        <f>IF(OR(N478="",N478="NO BET"),"",IF(N478="PINNACLE",IF([1]Übersicht!K478="T1",[1]Übersicht!G478*[1]Übersicht!M478-[1]Übersicht!M478,[1]Übersicht!H478*[1]Übersicht!M478-[1]Übersicht!M478),IF(K478="T1",G478*M478*0.95-M478,H478*M478*0.95-M478)))</f>
        <v>83.756249999999994</v>
      </c>
      <c r="P478" s="136"/>
      <c r="Q478" s="69"/>
      <c r="R478" s="52">
        <f>IF(OR(P478="",N478="NO BET"),0,IF(K478=P478,O478,IF(N478="PINNACLE",-[1]Übersicht!M478,-M478)))</f>
        <v>0</v>
      </c>
      <c r="S478" s="69"/>
      <c r="T478" s="241"/>
      <c r="U478" s="9"/>
    </row>
    <row r="479" spans="1:21" ht="15.75" customHeight="1" thickBot="1" x14ac:dyDescent="0.25">
      <c r="A479" s="257"/>
      <c r="B479" s="246"/>
      <c r="C479" s="163">
        <v>0.43</v>
      </c>
      <c r="D479" s="7" t="s">
        <v>91</v>
      </c>
      <c r="E479" s="7" t="s">
        <v>44</v>
      </c>
      <c r="F479" s="7">
        <f t="shared" si="171"/>
        <v>0.57000000000000006</v>
      </c>
      <c r="G479" s="7">
        <v>1.57</v>
      </c>
      <c r="H479" s="7">
        <v>2.25</v>
      </c>
      <c r="I479" s="7">
        <f t="shared" si="172"/>
        <v>0.67510000000000003</v>
      </c>
      <c r="J479" s="7">
        <f t="shared" si="173"/>
        <v>1.2825000000000002</v>
      </c>
      <c r="K479" s="7" t="str">
        <f t="shared" si="168"/>
        <v>T2</v>
      </c>
      <c r="L479" s="131">
        <f t="shared" si="169"/>
        <v>0.21837500000000021</v>
      </c>
      <c r="M479" s="60">
        <f t="shared" si="170"/>
        <v>56.25</v>
      </c>
      <c r="N479" s="133" t="str">
        <f>IF(AND(L479="",[1]Übersicht!L479=""),"",IF(AND(L479="NEGATIV EV",[1]Übersicht!L479="NO BET"),"NO BET",IF(AND(NOT(L479="NEGATIV EV"),L479&gt;[1]Übersicht!L479),"BET365",IF([1]Übersicht!L479="NO BET","BET365","PINNACLE"))))</f>
        <v>BET365</v>
      </c>
      <c r="O479" s="140">
        <f>IF(OR(N479="",N479="NO BET"),"",IF(N479="PINNACLE",IF([1]Übersicht!K479="T1",[1]Übersicht!G479*[1]Übersicht!M479-[1]Übersicht!M479,[1]Übersicht!H479*[1]Übersicht!M479-[1]Übersicht!M479),IF(K479="T1",G479*M479*0.95-M479,H479*M479*0.95-M479)))</f>
        <v>63.984375</v>
      </c>
      <c r="P479" s="136"/>
      <c r="Q479" s="69"/>
      <c r="R479" s="52">
        <f>IF(OR(P479="",N479="NO BET"),0,IF(K479=P479,O479,IF(N479="PINNACLE",-[1]Übersicht!M479,-M479)))</f>
        <v>0</v>
      </c>
      <c r="S479" s="69"/>
      <c r="T479" s="241"/>
      <c r="U479" s="9"/>
    </row>
    <row r="480" spans="1:21" ht="15.75" customHeight="1" thickBot="1" x14ac:dyDescent="0.25">
      <c r="A480" s="257"/>
      <c r="B480" s="246"/>
      <c r="C480" s="162">
        <v>0.53</v>
      </c>
      <c r="D480" s="53" t="s">
        <v>47</v>
      </c>
      <c r="E480" s="53" t="s">
        <v>90</v>
      </c>
      <c r="F480" s="53">
        <f t="shared" si="171"/>
        <v>0.47</v>
      </c>
      <c r="G480" s="53">
        <v>2</v>
      </c>
      <c r="H480" s="53">
        <v>1.72</v>
      </c>
      <c r="I480" s="53">
        <f t="shared" si="172"/>
        <v>1.06</v>
      </c>
      <c r="J480" s="53">
        <f t="shared" si="173"/>
        <v>0.8083999999999999</v>
      </c>
      <c r="K480" s="53" t="str">
        <f t="shared" si="168"/>
        <v>T1</v>
      </c>
      <c r="L480" s="130">
        <f>IF(AND(K480=""),"",IF(AND((J480*0.95-1)&lt;0,(I480*0.95-1)&lt;0),"NEGATIV EV", IF(AND(K480="T1"),I480*0.95 - 1,J480*0.95 - 1)))</f>
        <v>6.9999999999998952E-3</v>
      </c>
      <c r="M480" s="55">
        <f>IF(L480="","",IF(L480&lt;0.5,K$2*M$2,IF(L480&lt;0.75,K$2*M$3,IF(L480&lt;1,K$2*M$4,IF(L480&lt;1.25,K$2*M$5,IF(L480&lt;1.5,K$2*M$6,IF(L480&lt;2,K$2*M$7,IF(L480&lt;2.5,K$2*M$8,IF(L480="NEGATIV EV","NEGATIV EV",K$2*M$9)))))))))</f>
        <v>56.25</v>
      </c>
      <c r="N480" s="133" t="str">
        <f>IF(AND(L480="",[1]Übersicht!L480=""),"",IF(AND(L480="NEGATIV EV",[1]Übersicht!L480="NO BET"),"NO BET",IF(AND(NOT(L480="NEGATIV EV"),L480&gt;[1]Übersicht!L480),"BET365",IF([1]Übersicht!L480="NO BET","BET365","PINNACLE"))))</f>
        <v>BET365</v>
      </c>
      <c r="O480" s="138">
        <f>IF(OR(N480="",N480="NO BET"),"",IF(N480="PINNACLE",IF([1]Übersicht!K480="T1",[1]Übersicht!G480*[1]Übersicht!M480-[1]Übersicht!M480,[1]Übersicht!H480*[1]Übersicht!M480-[1]Übersicht!M480),IF(K480="T1",G480*M480*0.95-M480,H480*M480*0.95-M480)))</f>
        <v>50.625</v>
      </c>
      <c r="P480" s="136"/>
      <c r="Q480" s="69"/>
      <c r="R480" s="52">
        <f>IF(OR(P480="",N480="NO BET"),0,IF(K480=P480,O480,IF(N480="PINNACLE",-[1]Übersicht!M480,-M480)))</f>
        <v>0</v>
      </c>
      <c r="S480" s="69"/>
      <c r="T480" s="241"/>
      <c r="U480" s="9"/>
    </row>
    <row r="481" spans="1:21" ht="16.5" thickBot="1" x14ac:dyDescent="0.25">
      <c r="A481" s="257"/>
      <c r="B481" s="246"/>
      <c r="C481" s="163">
        <v>0.57999999999999996</v>
      </c>
      <c r="D481" s="7" t="s">
        <v>44</v>
      </c>
      <c r="E481" s="7">
        <v>100</v>
      </c>
      <c r="F481" s="7">
        <f t="shared" si="171"/>
        <v>0.42000000000000004</v>
      </c>
      <c r="G481" s="7">
        <v>1.9</v>
      </c>
      <c r="H481" s="7">
        <v>1.8</v>
      </c>
      <c r="I481" s="7">
        <f t="shared" si="172"/>
        <v>1.1019999999999999</v>
      </c>
      <c r="J481" s="7">
        <f t="shared" si="173"/>
        <v>0.75600000000000012</v>
      </c>
      <c r="K481" s="7" t="str">
        <f t="shared" si="168"/>
        <v>T1</v>
      </c>
      <c r="L481" s="131">
        <f t="shared" ref="L481:L484" si="174">IF(AND(K481=""),"",IF(AND((J481*0.95-1)&lt;0,(I481*0.95-1)&lt;0),"NEGATIV EV", IF(AND(K481="T1"),I481*0.95 - 1,J481*0.95 - 1)))</f>
        <v>4.689999999999972E-2</v>
      </c>
      <c r="M481" s="59">
        <f t="shared" ref="M481:M484" si="175">IF(L481="","",IF(L481&lt;0.5,K$2*M$2,IF(L481&lt;0.75,K$2*M$3,IF(L481&lt;1,K$2*M$4,IF(L481&lt;1.25,K$2*M$5,IF(L481&lt;1.5,K$2*M$6,IF(L481&lt;2,K$2*M$7,IF(L481&lt;2.5,K$2*M$8,IF(L481="NEGATIV EV","NEGATIV EV",K$2*M$9)))))))))</f>
        <v>56.25</v>
      </c>
      <c r="N481" s="133" t="str">
        <f>IF(AND(L481="",[1]Übersicht!L481=""),"",IF(AND(L481="NEGATIV EV",[1]Übersicht!L481="NO BET"),"NO BET",IF(AND(NOT(L481="NEGATIV EV"),L481&gt;[1]Übersicht!L481),"BET365",IF([1]Übersicht!L481="NO BET","BET365","PINNACLE"))))</f>
        <v>BET365</v>
      </c>
      <c r="O481" s="140">
        <f>IF(OR(N481="",N481="NO BET"),"",IF(N481="PINNACLE",IF([1]Übersicht!K481="T1",[1]Übersicht!G481*[1]Übersicht!M481-[1]Übersicht!M481,[1]Übersicht!H481*[1]Übersicht!M481-[1]Übersicht!M481),IF(K481="T1",G481*M481*0.95-M481,H481*M481*0.95-M481)))</f>
        <v>45.28125</v>
      </c>
      <c r="P481" s="56"/>
      <c r="Q481" s="69"/>
      <c r="R481" s="52">
        <f>IF(OR(P481="",N481="NO BET"),0,IF(K481=P481,O481,IF(N481="PINNACLE",-[1]Übersicht!M481,-M481)))</f>
        <v>0</v>
      </c>
      <c r="S481" s="69"/>
      <c r="T481" s="61" t="s">
        <v>31</v>
      </c>
      <c r="U481" s="9"/>
    </row>
    <row r="482" spans="1:21" ht="16.5" customHeight="1" thickBot="1" x14ac:dyDescent="0.25">
      <c r="A482" s="257"/>
      <c r="B482" s="246"/>
      <c r="C482" s="162">
        <v>0.49</v>
      </c>
      <c r="D482" s="53" t="s">
        <v>63</v>
      </c>
      <c r="E482" s="53" t="s">
        <v>64</v>
      </c>
      <c r="F482" s="53">
        <f t="shared" si="171"/>
        <v>0.51</v>
      </c>
      <c r="G482" s="53">
        <v>1.33</v>
      </c>
      <c r="H482" s="53">
        <v>3.25</v>
      </c>
      <c r="I482" s="53">
        <f t="shared" si="172"/>
        <v>0.65170000000000006</v>
      </c>
      <c r="J482" s="53">
        <f t="shared" si="173"/>
        <v>1.6575</v>
      </c>
      <c r="K482" s="53" t="str">
        <f t="shared" si="168"/>
        <v>T2</v>
      </c>
      <c r="L482" s="130">
        <f t="shared" si="174"/>
        <v>0.57462499999999994</v>
      </c>
      <c r="M482" s="62">
        <f t="shared" si="175"/>
        <v>75</v>
      </c>
      <c r="N482" s="133" t="str">
        <f>IF(AND(L482="",[1]Übersicht!L482=""),"",IF(AND(L482="NEGATIV EV",[1]Übersicht!L482="NO BET"),"NO BET",IF(AND(NOT(L482="NEGATIV EV"),L482&gt;[1]Übersicht!L482),"BET365",IF([1]Übersicht!L482="NO BET","BET365","PINNACLE"))))</f>
        <v>BET365</v>
      </c>
      <c r="O482" s="138">
        <f>IF(OR(N482="",N482="NO BET"),"",IF(N482="PINNACLE",IF([1]Übersicht!K482="T1",[1]Übersicht!G482*[1]Übersicht!M482-[1]Übersicht!M482,[1]Übersicht!H482*[1]Übersicht!M482-[1]Übersicht!M482),IF(K482="T1",G482*M482*0.95-M482,H482*M482*0.95-M482)))</f>
        <v>156.5625</v>
      </c>
      <c r="P482" s="136"/>
      <c r="Q482" s="69"/>
      <c r="R482" s="52">
        <f>IF(OR(P482="",N482="NO BET"),0,IF(K482=P482,O482,IF(N482="PINNACLE",-[1]Übersicht!M482,-M482)))</f>
        <v>0</v>
      </c>
      <c r="S482" s="69"/>
      <c r="T482" s="248" t="e">
        <f>IF(AND(NOT(N475=0)),T475/N475,0)</f>
        <v>#VALUE!</v>
      </c>
      <c r="U482" s="9"/>
    </row>
    <row r="483" spans="1:21" ht="15.75" customHeight="1" thickBot="1" x14ac:dyDescent="0.25">
      <c r="A483" s="257"/>
      <c r="B483" s="246"/>
      <c r="C483" s="163">
        <v>0.49</v>
      </c>
      <c r="D483" s="7" t="s">
        <v>45</v>
      </c>
      <c r="E483" s="7" t="s">
        <v>46</v>
      </c>
      <c r="F483" s="7">
        <f t="shared" si="171"/>
        <v>0.51</v>
      </c>
      <c r="G483" s="7"/>
      <c r="H483" s="7"/>
      <c r="I483" s="7">
        <f t="shared" si="172"/>
        <v>0</v>
      </c>
      <c r="J483" s="7">
        <f t="shared" si="173"/>
        <v>0</v>
      </c>
      <c r="K483" s="7" t="str">
        <f t="shared" si="168"/>
        <v>T2</v>
      </c>
      <c r="L483" s="131" t="str">
        <f t="shared" si="174"/>
        <v>NEGATIV EV</v>
      </c>
      <c r="M483" s="60" t="str">
        <f t="shared" si="175"/>
        <v>NEGATIV EV</v>
      </c>
      <c r="N483" s="133" t="str">
        <f>IF(AND(L483="",[1]Übersicht!L483=""),"",IF(AND(L483="NEGATIV EV",[1]Übersicht!L483="NO BET"),"NO BET",IF(AND(NOT(L483="NEGATIV EV"),L483&gt;[1]Übersicht!L483),"BET365",IF([1]Übersicht!L483="NO BET","BET365","PINNACLE"))))</f>
        <v>NO BET</v>
      </c>
      <c r="O483" s="139" t="str">
        <f>IF(OR(N483="",N483="NO BET"),"",IF(N483="PINNACLE",IF([1]Übersicht!K483="T1",[1]Übersicht!G483*[1]Übersicht!M483-[1]Übersicht!M483,[1]Übersicht!H483*[1]Übersicht!M483-[1]Übersicht!M483),IF(K483="T1",G483*M483*0.95-M483,H483*M483*0.95-M483)))</f>
        <v/>
      </c>
      <c r="P483" s="136"/>
      <c r="Q483" s="69"/>
      <c r="R483" s="52">
        <f>IF(OR(P483="",N483="NO BET"),0,IF(K483=P483,O483,IF(N483="PINNACLE",-[1]Übersicht!M483,-M483)))</f>
        <v>0</v>
      </c>
      <c r="S483" s="69"/>
      <c r="T483" s="249"/>
      <c r="U483" s="9"/>
    </row>
    <row r="484" spans="1:21" ht="15.75" customHeight="1" thickBot="1" x14ac:dyDescent="0.25">
      <c r="A484" s="258"/>
      <c r="B484" s="247"/>
      <c r="C484" s="164">
        <v>0.59</v>
      </c>
      <c r="D484" s="63" t="s">
        <v>49</v>
      </c>
      <c r="E484" s="63" t="s">
        <v>51</v>
      </c>
      <c r="F484" s="63">
        <f t="shared" si="171"/>
        <v>0.41000000000000003</v>
      </c>
      <c r="G484" s="63"/>
      <c r="H484" s="63"/>
      <c r="I484" s="63">
        <f t="shared" si="172"/>
        <v>0</v>
      </c>
      <c r="J484" s="63">
        <f t="shared" si="173"/>
        <v>0</v>
      </c>
      <c r="K484" s="63" t="str">
        <f t="shared" si="168"/>
        <v>T2</v>
      </c>
      <c r="L484" s="132" t="str">
        <f t="shared" si="174"/>
        <v>NEGATIV EV</v>
      </c>
      <c r="M484" s="65" t="str">
        <f t="shared" si="175"/>
        <v>NEGATIV EV</v>
      </c>
      <c r="N484" s="133" t="str">
        <f>IF(AND(L484="",[1]Übersicht!L484=""),"",IF(AND(L484="NEGATIV EV",[1]Übersicht!L484="NO BET"),"NO BET",IF(AND(NOT(L484="NEGATIV EV"),L484&gt;[1]Übersicht!L484),"BET365",IF([1]Übersicht!L484="NO BET","BET365","PINNACLE"))))</f>
        <v>NO BET</v>
      </c>
      <c r="O484" s="138" t="str">
        <f>IF(OR(N484="",N484="NO BET"),"",IF(N484="PINNACLE",IF([1]Übersicht!K484="T1",[1]Übersicht!G484*[1]Übersicht!M484-[1]Übersicht!M484,[1]Übersicht!H484*[1]Übersicht!M484-[1]Übersicht!M484),IF(K484="T1",G484*M484*0.95-M484,H484*M484*0.95-M484)))</f>
        <v/>
      </c>
      <c r="P484" s="66"/>
      <c r="Q484" s="9"/>
      <c r="R484" s="135">
        <f>IF(OR(P484="",N484="NO BET"),0,IF(K484=P484,O484,IF(N484="PINNACLE",-[1]Übersicht!M484,-M484)))</f>
        <v>0</v>
      </c>
      <c r="S484" s="9"/>
      <c r="T484" s="250"/>
      <c r="U484" s="9"/>
    </row>
    <row r="485" spans="1:21" ht="15.75" customHeight="1" x14ac:dyDescent="0.2">
      <c r="A485" s="9"/>
      <c r="B485" s="9"/>
      <c r="C485" s="11"/>
      <c r="D485" s="9"/>
      <c r="E485" s="9"/>
      <c r="F485" s="9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10"/>
      <c r="S485" s="9"/>
      <c r="T485" s="11"/>
      <c r="U485" s="9"/>
    </row>
    <row r="486" spans="1:21" ht="15.75" customHeight="1" x14ac:dyDescent="0.2">
      <c r="A486" s="9"/>
      <c r="B486" s="9"/>
      <c r="C486" s="11"/>
      <c r="D486" s="9"/>
      <c r="E486" s="9"/>
      <c r="F486" s="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10"/>
      <c r="S486" s="9"/>
      <c r="T486" s="11"/>
      <c r="U486" s="9"/>
    </row>
    <row r="487" spans="1:21" ht="15.75" thickBot="1" x14ac:dyDescent="0.25">
      <c r="A487" s="9"/>
      <c r="B487" s="9"/>
      <c r="C487" s="11"/>
      <c r="D487" s="9"/>
      <c r="E487" s="9"/>
      <c r="F487" s="9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10"/>
      <c r="S487" s="9"/>
      <c r="T487" s="11"/>
      <c r="U487" s="9"/>
    </row>
    <row r="488" spans="1:21" ht="22.5" customHeight="1" thickBot="1" x14ac:dyDescent="0.25">
      <c r="A488" s="79" t="s">
        <v>6</v>
      </c>
      <c r="B488" s="245" t="s">
        <v>21</v>
      </c>
      <c r="C488" s="160"/>
      <c r="D488" s="43" t="s">
        <v>9</v>
      </c>
      <c r="E488" s="43" t="s">
        <v>10</v>
      </c>
      <c r="F488" s="43" t="s">
        <v>11</v>
      </c>
      <c r="G488" s="43" t="s">
        <v>12</v>
      </c>
      <c r="H488" s="43" t="s">
        <v>13</v>
      </c>
      <c r="I488" s="43" t="s">
        <v>14</v>
      </c>
      <c r="J488" s="43" t="s">
        <v>15</v>
      </c>
      <c r="K488" s="43" t="s">
        <v>33</v>
      </c>
      <c r="L488" s="43" t="s">
        <v>16</v>
      </c>
      <c r="M488" s="43" t="s">
        <v>38</v>
      </c>
      <c r="N488" s="128" t="s">
        <v>87</v>
      </c>
      <c r="O488" s="128" t="s">
        <v>89</v>
      </c>
      <c r="P488" s="137" t="s">
        <v>18</v>
      </c>
      <c r="Q488" s="69"/>
      <c r="R488" s="134" t="s">
        <v>34</v>
      </c>
      <c r="S488" s="69"/>
      <c r="T488" s="47" t="s">
        <v>29</v>
      </c>
      <c r="U488" s="9"/>
    </row>
    <row r="489" spans="1:21" ht="15.75" customHeight="1" thickBot="1" x14ac:dyDescent="0.25">
      <c r="A489" s="80"/>
      <c r="B489" s="246"/>
      <c r="C489" s="165"/>
      <c r="D489" s="48"/>
      <c r="E489" s="48"/>
      <c r="F489" s="48" t="str">
        <f>IF(AND(C489=""),"",1-C489)</f>
        <v/>
      </c>
      <c r="G489" s="48"/>
      <c r="H489" s="48"/>
      <c r="I489" s="48" t="str">
        <f>IF(AND(C489=""),"",G489*C489)</f>
        <v/>
      </c>
      <c r="J489" s="48" t="str">
        <f>IF(AND(C489=""),"",H489*F489)</f>
        <v/>
      </c>
      <c r="K489" s="48" t="str">
        <f t="shared" ref="K489:K498" si="176">IF(AND(I489=""),"",IF(AND(I489&gt;J489),"T1","T2"))</f>
        <v/>
      </c>
      <c r="L489" s="129" t="str">
        <f t="shared" ref="L489:L493" si="177">IF(AND(K489=""),"",IF(AND((J489*0.95-1)&lt;0,(I489*0.95-1)&lt;0),"NEGATIV EV", IF(AND(K489="T1"),I489*0.95 - 1,J489*0.95 - 1)))</f>
        <v/>
      </c>
      <c r="M489" s="50" t="str">
        <f t="shared" ref="M489:M493" si="178">IF(L489="","",IF(L489&lt;0.5,K$2*M$2,IF(L489&lt;0.75,K$2*M$3,IF(L489&lt;1,K$2*M$4,IF(L489&lt;1.25,K$2*M$5,IF(L489&lt;1.5,K$2*M$6,IF(L489&lt;2,K$2*M$7,IF(L489&lt;2.5,K$2*M$8,IF(L489="NEGATIV EV","NEGATIV EV",K$2*M$9)))))))))</f>
        <v/>
      </c>
      <c r="N489" s="133" t="str">
        <f>IF(AND(L489="",[1]Übersicht!L489=""),"",IF(AND(L489="NEGATIV EV",[1]Übersicht!L489="NO BET"),"NO BET",IF(AND(NOT(L489="NEGATIV EV"),L489&gt;[1]Übersicht!L489),"BET365",IF([1]Übersicht!L489="NO BET","BET365","PINNACLE"))))</f>
        <v>BET365</v>
      </c>
      <c r="O489" s="140" t="e">
        <f>IF(OR(N489="",N489="NO BET"),"",IF(N489="PINNACLE",IF([1]Übersicht!K489="T1",[1]Übersicht!G489*[1]Übersicht!M489-[1]Übersicht!M489,[1]Übersicht!H489*[1]Übersicht!M489-[1]Übersicht!M489),IF(K489="T1",G489*M489*0.95-M489,H489*M489*0.95-M489)))</f>
        <v>#VALUE!</v>
      </c>
      <c r="P489" s="136"/>
      <c r="Q489" s="70"/>
      <c r="R489" s="52">
        <f>IF(OR(P489="",N489="NO BET"),0,IF(K489=P489,O489,IF(N489="PINNACLE",-[1]Übersicht!M489,-M489)))</f>
        <v>0</v>
      </c>
      <c r="S489" s="69"/>
      <c r="T489" s="241">
        <f>SUM(R489:R498)</f>
        <v>0</v>
      </c>
      <c r="U489" s="9"/>
    </row>
    <row r="490" spans="1:21" ht="15.75" customHeight="1" thickBot="1" x14ac:dyDescent="0.25">
      <c r="A490" s="257" t="s">
        <v>7</v>
      </c>
      <c r="B490" s="246"/>
      <c r="C490" s="166"/>
      <c r="D490" s="53"/>
      <c r="E490" s="53"/>
      <c r="F490" s="53" t="str">
        <f t="shared" ref="F490:F498" si="179">IF(AND(C490=""),"",1-C490)</f>
        <v/>
      </c>
      <c r="G490" s="53"/>
      <c r="H490" s="53"/>
      <c r="I490" s="53" t="str">
        <f t="shared" ref="I490:I498" si="180">IF(AND(C490=""),"",G490*C490)</f>
        <v/>
      </c>
      <c r="J490" s="53" t="str">
        <f t="shared" ref="J490:J498" si="181">IF(AND(C490=""),"",H490*F490)</f>
        <v/>
      </c>
      <c r="K490" s="53" t="str">
        <f t="shared" si="176"/>
        <v/>
      </c>
      <c r="L490" s="130" t="str">
        <f t="shared" si="177"/>
        <v/>
      </c>
      <c r="M490" s="55" t="str">
        <f t="shared" si="178"/>
        <v/>
      </c>
      <c r="N490" s="133" t="str">
        <f>IF(AND(L490="",[1]Übersicht!L490=""),"",IF(AND(L490="NEGATIV EV",[1]Übersicht!L490="NO BET"),"NO BET",IF(AND(NOT(L490="NEGATIV EV"),L490&gt;[1]Übersicht!L490),"BET365",IF([1]Übersicht!L490="NO BET","BET365","PINNACLE"))))</f>
        <v>BET365</v>
      </c>
      <c r="O490" s="138" t="e">
        <f>IF(OR(N490="",N490="NO BET"),"",IF(N490="PINNACLE",IF([1]Übersicht!K490="T1",[1]Übersicht!G490*[1]Übersicht!M490-[1]Übersicht!M490,[1]Übersicht!H490*[1]Übersicht!M490-[1]Übersicht!M490),IF(K490="T1",G490*M490*0.95-M490,H490*M490*0.95-M490)))</f>
        <v>#VALUE!</v>
      </c>
      <c r="P490" s="136"/>
      <c r="Q490" s="69"/>
      <c r="R490" s="52">
        <f>IF(OR(P490="",N490="NO BET"),0,IF(K490=P490,O490,IF(N490="PINNACLE",-[1]Übersicht!M490,-M490)))</f>
        <v>0</v>
      </c>
      <c r="S490" s="69"/>
      <c r="T490" s="241"/>
      <c r="U490" s="9"/>
    </row>
    <row r="491" spans="1:21" ht="15.75" customHeight="1" thickBot="1" x14ac:dyDescent="0.25">
      <c r="A491" s="257"/>
      <c r="B491" s="246"/>
      <c r="C491" s="167"/>
      <c r="D491" s="7"/>
      <c r="E491" s="7"/>
      <c r="F491" s="7" t="str">
        <f t="shared" si="179"/>
        <v/>
      </c>
      <c r="G491" s="7"/>
      <c r="H491" s="7"/>
      <c r="I491" s="7" t="str">
        <f t="shared" si="180"/>
        <v/>
      </c>
      <c r="J491" s="7" t="str">
        <f t="shared" si="181"/>
        <v/>
      </c>
      <c r="K491" s="7" t="str">
        <f t="shared" si="176"/>
        <v/>
      </c>
      <c r="L491" s="131" t="str">
        <f t="shared" si="177"/>
        <v/>
      </c>
      <c r="M491" s="59" t="str">
        <f t="shared" si="178"/>
        <v/>
      </c>
      <c r="N491" s="133" t="str">
        <f>IF(AND(L491="",[1]Übersicht!L491=""),"",IF(AND(L491="NEGATIV EV",[1]Übersicht!L491="NO BET"),"NO BET",IF(AND(NOT(L491="NEGATIV EV"),L491&gt;[1]Übersicht!L491),"BET365",IF([1]Übersicht!L491="NO BET","BET365","PINNACLE"))))</f>
        <v>BET365</v>
      </c>
      <c r="O491" s="140" t="e">
        <f>IF(OR(N491="",N491="NO BET"),"",IF(N491="PINNACLE",IF([1]Übersicht!K491="T1",[1]Übersicht!G491*[1]Übersicht!M491-[1]Übersicht!M491,[1]Übersicht!H491*[1]Übersicht!M491-[1]Übersicht!M491),IF(K491="T1",G491*M491*0.95-M491,H491*M491*0.95-M491)))</f>
        <v>#VALUE!</v>
      </c>
      <c r="P491" s="136"/>
      <c r="Q491" s="69"/>
      <c r="R491" s="52">
        <f>IF(OR(P491="",N491="NO BET"),0,IF(K491=P491,O491,IF(N491="PINNACLE",-[1]Übersicht!M491,-M491)))</f>
        <v>0</v>
      </c>
      <c r="S491" s="69"/>
      <c r="T491" s="241"/>
      <c r="U491" s="9"/>
    </row>
    <row r="492" spans="1:21" ht="15.75" customHeight="1" thickBot="1" x14ac:dyDescent="0.25">
      <c r="A492" s="257"/>
      <c r="B492" s="246"/>
      <c r="C492" s="166"/>
      <c r="D492" s="53"/>
      <c r="E492" s="53"/>
      <c r="F492" s="53" t="str">
        <f t="shared" si="179"/>
        <v/>
      </c>
      <c r="G492" s="53"/>
      <c r="H492" s="53"/>
      <c r="I492" s="53" t="str">
        <f t="shared" si="180"/>
        <v/>
      </c>
      <c r="J492" s="53" t="str">
        <f t="shared" si="181"/>
        <v/>
      </c>
      <c r="K492" s="53" t="str">
        <f t="shared" si="176"/>
        <v/>
      </c>
      <c r="L492" s="130" t="str">
        <f t="shared" si="177"/>
        <v/>
      </c>
      <c r="M492" s="55" t="str">
        <f t="shared" si="178"/>
        <v/>
      </c>
      <c r="N492" s="133" t="str">
        <f>IF(AND(L492="",[1]Übersicht!L492=""),"",IF(AND(L492="NEGATIV EV",[1]Übersicht!L492="NO BET"),"NO BET",IF(AND(NOT(L492="NEGATIV EV"),L492&gt;[1]Übersicht!L492),"BET365",IF([1]Übersicht!L492="NO BET","BET365","PINNACLE"))))</f>
        <v>BET365</v>
      </c>
      <c r="O492" s="138" t="e">
        <f>IF(OR(N492="",N492="NO BET"),"",IF(N492="PINNACLE",IF([1]Übersicht!K492="T1",[1]Übersicht!G492*[1]Übersicht!M492-[1]Übersicht!M492,[1]Übersicht!H492*[1]Übersicht!M492-[1]Übersicht!M492),IF(K492="T1",G492*M492*0.95-M492,H492*M492*0.95-M492)))</f>
        <v>#VALUE!</v>
      </c>
      <c r="P492" s="136"/>
      <c r="Q492" s="69"/>
      <c r="R492" s="52">
        <f>IF(OR(P492="",N492="NO BET"),0,IF(K492=P492,O492,IF(N492="PINNACLE",-[1]Übersicht!M492,-M492)))</f>
        <v>0</v>
      </c>
      <c r="S492" s="69"/>
      <c r="T492" s="241"/>
      <c r="U492" s="9"/>
    </row>
    <row r="493" spans="1:21" ht="15.75" customHeight="1" thickBot="1" x14ac:dyDescent="0.25">
      <c r="A493" s="257"/>
      <c r="B493" s="246"/>
      <c r="C493" s="167"/>
      <c r="D493" s="7"/>
      <c r="E493" s="7"/>
      <c r="F493" s="7" t="str">
        <f t="shared" si="179"/>
        <v/>
      </c>
      <c r="G493" s="7"/>
      <c r="H493" s="7"/>
      <c r="I493" s="7" t="str">
        <f t="shared" si="180"/>
        <v/>
      </c>
      <c r="J493" s="7" t="str">
        <f t="shared" si="181"/>
        <v/>
      </c>
      <c r="K493" s="7" t="str">
        <f t="shared" si="176"/>
        <v/>
      </c>
      <c r="L493" s="131" t="str">
        <f t="shared" si="177"/>
        <v/>
      </c>
      <c r="M493" s="60" t="str">
        <f t="shared" si="178"/>
        <v/>
      </c>
      <c r="N493" s="133" t="str">
        <f>IF(AND(L493="",[1]Übersicht!L493=""),"",IF(AND(L493="NEGATIV EV",[1]Übersicht!L493="NO BET"),"NO BET",IF(AND(NOT(L493="NEGATIV EV"),L493&gt;[1]Übersicht!L493),"BET365",IF([1]Übersicht!L493="NO BET","BET365","PINNACLE"))))</f>
        <v>BET365</v>
      </c>
      <c r="O493" s="140" t="e">
        <f>IF(OR(N493="",N493="NO BET"),"",IF(N493="PINNACLE",IF([1]Übersicht!K493="T1",[1]Übersicht!G493*[1]Übersicht!M493-[1]Übersicht!M493,[1]Übersicht!H493*[1]Übersicht!M493-[1]Übersicht!M493),IF(K493="T1",G493*M493*0.95-M493,H493*M493*0.95-M493)))</f>
        <v>#VALUE!</v>
      </c>
      <c r="P493" s="136"/>
      <c r="Q493" s="69"/>
      <c r="R493" s="52">
        <f>IF(OR(P493="",N493="NO BET"),0,IF(K493=P493,O493,IF(N493="PINNACLE",-[1]Übersicht!M493,-M493)))</f>
        <v>0</v>
      </c>
      <c r="S493" s="69"/>
      <c r="T493" s="241"/>
      <c r="U493" s="9"/>
    </row>
    <row r="494" spans="1:21" ht="15.75" customHeight="1" thickBot="1" x14ac:dyDescent="0.25">
      <c r="A494" s="257"/>
      <c r="B494" s="246"/>
      <c r="C494" s="166"/>
      <c r="D494" s="53"/>
      <c r="E494" s="53"/>
      <c r="F494" s="53" t="str">
        <f t="shared" si="179"/>
        <v/>
      </c>
      <c r="G494" s="53"/>
      <c r="H494" s="53"/>
      <c r="I494" s="53" t="str">
        <f t="shared" si="180"/>
        <v/>
      </c>
      <c r="J494" s="53" t="str">
        <f t="shared" si="181"/>
        <v/>
      </c>
      <c r="K494" s="53" t="str">
        <f t="shared" si="176"/>
        <v/>
      </c>
      <c r="L494" s="130" t="str">
        <f>IF(AND(K494=""),"",IF(AND((J494*0.95-1)&lt;0,(I494*0.95-1)&lt;0),"NEGATIV EV", IF(AND(K494="T1"),I494*0.95 - 1,J494*0.95 - 1)))</f>
        <v/>
      </c>
      <c r="M494" s="55" t="str">
        <f>IF(L494="","",IF(L494&lt;0.5,K$2*M$2,IF(L494&lt;0.75,K$2*M$3,IF(L494&lt;1,K$2*M$4,IF(L494&lt;1.25,K$2*M$5,IF(L494&lt;1.5,K$2*M$6,IF(L494&lt;2,K$2*M$7,IF(L494&lt;2.5,K$2*M$8,IF(L494="NEGATIV EV","NEGATIV EV",K$2*M$9)))))))))</f>
        <v/>
      </c>
      <c r="N494" s="133" t="str">
        <f>IF(AND(L494="",[1]Übersicht!L494=""),"",IF(AND(L494="NEGATIV EV",[1]Übersicht!L494="NO BET"),"NO BET",IF(AND(NOT(L494="NEGATIV EV"),L494&gt;[1]Übersicht!L494),"BET365",IF([1]Übersicht!L494="NO BET","BET365","PINNACLE"))))</f>
        <v>BET365</v>
      </c>
      <c r="O494" s="138" t="e">
        <f>IF(OR(N494="",N494="NO BET"),"",IF(N494="PINNACLE",IF([1]Übersicht!K494="T1",[1]Übersicht!G494*[1]Übersicht!M494-[1]Übersicht!M494,[1]Übersicht!H494*[1]Übersicht!M494-[1]Übersicht!M494),IF(K494="T1",G494*M494*0.95-M494,H494*M494*0.95-M494)))</f>
        <v>#VALUE!</v>
      </c>
      <c r="P494" s="136"/>
      <c r="Q494" s="69"/>
      <c r="R494" s="52">
        <f>IF(OR(P494="",N494="NO BET"),0,IF(K494=P494,O494,IF(N494="PINNACLE",-[1]Übersicht!M494,-M494)))</f>
        <v>0</v>
      </c>
      <c r="S494" s="69"/>
      <c r="T494" s="241"/>
      <c r="U494" s="9"/>
    </row>
    <row r="495" spans="1:21" ht="15.75" customHeight="1" thickBot="1" x14ac:dyDescent="0.25">
      <c r="A495" s="257"/>
      <c r="B495" s="246"/>
      <c r="C495" s="167"/>
      <c r="D495" s="7"/>
      <c r="E495" s="7"/>
      <c r="F495" s="7" t="str">
        <f t="shared" si="179"/>
        <v/>
      </c>
      <c r="G495" s="7"/>
      <c r="H495" s="7"/>
      <c r="I495" s="7" t="str">
        <f t="shared" si="180"/>
        <v/>
      </c>
      <c r="J495" s="7" t="str">
        <f t="shared" si="181"/>
        <v/>
      </c>
      <c r="K495" s="7" t="str">
        <f t="shared" si="176"/>
        <v/>
      </c>
      <c r="L495" s="131" t="str">
        <f t="shared" ref="L495:L498" si="182">IF(AND(K495=""),"",IF(AND((J495*0.95-1)&lt;0,(I495*0.95-1)&lt;0),"NEGATIV EV", IF(AND(K495="T1"),I495*0.95 - 1,J495*0.95 - 1)))</f>
        <v/>
      </c>
      <c r="M495" s="59" t="str">
        <f t="shared" ref="M495:M498" si="183">IF(L495="","",IF(L495&lt;0.5,K$2*M$2,IF(L495&lt;0.75,K$2*M$3,IF(L495&lt;1,K$2*M$4,IF(L495&lt;1.25,K$2*M$5,IF(L495&lt;1.5,K$2*M$6,IF(L495&lt;2,K$2*M$7,IF(L495&lt;2.5,K$2*M$8,IF(L495="NEGATIV EV","NEGATIV EV",K$2*M$9)))))))))</f>
        <v/>
      </c>
      <c r="N495" s="133" t="str">
        <f>IF(AND(L495="",[1]Übersicht!L495=""),"",IF(AND(L495="NEGATIV EV",[1]Übersicht!L495="NO BET"),"NO BET",IF(AND(NOT(L495="NEGATIV EV"),L495&gt;[1]Übersicht!L495),"BET365",IF([1]Übersicht!L495="NO BET","BET365","PINNACLE"))))</f>
        <v>BET365</v>
      </c>
      <c r="O495" s="140" t="e">
        <f>IF(OR(N495="",N495="NO BET"),"",IF(N495="PINNACLE",IF([1]Übersicht!K495="T1",[1]Übersicht!G495*[1]Übersicht!M495-[1]Übersicht!M495,[1]Übersicht!H495*[1]Übersicht!M495-[1]Übersicht!M495),IF(K495="T1",G495*M495*0.95-M495,H495*M495*0.95-M495)))</f>
        <v>#VALUE!</v>
      </c>
      <c r="P495" s="56"/>
      <c r="Q495" s="69"/>
      <c r="R495" s="52">
        <f>IF(OR(P495="",N495="NO BET"),0,IF(K495=P495,O495,IF(N495="PINNACLE",-[1]Übersicht!M495,-M495)))</f>
        <v>0</v>
      </c>
      <c r="S495" s="69"/>
      <c r="T495" s="61" t="s">
        <v>31</v>
      </c>
      <c r="U495" s="9"/>
    </row>
    <row r="496" spans="1:21" ht="16.5" customHeight="1" thickBot="1" x14ac:dyDescent="0.25">
      <c r="A496" s="257"/>
      <c r="B496" s="246"/>
      <c r="C496" s="166"/>
      <c r="D496" s="53"/>
      <c r="E496" s="53"/>
      <c r="F496" s="53" t="str">
        <f t="shared" si="179"/>
        <v/>
      </c>
      <c r="G496" s="53"/>
      <c r="H496" s="53"/>
      <c r="I496" s="53" t="str">
        <f t="shared" si="180"/>
        <v/>
      </c>
      <c r="J496" s="53" t="str">
        <f t="shared" si="181"/>
        <v/>
      </c>
      <c r="K496" s="53" t="str">
        <f t="shared" si="176"/>
        <v/>
      </c>
      <c r="L496" s="130" t="str">
        <f t="shared" si="182"/>
        <v/>
      </c>
      <c r="M496" s="62" t="str">
        <f t="shared" si="183"/>
        <v/>
      </c>
      <c r="N496" s="133" t="str">
        <f>IF(AND(L496="",[1]Übersicht!L496=""),"",IF(AND(L496="NEGATIV EV",[1]Übersicht!L496="NO BET"),"NO BET",IF(AND(NOT(L496="NEGATIV EV"),L496&gt;[1]Übersicht!L496),"BET365",IF([1]Übersicht!L496="NO BET","BET365","PINNACLE"))))</f>
        <v>BET365</v>
      </c>
      <c r="O496" s="138" t="e">
        <f>IF(OR(N496="",N496="NO BET"),"",IF(N496="PINNACLE",IF([1]Übersicht!K496="T1",[1]Übersicht!G496*[1]Übersicht!M496-[1]Übersicht!M496,[1]Übersicht!H496*[1]Übersicht!M496-[1]Übersicht!M496),IF(K496="T1",G496*M496*0.95-M496,H496*M496*0.95-M496)))</f>
        <v>#VALUE!</v>
      </c>
      <c r="P496" s="136"/>
      <c r="Q496" s="69"/>
      <c r="R496" s="52">
        <f>IF(OR(P496="",N496="NO BET"),0,IF(K496=P496,O496,IF(N496="PINNACLE",-[1]Übersicht!M496,-M496)))</f>
        <v>0</v>
      </c>
      <c r="S496" s="69"/>
      <c r="T496" s="248" t="e">
        <f>IF(AND(NOT(N489=0)),T489/N489,0)</f>
        <v>#VALUE!</v>
      </c>
      <c r="U496" s="9"/>
    </row>
    <row r="497" spans="1:21" ht="15.75" customHeight="1" thickBot="1" x14ac:dyDescent="0.25">
      <c r="A497" s="257"/>
      <c r="B497" s="246"/>
      <c r="C497" s="167"/>
      <c r="D497" s="7"/>
      <c r="E497" s="7"/>
      <c r="F497" s="7" t="str">
        <f t="shared" si="179"/>
        <v/>
      </c>
      <c r="G497" s="7"/>
      <c r="H497" s="7"/>
      <c r="I497" s="7" t="str">
        <f t="shared" si="180"/>
        <v/>
      </c>
      <c r="J497" s="7" t="str">
        <f t="shared" si="181"/>
        <v/>
      </c>
      <c r="K497" s="7" t="str">
        <f t="shared" si="176"/>
        <v/>
      </c>
      <c r="L497" s="131" t="str">
        <f t="shared" si="182"/>
        <v/>
      </c>
      <c r="M497" s="60" t="str">
        <f t="shared" si="183"/>
        <v/>
      </c>
      <c r="N497" s="133" t="str">
        <f>IF(AND(L497="",[1]Übersicht!L497=""),"",IF(AND(L497="NEGATIV EV",[1]Übersicht!L497="NO BET"),"NO BET",IF(AND(NOT(L497="NEGATIV EV"),L497&gt;[1]Übersicht!L497),"BET365",IF([1]Übersicht!L497="NO BET","BET365","PINNACLE"))))</f>
        <v>BET365</v>
      </c>
      <c r="O497" s="139" t="e">
        <f>IF(OR(N497="",N497="NO BET"),"",IF(N497="PINNACLE",IF([1]Übersicht!K497="T1",[1]Übersicht!G497*[1]Übersicht!M497-[1]Übersicht!M497,[1]Übersicht!H497*[1]Übersicht!M497-[1]Übersicht!M497),IF(K497="T1",G497*M497*0.95-M497,H497*M497*0.95-M497)))</f>
        <v>#VALUE!</v>
      </c>
      <c r="P497" s="136"/>
      <c r="Q497" s="69"/>
      <c r="R497" s="52">
        <f>IF(OR(P497="",N497="NO BET"),0,IF(K497=P497,O497,IF(N497="PINNACLE",-[1]Übersicht!M497,-M497)))</f>
        <v>0</v>
      </c>
      <c r="S497" s="69"/>
      <c r="T497" s="249"/>
      <c r="U497" s="9"/>
    </row>
    <row r="498" spans="1:21" ht="15.75" customHeight="1" thickBot="1" x14ac:dyDescent="0.25">
      <c r="A498" s="258"/>
      <c r="B498" s="247"/>
      <c r="C498" s="168"/>
      <c r="D498" s="63"/>
      <c r="E498" s="63"/>
      <c r="F498" s="63" t="str">
        <f t="shared" si="179"/>
        <v/>
      </c>
      <c r="G498" s="63"/>
      <c r="H498" s="63"/>
      <c r="I498" s="63" t="str">
        <f t="shared" si="180"/>
        <v/>
      </c>
      <c r="J498" s="63" t="str">
        <f t="shared" si="181"/>
        <v/>
      </c>
      <c r="K498" s="63" t="str">
        <f t="shared" si="176"/>
        <v/>
      </c>
      <c r="L498" s="132" t="str">
        <f t="shared" si="182"/>
        <v/>
      </c>
      <c r="M498" s="65" t="str">
        <f t="shared" si="183"/>
        <v/>
      </c>
      <c r="N498" s="133" t="str">
        <f>IF(AND(L498="",[1]Übersicht!L498=""),"",IF(AND(L498="NEGATIV EV",[1]Übersicht!L498="NO BET"),"NO BET",IF(AND(NOT(L498="NEGATIV EV"),L498&gt;[1]Übersicht!L498),"BET365",IF([1]Übersicht!L498="NO BET","BET365","PINNACLE"))))</f>
        <v>BET365</v>
      </c>
      <c r="O498" s="138" t="e">
        <f>IF(OR(N498="",N498="NO BET"),"",IF(N498="PINNACLE",IF([1]Übersicht!K498="T1",[1]Übersicht!G498*[1]Übersicht!M498-[1]Übersicht!M498,[1]Übersicht!H498*[1]Übersicht!M498-[1]Übersicht!M498),IF(K498="T1",G498*M498*0.95-M498,H498*M498*0.95-M498)))</f>
        <v>#VALUE!</v>
      </c>
      <c r="P498" s="66"/>
      <c r="Q498" s="9"/>
      <c r="R498" s="135">
        <f>IF(OR(P498="",N498="NO BET"),0,IF(K498=P498,O498,IF(N498="PINNACLE",-[1]Übersicht!M498,-M498)))</f>
        <v>0</v>
      </c>
      <c r="S498" s="9"/>
      <c r="T498" s="250"/>
      <c r="U498" s="9"/>
    </row>
    <row r="499" spans="1:21" x14ac:dyDescent="0.2">
      <c r="A499" s="9"/>
      <c r="B499" s="9"/>
      <c r="C499" s="11"/>
      <c r="D499" s="9"/>
      <c r="E499" s="9"/>
      <c r="F499" s="9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10"/>
      <c r="S499" s="9"/>
      <c r="T499" s="11"/>
      <c r="U499" s="9"/>
    </row>
    <row r="500" spans="1:21" ht="15.75" customHeight="1" x14ac:dyDescent="0.2">
      <c r="A500" s="9"/>
      <c r="B500" s="9"/>
      <c r="C500" s="11"/>
      <c r="D500" s="9"/>
      <c r="E500" s="9"/>
      <c r="F500" s="9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S500" s="9"/>
      <c r="T500" s="11"/>
      <c r="U500" s="9"/>
    </row>
    <row r="501" spans="1:21" ht="15.75" customHeight="1" thickBot="1" x14ac:dyDescent="0.25">
      <c r="A501" s="9"/>
      <c r="B501" s="9"/>
      <c r="C501" s="11"/>
      <c r="D501" s="9"/>
      <c r="E501" s="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10"/>
      <c r="S501" s="9"/>
      <c r="T501" s="11"/>
      <c r="U501" s="9"/>
    </row>
    <row r="502" spans="1:21" ht="22.5" customHeight="1" thickBot="1" x14ac:dyDescent="0.25">
      <c r="A502" s="79" t="s">
        <v>6</v>
      </c>
      <c r="B502" s="245" t="s">
        <v>22</v>
      </c>
      <c r="C502" s="160"/>
      <c r="D502" s="43" t="s">
        <v>9</v>
      </c>
      <c r="E502" s="43" t="s">
        <v>10</v>
      </c>
      <c r="F502" s="43" t="s">
        <v>11</v>
      </c>
      <c r="G502" s="43" t="s">
        <v>12</v>
      </c>
      <c r="H502" s="43" t="s">
        <v>13</v>
      </c>
      <c r="I502" s="43" t="s">
        <v>14</v>
      </c>
      <c r="J502" s="43" t="s">
        <v>15</v>
      </c>
      <c r="K502" s="43" t="s">
        <v>33</v>
      </c>
      <c r="L502" s="43" t="s">
        <v>16</v>
      </c>
      <c r="M502" s="43" t="s">
        <v>38</v>
      </c>
      <c r="N502" s="128" t="s">
        <v>87</v>
      </c>
      <c r="O502" s="128" t="s">
        <v>89</v>
      </c>
      <c r="P502" s="137" t="s">
        <v>18</v>
      </c>
      <c r="Q502" s="69"/>
      <c r="R502" s="134" t="s">
        <v>34</v>
      </c>
      <c r="S502" s="69"/>
      <c r="T502" s="47" t="s">
        <v>29</v>
      </c>
      <c r="U502" s="9"/>
    </row>
    <row r="503" spans="1:21" ht="15.75" customHeight="1" thickBot="1" x14ac:dyDescent="0.25">
      <c r="A503" s="80"/>
      <c r="B503" s="246"/>
      <c r="C503" s="165"/>
      <c r="D503" s="48"/>
      <c r="E503" s="48"/>
      <c r="F503" s="48" t="str">
        <f>IF(AND(C503=""),"",1-C503)</f>
        <v/>
      </c>
      <c r="G503" s="48"/>
      <c r="H503" s="48"/>
      <c r="I503" s="48" t="str">
        <f>IF(AND(C503=""),"",G503*C503)</f>
        <v/>
      </c>
      <c r="J503" s="48" t="str">
        <f>IF(AND(C503=""),"",H503*F503)</f>
        <v/>
      </c>
      <c r="K503" s="48" t="str">
        <f t="shared" ref="K503:K512" si="184">IF(AND(I503=""),"",IF(AND(I503&gt;J503),"T1","T2"))</f>
        <v/>
      </c>
      <c r="L503" s="129" t="str">
        <f t="shared" ref="L503:L507" si="185">IF(AND(K503=""),"",IF(AND((J503*0.95-1)&lt;0,(I503*0.95-1)&lt;0),"NEGATIV EV", IF(AND(K503="T1"),I503*0.95 - 1,J503*0.95 - 1)))</f>
        <v/>
      </c>
      <c r="M503" s="50" t="str">
        <f t="shared" ref="M503:M507" si="186">IF(L503="","",IF(L503&lt;0.5,K$2*M$2,IF(L503&lt;0.75,K$2*M$3,IF(L503&lt;1,K$2*M$4,IF(L503&lt;1.25,K$2*M$5,IF(L503&lt;1.5,K$2*M$6,IF(L503&lt;2,K$2*M$7,IF(L503&lt;2.5,K$2*M$8,IF(L503="NEGATIV EV","NEGATIV EV",K$2*M$9)))))))))</f>
        <v/>
      </c>
      <c r="N503" s="133" t="str">
        <f>IF(AND(L503="",[1]Übersicht!L503=""),"",IF(AND(L503="NEGATIV EV",[1]Übersicht!L503="NO BET"),"NO BET",IF(AND(NOT(L503="NEGATIV EV"),L503&gt;[1]Übersicht!L503),"BET365",IF([1]Übersicht!L503="NO BET","BET365","PINNACLE"))))</f>
        <v>BET365</v>
      </c>
      <c r="O503" s="140" t="e">
        <f>IF(OR(N503="",N503="NO BET"),"",IF(N503="PINNACLE",IF([1]Übersicht!K503="T1",[1]Übersicht!G503*[1]Übersicht!M503-[1]Übersicht!M503,[1]Übersicht!H503*[1]Übersicht!M503-[1]Übersicht!M503),IF(K503="T1",G503*M503*0.95-M503,H503*M503*0.95-M503)))</f>
        <v>#VALUE!</v>
      </c>
      <c r="P503" s="136"/>
      <c r="Q503" s="70"/>
      <c r="R503" s="52">
        <f>IF(OR(P503="",N503="NO BET"),0,IF(K503=P503,O503,IF(N503="PINNACLE",-[1]Übersicht!M503,-M503)))</f>
        <v>0</v>
      </c>
      <c r="S503" s="69"/>
      <c r="T503" s="241">
        <f>SUM(R503:R512)</f>
        <v>0</v>
      </c>
      <c r="U503" s="9"/>
    </row>
    <row r="504" spans="1:21" ht="15.75" customHeight="1" thickBot="1" x14ac:dyDescent="0.25">
      <c r="A504" s="257" t="s">
        <v>7</v>
      </c>
      <c r="B504" s="246"/>
      <c r="C504" s="166"/>
      <c r="D504" s="53"/>
      <c r="E504" s="53"/>
      <c r="F504" s="53" t="str">
        <f t="shared" ref="F504:F512" si="187">IF(AND(C504=""),"",1-C504)</f>
        <v/>
      </c>
      <c r="G504" s="53"/>
      <c r="H504" s="53"/>
      <c r="I504" s="53" t="str">
        <f t="shared" ref="I504:I512" si="188">IF(AND(C504=""),"",G504*C504)</f>
        <v/>
      </c>
      <c r="J504" s="53" t="str">
        <f t="shared" ref="J504:J512" si="189">IF(AND(C504=""),"",H504*F504)</f>
        <v/>
      </c>
      <c r="K504" s="53" t="str">
        <f t="shared" si="184"/>
        <v/>
      </c>
      <c r="L504" s="130" t="str">
        <f t="shared" si="185"/>
        <v/>
      </c>
      <c r="M504" s="55" t="str">
        <f t="shared" si="186"/>
        <v/>
      </c>
      <c r="N504" s="133" t="str">
        <f>IF(AND(L504="",[1]Übersicht!L504=""),"",IF(AND(L504="NEGATIV EV",[1]Übersicht!L504="NO BET"),"NO BET",IF(AND(NOT(L504="NEGATIV EV"),L504&gt;[1]Übersicht!L504),"BET365",IF([1]Übersicht!L504="NO BET","BET365","PINNACLE"))))</f>
        <v>BET365</v>
      </c>
      <c r="O504" s="138" t="e">
        <f>IF(OR(N504="",N504="NO BET"),"",IF(N504="PINNACLE",IF([1]Übersicht!K504="T1",[1]Übersicht!G504*[1]Übersicht!M504-[1]Übersicht!M504,[1]Übersicht!H504*[1]Übersicht!M504-[1]Übersicht!M504),IF(K504="T1",G504*M504*0.95-M504,H504*M504*0.95-M504)))</f>
        <v>#VALUE!</v>
      </c>
      <c r="P504" s="136"/>
      <c r="Q504" s="69"/>
      <c r="R504" s="52">
        <f>IF(OR(P504="",N504="NO BET"),0,IF(K504=P504,O504,IF(N504="PINNACLE",-[1]Übersicht!M504,-M504)))</f>
        <v>0</v>
      </c>
      <c r="S504" s="69"/>
      <c r="T504" s="241"/>
      <c r="U504" s="9"/>
    </row>
    <row r="505" spans="1:21" ht="15.75" customHeight="1" thickBot="1" x14ac:dyDescent="0.25">
      <c r="A505" s="257"/>
      <c r="B505" s="246"/>
      <c r="C505" s="167"/>
      <c r="D505" s="7"/>
      <c r="E505" s="7"/>
      <c r="F505" s="7" t="str">
        <f>IF(AND(C505=""),"",1-C505)</f>
        <v/>
      </c>
      <c r="G505" s="7"/>
      <c r="H505" s="7"/>
      <c r="I505" s="7" t="str">
        <f>IF(AND(C505=""),"",G505*C505)</f>
        <v/>
      </c>
      <c r="J505" s="7" t="str">
        <f>IF(AND(C505=""),"",H505*F505)</f>
        <v/>
      </c>
      <c r="K505" s="7" t="str">
        <f t="shared" si="184"/>
        <v/>
      </c>
      <c r="L505" s="131" t="str">
        <f t="shared" si="185"/>
        <v/>
      </c>
      <c r="M505" s="59" t="str">
        <f t="shared" si="186"/>
        <v/>
      </c>
      <c r="N505" s="133" t="str">
        <f>IF(AND(L505="",[1]Übersicht!L505=""),"",IF(AND(L505="NEGATIV EV",[1]Übersicht!L505="NO BET"),"NO BET",IF(AND(NOT(L505="NEGATIV EV"),L505&gt;[1]Übersicht!L505),"BET365",IF([1]Übersicht!L505="NO BET","BET365","PINNACLE"))))</f>
        <v>BET365</v>
      </c>
      <c r="O505" s="140" t="e">
        <f>IF(OR(N505="",N505="NO BET"),"",IF(N505="PINNACLE",IF([1]Übersicht!K505="T1",[1]Übersicht!G505*[1]Übersicht!M505-[1]Übersicht!M505,[1]Übersicht!H505*[1]Übersicht!M505-[1]Übersicht!M505),IF(K505="T1",G505*M505*0.95-M505,H505*M505*0.95-M505)))</f>
        <v>#VALUE!</v>
      </c>
      <c r="P505" s="136"/>
      <c r="Q505" s="69"/>
      <c r="R505" s="52">
        <f>IF(OR(P505="",N505="NO BET"),0,IF(K505=P505,O505,IF(N505="PINNACLE",-[1]Übersicht!M505,-M505)))</f>
        <v>0</v>
      </c>
      <c r="S505" s="69"/>
      <c r="T505" s="241"/>
      <c r="U505" s="9"/>
    </row>
    <row r="506" spans="1:21" ht="15.75" customHeight="1" thickBot="1" x14ac:dyDescent="0.25">
      <c r="A506" s="257"/>
      <c r="B506" s="246"/>
      <c r="C506" s="166"/>
      <c r="D506" s="53"/>
      <c r="E506" s="53"/>
      <c r="F506" s="53" t="str">
        <f t="shared" si="187"/>
        <v/>
      </c>
      <c r="G506" s="53"/>
      <c r="H506" s="53"/>
      <c r="I506" s="53" t="str">
        <f t="shared" si="188"/>
        <v/>
      </c>
      <c r="J506" s="53" t="str">
        <f t="shared" si="189"/>
        <v/>
      </c>
      <c r="K506" s="53" t="str">
        <f t="shared" si="184"/>
        <v/>
      </c>
      <c r="L506" s="130" t="str">
        <f t="shared" si="185"/>
        <v/>
      </c>
      <c r="M506" s="55" t="str">
        <f t="shared" si="186"/>
        <v/>
      </c>
      <c r="N506" s="133" t="str">
        <f>IF(AND(L506="",[1]Übersicht!L506=""),"",IF(AND(L506="NEGATIV EV",[1]Übersicht!L506="NO BET"),"NO BET",IF(AND(NOT(L506="NEGATIV EV"),L506&gt;[1]Übersicht!L506),"BET365",IF([1]Übersicht!L506="NO BET","BET365","PINNACLE"))))</f>
        <v>BET365</v>
      </c>
      <c r="O506" s="138" t="e">
        <f>IF(OR(N506="",N506="NO BET"),"",IF(N506="PINNACLE",IF([1]Übersicht!K506="T1",[1]Übersicht!G506*[1]Übersicht!M506-[1]Übersicht!M506,[1]Übersicht!H506*[1]Übersicht!M506-[1]Übersicht!M506),IF(K506="T1",G506*M506*0.95-M506,H506*M506*0.95-M506)))</f>
        <v>#VALUE!</v>
      </c>
      <c r="P506" s="136"/>
      <c r="Q506" s="69"/>
      <c r="R506" s="52">
        <f>IF(OR(P506="",N506="NO BET"),0,IF(K506=P506,O506,IF(N506="PINNACLE",-[1]Übersicht!M506,-M506)))</f>
        <v>0</v>
      </c>
      <c r="S506" s="69"/>
      <c r="T506" s="241"/>
      <c r="U506" s="9"/>
    </row>
    <row r="507" spans="1:21" ht="15.75" customHeight="1" thickBot="1" x14ac:dyDescent="0.25">
      <c r="A507" s="257"/>
      <c r="B507" s="246"/>
      <c r="C507" s="167"/>
      <c r="D507" s="7"/>
      <c r="E507" s="7"/>
      <c r="F507" s="7" t="str">
        <f t="shared" si="187"/>
        <v/>
      </c>
      <c r="G507" s="7"/>
      <c r="H507" s="7"/>
      <c r="I507" s="7" t="str">
        <f t="shared" si="188"/>
        <v/>
      </c>
      <c r="J507" s="7" t="str">
        <f t="shared" si="189"/>
        <v/>
      </c>
      <c r="K507" s="7" t="str">
        <f t="shared" si="184"/>
        <v/>
      </c>
      <c r="L507" s="131" t="str">
        <f t="shared" si="185"/>
        <v/>
      </c>
      <c r="M507" s="60" t="str">
        <f t="shared" si="186"/>
        <v/>
      </c>
      <c r="N507" s="133" t="str">
        <f>IF(AND(L507="",[1]Übersicht!L507=""),"",IF(AND(L507="NEGATIV EV",[1]Übersicht!L507="NO BET"),"NO BET",IF(AND(NOT(L507="NEGATIV EV"),L507&gt;[1]Übersicht!L507),"BET365",IF([1]Übersicht!L507="NO BET","BET365","PINNACLE"))))</f>
        <v>BET365</v>
      </c>
      <c r="O507" s="140" t="e">
        <f>IF(OR(N507="",N507="NO BET"),"",IF(N507="PINNACLE",IF([1]Übersicht!K507="T1",[1]Übersicht!G507*[1]Übersicht!M507-[1]Übersicht!M507,[1]Übersicht!H507*[1]Übersicht!M507-[1]Übersicht!M507),IF(K507="T1",G507*M507*0.95-M507,H507*M507*0.95-M507)))</f>
        <v>#VALUE!</v>
      </c>
      <c r="P507" s="136"/>
      <c r="Q507" s="69"/>
      <c r="R507" s="52">
        <f>IF(OR(P507="",N507="NO BET"),0,IF(K507=P507,O507,IF(N507="PINNACLE",-[1]Übersicht!M507,-M507)))</f>
        <v>0</v>
      </c>
      <c r="S507" s="69"/>
      <c r="T507" s="241"/>
      <c r="U507" s="9"/>
    </row>
    <row r="508" spans="1:21" ht="15.75" customHeight="1" thickBot="1" x14ac:dyDescent="0.25">
      <c r="A508" s="257"/>
      <c r="B508" s="246"/>
      <c r="C508" s="166"/>
      <c r="D508" s="53"/>
      <c r="E508" s="53"/>
      <c r="F508" s="53" t="str">
        <f t="shared" si="187"/>
        <v/>
      </c>
      <c r="G508" s="53"/>
      <c r="H508" s="53"/>
      <c r="I508" s="53" t="str">
        <f t="shared" si="188"/>
        <v/>
      </c>
      <c r="J508" s="53" t="str">
        <f t="shared" si="189"/>
        <v/>
      </c>
      <c r="K508" s="53" t="str">
        <f t="shared" si="184"/>
        <v/>
      </c>
      <c r="L508" s="130" t="str">
        <f>IF(AND(K508=""),"",IF(AND((J508*0.95-1)&lt;0,(I508*0.95-1)&lt;0),"NEGATIV EV", IF(AND(K508="T1"),I508*0.95 - 1,J508*0.95 - 1)))</f>
        <v/>
      </c>
      <c r="M508" s="55" t="str">
        <f>IF(L508="","",IF(L508&lt;0.5,K$2*M$2,IF(L508&lt;0.75,K$2*M$3,IF(L508&lt;1,K$2*M$4,IF(L508&lt;1.25,K$2*M$5,IF(L508&lt;1.5,K$2*M$6,IF(L508&lt;2,K$2*M$7,IF(L508&lt;2.5,K$2*M$8,IF(L508="NEGATIV EV","NEGATIV EV",K$2*M$9)))))))))</f>
        <v/>
      </c>
      <c r="N508" s="133" t="str">
        <f>IF(AND(L508="",[1]Übersicht!L508=""),"",IF(AND(L508="NEGATIV EV",[1]Übersicht!L508="NO BET"),"NO BET",IF(AND(NOT(L508="NEGATIV EV"),L508&gt;[1]Übersicht!L508),"BET365",IF([1]Übersicht!L508="NO BET","BET365","PINNACLE"))))</f>
        <v>BET365</v>
      </c>
      <c r="O508" s="138" t="e">
        <f>IF(OR(N508="",N508="NO BET"),"",IF(N508="PINNACLE",IF([1]Übersicht!K508="T1",[1]Übersicht!G508*[1]Übersicht!M508-[1]Übersicht!M508,[1]Übersicht!H508*[1]Übersicht!M508-[1]Übersicht!M508),IF(K508="T1",G508*M508*0.95-M508,H508*M508*0.95-M508)))</f>
        <v>#VALUE!</v>
      </c>
      <c r="P508" s="136"/>
      <c r="Q508" s="69"/>
      <c r="R508" s="52">
        <f>IF(OR(P508="",N508="NO BET"),0,IF(K508=P508,O508,IF(N508="PINNACLE",-[1]Übersicht!M508,-M508)))</f>
        <v>0</v>
      </c>
      <c r="S508" s="69"/>
      <c r="T508" s="241"/>
      <c r="U508" s="9"/>
    </row>
    <row r="509" spans="1:21" ht="15.75" customHeight="1" thickBot="1" x14ac:dyDescent="0.25">
      <c r="A509" s="257"/>
      <c r="B509" s="246"/>
      <c r="C509" s="167"/>
      <c r="D509" s="7"/>
      <c r="E509" s="7"/>
      <c r="F509" s="7" t="str">
        <f>IF(AND(C509=""),"",1-C509)</f>
        <v/>
      </c>
      <c r="G509" s="7"/>
      <c r="H509" s="7"/>
      <c r="I509" s="7" t="str">
        <f>IF(AND(C509=""),"",G509*C509)</f>
        <v/>
      </c>
      <c r="J509" s="7" t="str">
        <f>IF(AND(C509=""),"",H509*F509)</f>
        <v/>
      </c>
      <c r="K509" s="7" t="str">
        <f t="shared" si="184"/>
        <v/>
      </c>
      <c r="L509" s="131" t="str">
        <f t="shared" ref="L509:L512" si="190">IF(AND(K509=""),"",IF(AND((J509*0.95-1)&lt;0,(I509*0.95-1)&lt;0),"NEGATIV EV", IF(AND(K509="T1"),I509*0.95 - 1,J509*0.95 - 1)))</f>
        <v/>
      </c>
      <c r="M509" s="59" t="str">
        <f t="shared" ref="M509:M512" si="191">IF(L509="","",IF(L509&lt;0.5,K$2*M$2,IF(L509&lt;0.75,K$2*M$3,IF(L509&lt;1,K$2*M$4,IF(L509&lt;1.25,K$2*M$5,IF(L509&lt;1.5,K$2*M$6,IF(L509&lt;2,K$2*M$7,IF(L509&lt;2.5,K$2*M$8,IF(L509="NEGATIV EV","NEGATIV EV",K$2*M$9)))))))))</f>
        <v/>
      </c>
      <c r="N509" s="133" t="str">
        <f>IF(AND(L509="",[1]Übersicht!L509=""),"",IF(AND(L509="NEGATIV EV",[1]Übersicht!L509="NO BET"),"NO BET",IF(AND(NOT(L509="NEGATIV EV"),L509&gt;[1]Übersicht!L509),"BET365",IF([1]Übersicht!L509="NO BET","BET365","PINNACLE"))))</f>
        <v>BET365</v>
      </c>
      <c r="O509" s="140" t="e">
        <f>IF(OR(N509="",N509="NO BET"),"",IF(N509="PINNACLE",IF([1]Übersicht!K509="T1",[1]Übersicht!G509*[1]Übersicht!M509-[1]Übersicht!M509,[1]Übersicht!H509*[1]Übersicht!M509-[1]Übersicht!M509),IF(K509="T1",G509*M509*0.95-M509,H509*M509*0.95-M509)))</f>
        <v>#VALUE!</v>
      </c>
      <c r="P509" s="56"/>
      <c r="Q509" s="69"/>
      <c r="R509" s="52">
        <f>IF(OR(P509="",N509="NO BET"),0,IF(K509=P509,O509,IF(N509="PINNACLE",-[1]Übersicht!M509,-M509)))</f>
        <v>0</v>
      </c>
      <c r="S509" s="69"/>
      <c r="T509" s="61" t="s">
        <v>31</v>
      </c>
      <c r="U509" s="9"/>
    </row>
    <row r="510" spans="1:21" ht="16.5" customHeight="1" thickBot="1" x14ac:dyDescent="0.25">
      <c r="A510" s="257"/>
      <c r="B510" s="246"/>
      <c r="C510" s="166"/>
      <c r="D510" s="53"/>
      <c r="E510" s="53"/>
      <c r="F510" s="53" t="str">
        <f t="shared" si="187"/>
        <v/>
      </c>
      <c r="G510" s="53"/>
      <c r="H510" s="53"/>
      <c r="I510" s="53" t="str">
        <f t="shared" si="188"/>
        <v/>
      </c>
      <c r="J510" s="53" t="str">
        <f t="shared" si="189"/>
        <v/>
      </c>
      <c r="K510" s="53" t="str">
        <f t="shared" si="184"/>
        <v/>
      </c>
      <c r="L510" s="130" t="str">
        <f t="shared" si="190"/>
        <v/>
      </c>
      <c r="M510" s="62" t="str">
        <f t="shared" si="191"/>
        <v/>
      </c>
      <c r="N510" s="133" t="str">
        <f>IF(AND(L510="",[1]Übersicht!L510=""),"",IF(AND(L510="NEGATIV EV",[1]Übersicht!L510="NO BET"),"NO BET",IF(AND(NOT(L510="NEGATIV EV"),L510&gt;[1]Übersicht!L510),"BET365",IF([1]Übersicht!L510="NO BET","BET365","PINNACLE"))))</f>
        <v>BET365</v>
      </c>
      <c r="O510" s="138" t="e">
        <f>IF(OR(N510="",N510="NO BET"),"",IF(N510="PINNACLE",IF([1]Übersicht!K510="T1",[1]Übersicht!G510*[1]Übersicht!M510-[1]Übersicht!M510,[1]Übersicht!H510*[1]Übersicht!M510-[1]Übersicht!M510),IF(K510="T1",G510*M510*0.95-M510,H510*M510*0.95-M510)))</f>
        <v>#VALUE!</v>
      </c>
      <c r="P510" s="136"/>
      <c r="Q510" s="69"/>
      <c r="R510" s="52">
        <f>IF(OR(P510="",N510="NO BET"),0,IF(K510=P510,O510,IF(N510="PINNACLE",-[1]Übersicht!M510,-M510)))</f>
        <v>0</v>
      </c>
      <c r="S510" s="69"/>
      <c r="T510" s="248" t="e">
        <f>IF(AND(NOT(N503=0)),T503/N503,0)</f>
        <v>#VALUE!</v>
      </c>
      <c r="U510" s="9"/>
    </row>
    <row r="511" spans="1:21" ht="15.75" customHeight="1" thickBot="1" x14ac:dyDescent="0.25">
      <c r="A511" s="257"/>
      <c r="B511" s="246"/>
      <c r="C511" s="167"/>
      <c r="D511" s="7"/>
      <c r="E511" s="7"/>
      <c r="F511" s="7" t="str">
        <f t="shared" si="187"/>
        <v/>
      </c>
      <c r="G511" s="7"/>
      <c r="H511" s="7"/>
      <c r="I511" s="7" t="str">
        <f t="shared" si="188"/>
        <v/>
      </c>
      <c r="J511" s="7" t="str">
        <f t="shared" si="189"/>
        <v/>
      </c>
      <c r="K511" s="7" t="str">
        <f t="shared" si="184"/>
        <v/>
      </c>
      <c r="L511" s="131" t="str">
        <f t="shared" si="190"/>
        <v/>
      </c>
      <c r="M511" s="60" t="str">
        <f t="shared" si="191"/>
        <v/>
      </c>
      <c r="N511" s="133" t="str">
        <f>IF(AND(L511="",[1]Übersicht!L511=""),"",IF(AND(L511="NEGATIV EV",[1]Übersicht!L511="NO BET"),"NO BET",IF(AND(NOT(L511="NEGATIV EV"),L511&gt;[1]Übersicht!L511),"BET365",IF([1]Übersicht!L511="NO BET","BET365","PINNACLE"))))</f>
        <v>BET365</v>
      </c>
      <c r="O511" s="139" t="e">
        <f>IF(OR(N511="",N511="NO BET"),"",IF(N511="PINNACLE",IF([1]Übersicht!K511="T1",[1]Übersicht!G511*[1]Übersicht!M511-[1]Übersicht!M511,[1]Übersicht!H511*[1]Übersicht!M511-[1]Übersicht!M511),IF(K511="T1",G511*M511*0.95-M511,H511*M511*0.95-M511)))</f>
        <v>#VALUE!</v>
      </c>
      <c r="P511" s="136"/>
      <c r="Q511" s="69"/>
      <c r="R511" s="52">
        <f>IF(OR(P511="",N511="NO BET"),0,IF(K511=P511,O511,IF(N511="PINNACLE",-[1]Übersicht!M511,-M511)))</f>
        <v>0</v>
      </c>
      <c r="S511" s="69"/>
      <c r="T511" s="249"/>
      <c r="U511" s="9"/>
    </row>
    <row r="512" spans="1:21" ht="15.75" customHeight="1" thickBot="1" x14ac:dyDescent="0.25">
      <c r="A512" s="258"/>
      <c r="B512" s="247"/>
      <c r="C512" s="168"/>
      <c r="D512" s="63"/>
      <c r="E512" s="63"/>
      <c r="F512" s="63" t="str">
        <f t="shared" si="187"/>
        <v/>
      </c>
      <c r="G512" s="63"/>
      <c r="H512" s="63"/>
      <c r="I512" s="63" t="str">
        <f t="shared" si="188"/>
        <v/>
      </c>
      <c r="J512" s="63" t="str">
        <f t="shared" si="189"/>
        <v/>
      </c>
      <c r="K512" s="63" t="str">
        <f t="shared" si="184"/>
        <v/>
      </c>
      <c r="L512" s="132" t="str">
        <f t="shared" si="190"/>
        <v/>
      </c>
      <c r="M512" s="65" t="str">
        <f t="shared" si="191"/>
        <v/>
      </c>
      <c r="N512" s="133" t="str">
        <f>IF(AND(L512="",[1]Übersicht!L512=""),"",IF(AND(L512="NEGATIV EV",[1]Übersicht!L512="NO BET"),"NO BET",IF(AND(NOT(L512="NEGATIV EV"),L512&gt;[1]Übersicht!L512),"BET365",IF([1]Übersicht!L512="NO BET","BET365","PINNACLE"))))</f>
        <v>BET365</v>
      </c>
      <c r="O512" s="138" t="e">
        <f>IF(OR(N512="",N512="NO BET"),"",IF(N512="PINNACLE",IF([1]Übersicht!K512="T1",[1]Übersicht!G512*[1]Übersicht!M512-[1]Übersicht!M512,[1]Übersicht!H512*[1]Übersicht!M512-[1]Übersicht!M512),IF(K512="T1",G512*M512*0.95-M512,H512*M512*0.95-M512)))</f>
        <v>#VALUE!</v>
      </c>
      <c r="P512" s="66"/>
      <c r="Q512" s="9"/>
      <c r="R512" s="135">
        <f>IF(OR(P512="",N512="NO BET"),0,IF(K512=P512,O512,IF(N512="PINNACLE",-[1]Übersicht!M512,-M512)))</f>
        <v>0</v>
      </c>
      <c r="S512" s="9"/>
      <c r="T512" s="250"/>
      <c r="U512" s="9"/>
    </row>
    <row r="513" spans="1:21" ht="15.75" customHeight="1" x14ac:dyDescent="0.2">
      <c r="A513" s="9"/>
      <c r="B513" s="9"/>
      <c r="C513" s="11"/>
      <c r="D513" s="9"/>
      <c r="E513" s="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10"/>
      <c r="S513" s="9"/>
      <c r="T513" s="11"/>
      <c r="U513" s="9"/>
    </row>
    <row r="514" spans="1:21" ht="15.75" customHeight="1" x14ac:dyDescent="0.2">
      <c r="A514" s="9"/>
      <c r="B514" s="9"/>
      <c r="C514" s="11"/>
      <c r="D514" s="9"/>
      <c r="E514" s="9"/>
      <c r="F514" s="9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10"/>
      <c r="S514" s="9"/>
      <c r="T514" s="11"/>
      <c r="U514" s="9"/>
    </row>
    <row r="515" spans="1:21" ht="15.75" thickBot="1" x14ac:dyDescent="0.25">
      <c r="A515" s="9"/>
      <c r="B515" s="9"/>
      <c r="C515" s="11"/>
      <c r="D515" s="9"/>
      <c r="E515" s="9"/>
      <c r="F515" s="9"/>
      <c r="G515" s="9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10"/>
      <c r="S515" s="9"/>
      <c r="T515" s="11"/>
      <c r="U515" s="9"/>
    </row>
    <row r="516" spans="1:21" ht="22.5" customHeight="1" thickBot="1" x14ac:dyDescent="0.25">
      <c r="A516" s="79" t="s">
        <v>6</v>
      </c>
      <c r="B516" s="245" t="s">
        <v>23</v>
      </c>
      <c r="C516" s="160"/>
      <c r="D516" s="43" t="s">
        <v>9</v>
      </c>
      <c r="E516" s="43" t="s">
        <v>10</v>
      </c>
      <c r="F516" s="43" t="s">
        <v>11</v>
      </c>
      <c r="G516" s="43" t="s">
        <v>12</v>
      </c>
      <c r="H516" s="43" t="s">
        <v>13</v>
      </c>
      <c r="I516" s="43" t="s">
        <v>14</v>
      </c>
      <c r="J516" s="43" t="s">
        <v>15</v>
      </c>
      <c r="K516" s="43" t="s">
        <v>33</v>
      </c>
      <c r="L516" s="43" t="s">
        <v>16</v>
      </c>
      <c r="M516" s="43" t="s">
        <v>38</v>
      </c>
      <c r="N516" s="128" t="s">
        <v>87</v>
      </c>
      <c r="O516" s="128" t="s">
        <v>89</v>
      </c>
      <c r="P516" s="137" t="s">
        <v>18</v>
      </c>
      <c r="Q516" s="69"/>
      <c r="R516" s="134" t="s">
        <v>34</v>
      </c>
      <c r="S516" s="69"/>
      <c r="T516" s="47" t="s">
        <v>29</v>
      </c>
      <c r="U516" s="9"/>
    </row>
    <row r="517" spans="1:21" ht="15.75" customHeight="1" thickBot="1" x14ac:dyDescent="0.25">
      <c r="A517" s="80"/>
      <c r="B517" s="246"/>
      <c r="C517" s="165"/>
      <c r="D517" s="48"/>
      <c r="E517" s="48"/>
      <c r="F517" s="48" t="str">
        <f>IF(AND(C517=""),"",1-C517)</f>
        <v/>
      </c>
      <c r="G517" s="48"/>
      <c r="H517" s="48"/>
      <c r="I517" s="48" t="str">
        <f>IF(AND(C517=""),"",G517*C517)</f>
        <v/>
      </c>
      <c r="J517" s="48" t="str">
        <f>IF(AND(C517=""),"",H517*F517)</f>
        <v/>
      </c>
      <c r="K517" s="48" t="str">
        <f t="shared" ref="K517:K526" si="192">IF(AND(I517=""),"",IF(AND(I517&gt;J517),"T1","T2"))</f>
        <v/>
      </c>
      <c r="L517" s="129" t="str">
        <f t="shared" ref="L517:L521" si="193">IF(AND(K517=""),"",IF(AND((J517*0.95-1)&lt;0,(I517*0.95-1)&lt;0),"NEGATIV EV", IF(AND(K517="T1"),I517*0.95 - 1,J517*0.95 - 1)))</f>
        <v/>
      </c>
      <c r="M517" s="50" t="str">
        <f t="shared" ref="M517:M521" si="194">IF(L517="","",IF(L517&lt;0.5,K$2*M$2,IF(L517&lt;0.75,K$2*M$3,IF(L517&lt;1,K$2*M$4,IF(L517&lt;1.25,K$2*M$5,IF(L517&lt;1.5,K$2*M$6,IF(L517&lt;2,K$2*M$7,IF(L517&lt;2.5,K$2*M$8,IF(L517="NEGATIV EV","NEGATIV EV",K$2*M$9)))))))))</f>
        <v/>
      </c>
      <c r="N517" s="133" t="str">
        <f>IF(AND(L517="",[1]Übersicht!L517=""),"",IF(AND(L517="NEGATIV EV",[1]Übersicht!L517="NO BET"),"NO BET",IF(AND(NOT(L517="NEGATIV EV"),L517&gt;[1]Übersicht!L517),"BET365",IF([1]Übersicht!L517="NO BET","BET365","PINNACLE"))))</f>
        <v>BET365</v>
      </c>
      <c r="O517" s="140" t="e">
        <f>IF(OR(N517="",N517="NO BET"),"",IF(N517="PINNACLE",IF([1]Übersicht!K517="T1",[1]Übersicht!G517*[1]Übersicht!M517-[1]Übersicht!M517,[1]Übersicht!H517*[1]Übersicht!M517-[1]Übersicht!M517),IF(K517="T1",G517*M517*0.95-M517,H517*M517*0.95-M517)))</f>
        <v>#VALUE!</v>
      </c>
      <c r="P517" s="136"/>
      <c r="Q517" s="70"/>
      <c r="R517" s="52">
        <f>IF(OR(P517="",N517="NO BET"),0,IF(K517=P517,O517,IF(N517="PINNACLE",-[1]Übersicht!M517,-M517)))</f>
        <v>0</v>
      </c>
      <c r="S517" s="69"/>
      <c r="T517" s="241">
        <f>SUM(R517:R526)</f>
        <v>0</v>
      </c>
      <c r="U517" s="9"/>
    </row>
    <row r="518" spans="1:21" ht="15.75" customHeight="1" thickBot="1" x14ac:dyDescent="0.25">
      <c r="A518" s="257" t="s">
        <v>7</v>
      </c>
      <c r="B518" s="246"/>
      <c r="C518" s="166"/>
      <c r="D518" s="53"/>
      <c r="E518" s="53"/>
      <c r="F518" s="53" t="str">
        <f t="shared" ref="F518:F526" si="195">IF(AND(C518=""),"",1-C518)</f>
        <v/>
      </c>
      <c r="G518" s="53"/>
      <c r="H518" s="53"/>
      <c r="I518" s="53" t="str">
        <f t="shared" ref="I518:I526" si="196">IF(AND(C518=""),"",G518*C518)</f>
        <v/>
      </c>
      <c r="J518" s="53" t="str">
        <f t="shared" ref="J518:J526" si="197">IF(AND(C518=""),"",H518*F518)</f>
        <v/>
      </c>
      <c r="K518" s="53" t="str">
        <f t="shared" si="192"/>
        <v/>
      </c>
      <c r="L518" s="130" t="str">
        <f t="shared" si="193"/>
        <v/>
      </c>
      <c r="M518" s="55" t="str">
        <f t="shared" si="194"/>
        <v/>
      </c>
      <c r="N518" s="133" t="str">
        <f>IF(AND(L518="",[1]Übersicht!L518=""),"",IF(AND(L518="NEGATIV EV",[1]Übersicht!L518="NO BET"),"NO BET",IF(AND(NOT(L518="NEGATIV EV"),L518&gt;[1]Übersicht!L518),"BET365",IF([1]Übersicht!L518="NO BET","BET365","PINNACLE"))))</f>
        <v>BET365</v>
      </c>
      <c r="O518" s="138" t="e">
        <f>IF(OR(N518="",N518="NO BET"),"",IF(N518="PINNACLE",IF([1]Übersicht!K518="T1",[1]Übersicht!G518*[1]Übersicht!M518-[1]Übersicht!M518,[1]Übersicht!H518*[1]Übersicht!M518-[1]Übersicht!M518),IF(K518="T1",G518*M518*0.95-M518,H518*M518*0.95-M518)))</f>
        <v>#VALUE!</v>
      </c>
      <c r="P518" s="136"/>
      <c r="Q518" s="69"/>
      <c r="R518" s="52">
        <f>IF(OR(P518="",N518="NO BET"),0,IF(K518=P518,O518,IF(N518="PINNACLE",-[1]Übersicht!M518,-M518)))</f>
        <v>0</v>
      </c>
      <c r="S518" s="69"/>
      <c r="T518" s="241"/>
      <c r="U518" s="9"/>
    </row>
    <row r="519" spans="1:21" ht="15.75" customHeight="1" thickBot="1" x14ac:dyDescent="0.25">
      <c r="A519" s="257"/>
      <c r="B519" s="246"/>
      <c r="C519" s="167"/>
      <c r="D519" s="7"/>
      <c r="E519" s="7"/>
      <c r="F519" s="7" t="str">
        <f t="shared" si="195"/>
        <v/>
      </c>
      <c r="G519" s="7"/>
      <c r="H519" s="7"/>
      <c r="I519" s="7" t="str">
        <f t="shared" si="196"/>
        <v/>
      </c>
      <c r="J519" s="7" t="str">
        <f t="shared" si="197"/>
        <v/>
      </c>
      <c r="K519" s="7" t="str">
        <f t="shared" si="192"/>
        <v/>
      </c>
      <c r="L519" s="131" t="str">
        <f t="shared" si="193"/>
        <v/>
      </c>
      <c r="M519" s="59" t="str">
        <f t="shared" si="194"/>
        <v/>
      </c>
      <c r="N519" s="133" t="str">
        <f>IF(AND(L519="",[1]Übersicht!L519=""),"",IF(AND(L519="NEGATIV EV",[1]Übersicht!L519="NO BET"),"NO BET",IF(AND(NOT(L519="NEGATIV EV"),L519&gt;[1]Übersicht!L519),"BET365",IF([1]Übersicht!L519="NO BET","BET365","PINNACLE"))))</f>
        <v>BET365</v>
      </c>
      <c r="O519" s="140" t="e">
        <f>IF(OR(N519="",N519="NO BET"),"",IF(N519="PINNACLE",IF([1]Übersicht!K519="T1",[1]Übersicht!G519*[1]Übersicht!M519-[1]Übersicht!M519,[1]Übersicht!H519*[1]Übersicht!M519-[1]Übersicht!M519),IF(K519="T1",G519*M519*0.95-M519,H519*M519*0.95-M519)))</f>
        <v>#VALUE!</v>
      </c>
      <c r="P519" s="136"/>
      <c r="Q519" s="69"/>
      <c r="R519" s="52">
        <f>IF(OR(P519="",N519="NO BET"),0,IF(K519=P519,O519,IF(N519="PINNACLE",-[1]Übersicht!M519,-M519)))</f>
        <v>0</v>
      </c>
      <c r="S519" s="69"/>
      <c r="T519" s="241"/>
      <c r="U519" s="9"/>
    </row>
    <row r="520" spans="1:21" ht="15.75" customHeight="1" thickBot="1" x14ac:dyDescent="0.25">
      <c r="A520" s="257"/>
      <c r="B520" s="246"/>
      <c r="C520" s="166"/>
      <c r="D520" s="53"/>
      <c r="E520" s="53"/>
      <c r="F520" s="53" t="str">
        <f t="shared" si="195"/>
        <v/>
      </c>
      <c r="G520" s="53"/>
      <c r="H520" s="53"/>
      <c r="I520" s="53" t="str">
        <f t="shared" si="196"/>
        <v/>
      </c>
      <c r="J520" s="53" t="str">
        <f t="shared" si="197"/>
        <v/>
      </c>
      <c r="K520" s="53" t="str">
        <f t="shared" si="192"/>
        <v/>
      </c>
      <c r="L520" s="130" t="str">
        <f t="shared" si="193"/>
        <v/>
      </c>
      <c r="M520" s="55" t="str">
        <f t="shared" si="194"/>
        <v/>
      </c>
      <c r="N520" s="133" t="str">
        <f>IF(AND(L520="",[1]Übersicht!L520=""),"",IF(AND(L520="NEGATIV EV",[1]Übersicht!L520="NO BET"),"NO BET",IF(AND(NOT(L520="NEGATIV EV"),L520&gt;[1]Übersicht!L520),"BET365",IF([1]Übersicht!L520="NO BET","BET365","PINNACLE"))))</f>
        <v>BET365</v>
      </c>
      <c r="O520" s="138" t="e">
        <f>IF(OR(N520="",N520="NO BET"),"",IF(N520="PINNACLE",IF([1]Übersicht!K520="T1",[1]Übersicht!G520*[1]Übersicht!M520-[1]Übersicht!M520,[1]Übersicht!H520*[1]Übersicht!M520-[1]Übersicht!M520),IF(K520="T1",G520*M520*0.95-M520,H520*M520*0.95-M520)))</f>
        <v>#VALUE!</v>
      </c>
      <c r="P520" s="136"/>
      <c r="Q520" s="69"/>
      <c r="R520" s="52">
        <f>IF(OR(P520="",N520="NO BET"),0,IF(K520=P520,O520,IF(N520="PINNACLE",-[1]Übersicht!M520,-M520)))</f>
        <v>0</v>
      </c>
      <c r="S520" s="69"/>
      <c r="T520" s="241"/>
      <c r="U520" s="9"/>
    </row>
    <row r="521" spans="1:21" ht="15.75" customHeight="1" thickBot="1" x14ac:dyDescent="0.25">
      <c r="A521" s="257"/>
      <c r="B521" s="246"/>
      <c r="C521" s="167"/>
      <c r="D521" s="7"/>
      <c r="E521" s="7"/>
      <c r="F521" s="7" t="str">
        <f t="shared" si="195"/>
        <v/>
      </c>
      <c r="G521" s="7"/>
      <c r="H521" s="7"/>
      <c r="I521" s="7" t="str">
        <f t="shared" si="196"/>
        <v/>
      </c>
      <c r="J521" s="7" t="str">
        <f t="shared" si="197"/>
        <v/>
      </c>
      <c r="K521" s="7" t="str">
        <f t="shared" si="192"/>
        <v/>
      </c>
      <c r="L521" s="131" t="str">
        <f t="shared" si="193"/>
        <v/>
      </c>
      <c r="M521" s="60" t="str">
        <f t="shared" si="194"/>
        <v/>
      </c>
      <c r="N521" s="133" t="str">
        <f>IF(AND(L521="",[1]Übersicht!L521=""),"",IF(AND(L521="NEGATIV EV",[1]Übersicht!L521="NO BET"),"NO BET",IF(AND(NOT(L521="NEGATIV EV"),L521&gt;[1]Übersicht!L521),"BET365",IF([1]Übersicht!L521="NO BET","BET365","PINNACLE"))))</f>
        <v>BET365</v>
      </c>
      <c r="O521" s="140" t="e">
        <f>IF(OR(N521="",N521="NO BET"),"",IF(N521="PINNACLE",IF([1]Übersicht!K521="T1",[1]Übersicht!G521*[1]Übersicht!M521-[1]Übersicht!M521,[1]Übersicht!H521*[1]Übersicht!M521-[1]Übersicht!M521),IF(K521="T1",G521*M521*0.95-M521,H521*M521*0.95-M521)))</f>
        <v>#VALUE!</v>
      </c>
      <c r="P521" s="136"/>
      <c r="Q521" s="69"/>
      <c r="R521" s="52">
        <f>IF(OR(P521="",N521="NO BET"),0,IF(K521=P521,O521,IF(N521="PINNACLE",-[1]Übersicht!M521,-M521)))</f>
        <v>0</v>
      </c>
      <c r="S521" s="69"/>
      <c r="T521" s="241"/>
      <c r="U521" s="9"/>
    </row>
    <row r="522" spans="1:21" ht="15.75" customHeight="1" thickBot="1" x14ac:dyDescent="0.25">
      <c r="A522" s="257"/>
      <c r="B522" s="246"/>
      <c r="C522" s="166"/>
      <c r="D522" s="53"/>
      <c r="E522" s="53"/>
      <c r="F522" s="53" t="str">
        <f t="shared" si="195"/>
        <v/>
      </c>
      <c r="G522" s="53"/>
      <c r="H522" s="53"/>
      <c r="I522" s="53" t="str">
        <f t="shared" si="196"/>
        <v/>
      </c>
      <c r="J522" s="53" t="str">
        <f t="shared" si="197"/>
        <v/>
      </c>
      <c r="K522" s="53" t="str">
        <f t="shared" si="192"/>
        <v/>
      </c>
      <c r="L522" s="130" t="str">
        <f>IF(AND(K522=""),"",IF(AND((J522*0.95-1)&lt;0,(I522*0.95-1)&lt;0),"NEGATIV EV", IF(AND(K522="T1"),I522*0.95 - 1,J522*0.95 - 1)))</f>
        <v/>
      </c>
      <c r="M522" s="55" t="str">
        <f>IF(L522="","",IF(L522&lt;0.5,K$2*M$2,IF(L522&lt;0.75,K$2*M$3,IF(L522&lt;1,K$2*M$4,IF(L522&lt;1.25,K$2*M$5,IF(L522&lt;1.5,K$2*M$6,IF(L522&lt;2,K$2*M$7,IF(L522&lt;2.5,K$2*M$8,IF(L522="NEGATIV EV","NEGATIV EV",K$2*M$9)))))))))</f>
        <v/>
      </c>
      <c r="N522" s="133" t="str">
        <f>IF(AND(L522="",[1]Übersicht!L522=""),"",IF(AND(L522="NEGATIV EV",[1]Übersicht!L522="NO BET"),"NO BET",IF(AND(NOT(L522="NEGATIV EV"),L522&gt;[1]Übersicht!L522),"BET365",IF([1]Übersicht!L522="NO BET","BET365","PINNACLE"))))</f>
        <v>BET365</v>
      </c>
      <c r="O522" s="138" t="e">
        <f>IF(OR(N522="",N522="NO BET"),"",IF(N522="PINNACLE",IF([1]Übersicht!K522="T1",[1]Übersicht!G522*[1]Übersicht!M522-[1]Übersicht!M522,[1]Übersicht!H522*[1]Übersicht!M522-[1]Übersicht!M522),IF(K522="T1",G522*M522*0.95-M522,H522*M522*0.95-M522)))</f>
        <v>#VALUE!</v>
      </c>
      <c r="P522" s="136"/>
      <c r="Q522" s="69"/>
      <c r="R522" s="52">
        <f>IF(OR(P522="",N522="NO BET"),0,IF(K522=P522,O522,IF(N522="PINNACLE",-[1]Übersicht!M522,-M522)))</f>
        <v>0</v>
      </c>
      <c r="S522" s="69"/>
      <c r="T522" s="241"/>
      <c r="U522" s="9"/>
    </row>
    <row r="523" spans="1:21" ht="15.75" customHeight="1" thickBot="1" x14ac:dyDescent="0.25">
      <c r="A523" s="257"/>
      <c r="B523" s="246"/>
      <c r="C523" s="167"/>
      <c r="D523" s="7"/>
      <c r="E523" s="7"/>
      <c r="F523" s="7" t="str">
        <f t="shared" si="195"/>
        <v/>
      </c>
      <c r="G523" s="7"/>
      <c r="H523" s="7"/>
      <c r="I523" s="7" t="str">
        <f t="shared" si="196"/>
        <v/>
      </c>
      <c r="J523" s="7" t="str">
        <f t="shared" si="197"/>
        <v/>
      </c>
      <c r="K523" s="7" t="str">
        <f t="shared" si="192"/>
        <v/>
      </c>
      <c r="L523" s="131" t="str">
        <f t="shared" ref="L523:L526" si="198">IF(AND(K523=""),"",IF(AND((J523*0.95-1)&lt;0,(I523*0.95-1)&lt;0),"NEGATIV EV", IF(AND(K523="T1"),I523*0.95 - 1,J523*0.95 - 1)))</f>
        <v/>
      </c>
      <c r="M523" s="59" t="str">
        <f t="shared" ref="M523:M526" si="199">IF(L523="","",IF(L523&lt;0.5,K$2*M$2,IF(L523&lt;0.75,K$2*M$3,IF(L523&lt;1,K$2*M$4,IF(L523&lt;1.25,K$2*M$5,IF(L523&lt;1.5,K$2*M$6,IF(L523&lt;2,K$2*M$7,IF(L523&lt;2.5,K$2*M$8,IF(L523="NEGATIV EV","NEGATIV EV",K$2*M$9)))))))))</f>
        <v/>
      </c>
      <c r="N523" s="133" t="str">
        <f>IF(AND(L523="",[1]Übersicht!L523=""),"",IF(AND(L523="NEGATIV EV",[1]Übersicht!L523="NO BET"),"NO BET",IF(AND(NOT(L523="NEGATIV EV"),L523&gt;[1]Übersicht!L523),"BET365",IF([1]Übersicht!L523="NO BET","BET365","PINNACLE"))))</f>
        <v>BET365</v>
      </c>
      <c r="O523" s="140" t="e">
        <f>IF(OR(N523="",N523="NO BET"),"",IF(N523="PINNACLE",IF([1]Übersicht!K523="T1",[1]Übersicht!G523*[1]Übersicht!M523-[1]Übersicht!M523,[1]Übersicht!H523*[1]Übersicht!M523-[1]Übersicht!M523),IF(K523="T1",G523*M523*0.95-M523,H523*M523*0.95-M523)))</f>
        <v>#VALUE!</v>
      </c>
      <c r="P523" s="56"/>
      <c r="Q523" s="69"/>
      <c r="R523" s="52">
        <f>IF(OR(P523="",N523="NO BET"),0,IF(K523=P523,O523,IF(N523="PINNACLE",-[1]Übersicht!M523,-M523)))</f>
        <v>0</v>
      </c>
      <c r="S523" s="69"/>
      <c r="T523" s="61" t="s">
        <v>31</v>
      </c>
      <c r="U523" s="9"/>
    </row>
    <row r="524" spans="1:21" ht="16.5" customHeight="1" thickBot="1" x14ac:dyDescent="0.25">
      <c r="A524" s="257"/>
      <c r="B524" s="246"/>
      <c r="C524" s="166"/>
      <c r="D524" s="53"/>
      <c r="E524" s="53"/>
      <c r="F524" s="53" t="str">
        <f t="shared" si="195"/>
        <v/>
      </c>
      <c r="G524" s="53"/>
      <c r="H524" s="53"/>
      <c r="I524" s="53" t="str">
        <f t="shared" si="196"/>
        <v/>
      </c>
      <c r="J524" s="53" t="str">
        <f t="shared" si="197"/>
        <v/>
      </c>
      <c r="K524" s="53" t="str">
        <f t="shared" si="192"/>
        <v/>
      </c>
      <c r="L524" s="130" t="str">
        <f t="shared" si="198"/>
        <v/>
      </c>
      <c r="M524" s="62" t="str">
        <f t="shared" si="199"/>
        <v/>
      </c>
      <c r="N524" s="133" t="str">
        <f>IF(AND(L524="",[1]Übersicht!L524=""),"",IF(AND(L524="NEGATIV EV",[1]Übersicht!L524="NO BET"),"NO BET",IF(AND(NOT(L524="NEGATIV EV"),L524&gt;[1]Übersicht!L524),"BET365",IF([1]Übersicht!L524="NO BET","BET365","PINNACLE"))))</f>
        <v>BET365</v>
      </c>
      <c r="O524" s="138" t="e">
        <f>IF(OR(N524="",N524="NO BET"),"",IF(N524="PINNACLE",IF([1]Übersicht!K524="T1",[1]Übersicht!G524*[1]Übersicht!M524-[1]Übersicht!M524,[1]Übersicht!H524*[1]Übersicht!M524-[1]Übersicht!M524),IF(K524="T1",G524*M524*0.95-M524,H524*M524*0.95-M524)))</f>
        <v>#VALUE!</v>
      </c>
      <c r="P524" s="136"/>
      <c r="Q524" s="69"/>
      <c r="R524" s="52">
        <f>IF(OR(P524="",N524="NO BET"),0,IF(K524=P524,O524,IF(N524="PINNACLE",-[1]Übersicht!M524,-M524)))</f>
        <v>0</v>
      </c>
      <c r="S524" s="69"/>
      <c r="T524" s="248" t="e">
        <f>IF(AND(NOT(N517=0)),T517/N517,0)</f>
        <v>#VALUE!</v>
      </c>
      <c r="U524" s="9"/>
    </row>
    <row r="525" spans="1:21" ht="15.75" customHeight="1" thickBot="1" x14ac:dyDescent="0.25">
      <c r="A525" s="257"/>
      <c r="B525" s="246"/>
      <c r="C525" s="167"/>
      <c r="D525" s="7"/>
      <c r="E525" s="7"/>
      <c r="F525" s="7" t="str">
        <f t="shared" si="195"/>
        <v/>
      </c>
      <c r="G525" s="7"/>
      <c r="H525" s="7"/>
      <c r="I525" s="7" t="str">
        <f t="shared" si="196"/>
        <v/>
      </c>
      <c r="J525" s="7" t="str">
        <f t="shared" si="197"/>
        <v/>
      </c>
      <c r="K525" s="7" t="str">
        <f t="shared" si="192"/>
        <v/>
      </c>
      <c r="L525" s="131" t="str">
        <f t="shared" si="198"/>
        <v/>
      </c>
      <c r="M525" s="60" t="str">
        <f t="shared" si="199"/>
        <v/>
      </c>
      <c r="N525" s="133" t="str">
        <f>IF(AND(L525="",[1]Übersicht!L525=""),"",IF(AND(L525="NEGATIV EV",[1]Übersicht!L525="NO BET"),"NO BET",IF(AND(NOT(L525="NEGATIV EV"),L525&gt;[1]Übersicht!L525),"BET365",IF([1]Übersicht!L525="NO BET","BET365","PINNACLE"))))</f>
        <v>BET365</v>
      </c>
      <c r="O525" s="139" t="e">
        <f>IF(OR(N525="",N525="NO BET"),"",IF(N525="PINNACLE",IF([1]Übersicht!K525="T1",[1]Übersicht!G525*[1]Übersicht!M525-[1]Übersicht!M525,[1]Übersicht!H525*[1]Übersicht!M525-[1]Übersicht!M525),IF(K525="T1",G525*M525*0.95-M525,H525*M525*0.95-M525)))</f>
        <v>#VALUE!</v>
      </c>
      <c r="P525" s="136"/>
      <c r="Q525" s="69"/>
      <c r="R525" s="52">
        <f>IF(OR(P525="",N525="NO BET"),0,IF(K525=P525,O525,IF(N525="PINNACLE",-[1]Übersicht!M525,-M525)))</f>
        <v>0</v>
      </c>
      <c r="S525" s="69"/>
      <c r="T525" s="249"/>
      <c r="U525" s="9"/>
    </row>
    <row r="526" spans="1:21" ht="15.75" customHeight="1" thickBot="1" x14ac:dyDescent="0.25">
      <c r="A526" s="258"/>
      <c r="B526" s="247"/>
      <c r="C526" s="168"/>
      <c r="D526" s="63"/>
      <c r="E526" s="63"/>
      <c r="F526" s="63" t="str">
        <f t="shared" si="195"/>
        <v/>
      </c>
      <c r="G526" s="63"/>
      <c r="H526" s="63"/>
      <c r="I526" s="63" t="str">
        <f t="shared" si="196"/>
        <v/>
      </c>
      <c r="J526" s="63" t="str">
        <f t="shared" si="197"/>
        <v/>
      </c>
      <c r="K526" s="63" t="str">
        <f t="shared" si="192"/>
        <v/>
      </c>
      <c r="L526" s="132" t="str">
        <f t="shared" si="198"/>
        <v/>
      </c>
      <c r="M526" s="65" t="str">
        <f t="shared" si="199"/>
        <v/>
      </c>
      <c r="N526" s="133" t="str">
        <f>IF(AND(L526="",[1]Übersicht!L526=""),"",IF(AND(L526="NEGATIV EV",[1]Übersicht!L526="NO BET"),"NO BET",IF(AND(NOT(L526="NEGATIV EV"),L526&gt;[1]Übersicht!L526),"BET365",IF([1]Übersicht!L526="NO BET","BET365","PINNACLE"))))</f>
        <v>BET365</v>
      </c>
      <c r="O526" s="138" t="e">
        <f>IF(OR(N526="",N526="NO BET"),"",IF(N526="PINNACLE",IF([1]Übersicht!K526="T1",[1]Übersicht!G526*[1]Übersicht!M526-[1]Übersicht!M526,[1]Übersicht!H526*[1]Übersicht!M526-[1]Übersicht!M526),IF(K526="T1",G526*M526*0.95-M526,H526*M526*0.95-M526)))</f>
        <v>#VALUE!</v>
      </c>
      <c r="P526" s="66"/>
      <c r="Q526" s="9"/>
      <c r="R526" s="135">
        <f>IF(OR(P526="",N526="NO BET"),0,IF(K526=P526,O526,IF(N526="PINNACLE",-[1]Übersicht!M526,-M526)))</f>
        <v>0</v>
      </c>
      <c r="S526" s="9"/>
      <c r="T526" s="250"/>
      <c r="U526" s="9"/>
    </row>
    <row r="527" spans="1:21" ht="15.75" customHeight="1" x14ac:dyDescent="0.2">
      <c r="A527" s="9"/>
      <c r="B527" s="9"/>
      <c r="C527" s="11"/>
      <c r="D527" s="9"/>
      <c r="E527" s="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10"/>
      <c r="S527" s="9"/>
      <c r="T527" s="11"/>
      <c r="U527" s="9"/>
    </row>
    <row r="528" spans="1:21" ht="15.75" customHeight="1" x14ac:dyDescent="0.2">
      <c r="A528" s="9"/>
      <c r="B528" s="9"/>
      <c r="C528" s="11"/>
      <c r="D528" s="9"/>
      <c r="E528" s="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10"/>
      <c r="S528" s="9"/>
      <c r="T528" s="11"/>
      <c r="U528" s="9"/>
    </row>
    <row r="529" spans="1:21" ht="15.75" customHeight="1" thickBot="1" x14ac:dyDescent="0.25">
      <c r="A529" s="9"/>
      <c r="B529" s="9"/>
      <c r="C529" s="11"/>
      <c r="D529" s="9"/>
      <c r="E529" s="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10"/>
      <c r="S529" s="9"/>
      <c r="T529" s="11"/>
      <c r="U529" s="9"/>
    </row>
    <row r="530" spans="1:21" ht="22.5" customHeight="1" thickBot="1" x14ac:dyDescent="0.25">
      <c r="A530" s="79" t="s">
        <v>6</v>
      </c>
      <c r="B530" s="245" t="s">
        <v>24</v>
      </c>
      <c r="C530" s="160"/>
      <c r="D530" s="43" t="s">
        <v>9</v>
      </c>
      <c r="E530" s="43" t="s">
        <v>10</v>
      </c>
      <c r="F530" s="43" t="s">
        <v>11</v>
      </c>
      <c r="G530" s="43" t="s">
        <v>12</v>
      </c>
      <c r="H530" s="43" t="s">
        <v>13</v>
      </c>
      <c r="I530" s="43" t="s">
        <v>14</v>
      </c>
      <c r="J530" s="43" t="s">
        <v>15</v>
      </c>
      <c r="K530" s="43" t="s">
        <v>33</v>
      </c>
      <c r="L530" s="43" t="s">
        <v>16</v>
      </c>
      <c r="M530" s="43" t="s">
        <v>38</v>
      </c>
      <c r="N530" s="128" t="s">
        <v>87</v>
      </c>
      <c r="O530" s="128" t="s">
        <v>89</v>
      </c>
      <c r="P530" s="137" t="s">
        <v>18</v>
      </c>
      <c r="Q530" s="69"/>
      <c r="R530" s="134" t="s">
        <v>34</v>
      </c>
      <c r="S530" s="69"/>
      <c r="T530" s="47" t="s">
        <v>29</v>
      </c>
      <c r="U530" s="9"/>
    </row>
    <row r="531" spans="1:21" ht="15.75" customHeight="1" thickBot="1" x14ac:dyDescent="0.25">
      <c r="A531" s="80"/>
      <c r="B531" s="246"/>
      <c r="C531" s="165"/>
      <c r="D531" s="48"/>
      <c r="E531" s="48"/>
      <c r="F531" s="48" t="str">
        <f>IF(AND(C531=""),"",1-C531)</f>
        <v/>
      </c>
      <c r="G531" s="48"/>
      <c r="H531" s="48"/>
      <c r="I531" s="48" t="str">
        <f>IF(AND(C531=""),"",G531*C531)</f>
        <v/>
      </c>
      <c r="J531" s="48" t="str">
        <f>IF(AND(C531=""),"",H531*F531)</f>
        <v/>
      </c>
      <c r="K531" s="48" t="str">
        <f t="shared" ref="K531:K540" si="200">IF(AND(I531=""),"",IF(AND(I531&gt;J531),"T1","T2"))</f>
        <v/>
      </c>
      <c r="L531" s="129" t="str">
        <f t="shared" ref="L531:L535" si="201">IF(AND(K531=""),"",IF(AND((J531*0.95-1)&lt;0,(I531*0.95-1)&lt;0),"NEGATIV EV", IF(AND(K531="T1"),I531*0.95 - 1,J531*0.95 - 1)))</f>
        <v/>
      </c>
      <c r="M531" s="50" t="str">
        <f t="shared" ref="M531:M535" si="202">IF(L531="","",IF(L531&lt;0.5,K$2*M$2,IF(L531&lt;0.75,K$2*M$3,IF(L531&lt;1,K$2*M$4,IF(L531&lt;1.25,K$2*M$5,IF(L531&lt;1.5,K$2*M$6,IF(L531&lt;2,K$2*M$7,IF(L531&lt;2.5,K$2*M$8,IF(L531="NEGATIV EV","NEGATIV EV",K$2*M$9)))))))))</f>
        <v/>
      </c>
      <c r="N531" s="133" t="str">
        <f>IF(AND(L531="",[1]Übersicht!L531=""),"",IF(AND(L531="NEGATIV EV",[1]Übersicht!L531="NO BET"),"NO BET",IF(AND(NOT(L531="NEGATIV EV"),L531&gt;[1]Übersicht!L531),"BET365",IF([1]Übersicht!L531="NO BET","BET365","PINNACLE"))))</f>
        <v>BET365</v>
      </c>
      <c r="O531" s="140" t="e">
        <f>IF(OR(N531="",N531="NO BET"),"",IF(N531="PINNACLE",IF([1]Übersicht!K531="T1",[1]Übersicht!G531*[1]Übersicht!M531-[1]Übersicht!M531,[1]Übersicht!H531*[1]Übersicht!M531-[1]Übersicht!M531),IF(K531="T1",G531*M531*0.95-M531,H531*M531*0.95-M531)))</f>
        <v>#VALUE!</v>
      </c>
      <c r="P531" s="136"/>
      <c r="Q531" s="70"/>
      <c r="R531" s="52">
        <f>IF(OR(P531="",N531="NO BET"),0,IF(K531=P531,O531,IF(N531="PINNACLE",-[1]Übersicht!M531,-M531)))</f>
        <v>0</v>
      </c>
      <c r="S531" s="69"/>
      <c r="T531" s="241">
        <f>SUM(R531:R540)</f>
        <v>0</v>
      </c>
      <c r="U531" s="9"/>
    </row>
    <row r="532" spans="1:21" ht="15.75" customHeight="1" thickBot="1" x14ac:dyDescent="0.25">
      <c r="A532" s="257" t="s">
        <v>7</v>
      </c>
      <c r="B532" s="246"/>
      <c r="C532" s="166"/>
      <c r="D532" s="53"/>
      <c r="E532" s="53"/>
      <c r="F532" s="53" t="str">
        <f t="shared" ref="F532:F540" si="203">IF(AND(C532=""),"",1-C532)</f>
        <v/>
      </c>
      <c r="G532" s="53"/>
      <c r="H532" s="53"/>
      <c r="I532" s="53" t="str">
        <f t="shared" ref="I532:I540" si="204">IF(AND(C532=""),"",G532*C532)</f>
        <v/>
      </c>
      <c r="J532" s="53" t="str">
        <f t="shared" ref="J532:J540" si="205">IF(AND(C532=""),"",H532*F532)</f>
        <v/>
      </c>
      <c r="K532" s="53" t="str">
        <f t="shared" si="200"/>
        <v/>
      </c>
      <c r="L532" s="130" t="str">
        <f t="shared" si="201"/>
        <v/>
      </c>
      <c r="M532" s="55" t="str">
        <f t="shared" si="202"/>
        <v/>
      </c>
      <c r="N532" s="133" t="str">
        <f>IF(AND(L532="",[1]Übersicht!L532=""),"",IF(AND(L532="NEGATIV EV",[1]Übersicht!L532="NO BET"),"NO BET",IF(AND(NOT(L532="NEGATIV EV"),L532&gt;[1]Übersicht!L532),"BET365",IF([1]Übersicht!L532="NO BET","BET365","PINNACLE"))))</f>
        <v>BET365</v>
      </c>
      <c r="O532" s="138" t="e">
        <f>IF(OR(N532="",N532="NO BET"),"",IF(N532="PINNACLE",IF([1]Übersicht!K532="T1",[1]Übersicht!G532*[1]Übersicht!M532-[1]Übersicht!M532,[1]Übersicht!H532*[1]Übersicht!M532-[1]Übersicht!M532),IF(K532="T1",G532*M532*0.95-M532,H532*M532*0.95-M532)))</f>
        <v>#VALUE!</v>
      </c>
      <c r="P532" s="136"/>
      <c r="Q532" s="69"/>
      <c r="R532" s="52">
        <f>IF(OR(P532="",N532="NO BET"),0,IF(K532=P532,O532,IF(N532="PINNACLE",-[1]Übersicht!M532,-M532)))</f>
        <v>0</v>
      </c>
      <c r="S532" s="69"/>
      <c r="T532" s="241"/>
      <c r="U532" s="9"/>
    </row>
    <row r="533" spans="1:21" ht="15.75" customHeight="1" thickBot="1" x14ac:dyDescent="0.25">
      <c r="A533" s="257"/>
      <c r="B533" s="246"/>
      <c r="C533" s="167"/>
      <c r="D533" s="7"/>
      <c r="E533" s="7"/>
      <c r="F533" s="7" t="str">
        <f t="shared" si="203"/>
        <v/>
      </c>
      <c r="G533" s="7"/>
      <c r="H533" s="7"/>
      <c r="I533" s="7" t="str">
        <f t="shared" si="204"/>
        <v/>
      </c>
      <c r="J533" s="7" t="str">
        <f t="shared" si="205"/>
        <v/>
      </c>
      <c r="K533" s="7" t="str">
        <f t="shared" si="200"/>
        <v/>
      </c>
      <c r="L533" s="131" t="str">
        <f t="shared" si="201"/>
        <v/>
      </c>
      <c r="M533" s="59" t="str">
        <f t="shared" si="202"/>
        <v/>
      </c>
      <c r="N533" s="133" t="str">
        <f>IF(AND(L533="",[1]Übersicht!L533=""),"",IF(AND(L533="NEGATIV EV",[1]Übersicht!L533="NO BET"),"NO BET",IF(AND(NOT(L533="NEGATIV EV"),L533&gt;[1]Übersicht!L533),"BET365",IF([1]Übersicht!L533="NO BET","BET365","PINNACLE"))))</f>
        <v>BET365</v>
      </c>
      <c r="O533" s="140" t="e">
        <f>IF(OR(N533="",N533="NO BET"),"",IF(N533="PINNACLE",IF([1]Übersicht!K533="T1",[1]Übersicht!G533*[1]Übersicht!M533-[1]Übersicht!M533,[1]Übersicht!H533*[1]Übersicht!M533-[1]Übersicht!M533),IF(K533="T1",G533*M533*0.95-M533,H533*M533*0.95-M533)))</f>
        <v>#VALUE!</v>
      </c>
      <c r="P533" s="136"/>
      <c r="Q533" s="69"/>
      <c r="R533" s="52">
        <f>IF(OR(P533="",N533="NO BET"),0,IF(K533=P533,O533,IF(N533="PINNACLE",-[1]Übersicht!M533,-M533)))</f>
        <v>0</v>
      </c>
      <c r="S533" s="69"/>
      <c r="T533" s="241"/>
      <c r="U533" s="9"/>
    </row>
    <row r="534" spans="1:21" ht="15.75" customHeight="1" thickBot="1" x14ac:dyDescent="0.25">
      <c r="A534" s="257"/>
      <c r="B534" s="246"/>
      <c r="C534" s="166"/>
      <c r="D534" s="53"/>
      <c r="E534" s="53"/>
      <c r="F534" s="53" t="str">
        <f t="shared" si="203"/>
        <v/>
      </c>
      <c r="G534" s="53"/>
      <c r="H534" s="53"/>
      <c r="I534" s="53" t="str">
        <f t="shared" si="204"/>
        <v/>
      </c>
      <c r="J534" s="53" t="str">
        <f t="shared" si="205"/>
        <v/>
      </c>
      <c r="K534" s="53" t="str">
        <f t="shared" si="200"/>
        <v/>
      </c>
      <c r="L534" s="130" t="str">
        <f t="shared" si="201"/>
        <v/>
      </c>
      <c r="M534" s="55" t="str">
        <f t="shared" si="202"/>
        <v/>
      </c>
      <c r="N534" s="133" t="str">
        <f>IF(AND(L534="",[1]Übersicht!L534=""),"",IF(AND(L534="NEGATIV EV",[1]Übersicht!L534="NO BET"),"NO BET",IF(AND(NOT(L534="NEGATIV EV"),L534&gt;[1]Übersicht!L534),"BET365",IF([1]Übersicht!L534="NO BET","BET365","PINNACLE"))))</f>
        <v>BET365</v>
      </c>
      <c r="O534" s="138" t="e">
        <f>IF(OR(N534="",N534="NO BET"),"",IF(N534="PINNACLE",IF([1]Übersicht!K534="T1",[1]Übersicht!G534*[1]Übersicht!M534-[1]Übersicht!M534,[1]Übersicht!H534*[1]Übersicht!M534-[1]Übersicht!M534),IF(K534="T1",G534*M534*0.95-M534,H534*M534*0.95-M534)))</f>
        <v>#VALUE!</v>
      </c>
      <c r="P534" s="136"/>
      <c r="Q534" s="69"/>
      <c r="R534" s="52">
        <f>IF(OR(P534="",N534="NO BET"),0,IF(K534=P534,O534,IF(N534="PINNACLE",-[1]Übersicht!M534,-M534)))</f>
        <v>0</v>
      </c>
      <c r="S534" s="69"/>
      <c r="T534" s="241"/>
      <c r="U534" s="9"/>
    </row>
    <row r="535" spans="1:21" ht="15.75" customHeight="1" thickBot="1" x14ac:dyDescent="0.25">
      <c r="A535" s="257"/>
      <c r="B535" s="246"/>
      <c r="C535" s="167"/>
      <c r="D535" s="7"/>
      <c r="E535" s="7"/>
      <c r="F535" s="7" t="str">
        <f t="shared" si="203"/>
        <v/>
      </c>
      <c r="G535" s="7"/>
      <c r="H535" s="7"/>
      <c r="I535" s="7" t="str">
        <f t="shared" si="204"/>
        <v/>
      </c>
      <c r="J535" s="7" t="str">
        <f t="shared" si="205"/>
        <v/>
      </c>
      <c r="K535" s="7" t="str">
        <f t="shared" si="200"/>
        <v/>
      </c>
      <c r="L535" s="131" t="str">
        <f t="shared" si="201"/>
        <v/>
      </c>
      <c r="M535" s="60" t="str">
        <f t="shared" si="202"/>
        <v/>
      </c>
      <c r="N535" s="133" t="str">
        <f>IF(AND(L535="",[1]Übersicht!L535=""),"",IF(AND(L535="NEGATIV EV",[1]Übersicht!L535="NO BET"),"NO BET",IF(AND(NOT(L535="NEGATIV EV"),L535&gt;[1]Übersicht!L535),"BET365",IF([1]Übersicht!L535="NO BET","BET365","PINNACLE"))))</f>
        <v>BET365</v>
      </c>
      <c r="O535" s="140" t="e">
        <f>IF(OR(N535="",N535="NO BET"),"",IF(N535="PINNACLE",IF([1]Übersicht!K535="T1",[1]Übersicht!G535*[1]Übersicht!M535-[1]Übersicht!M535,[1]Übersicht!H535*[1]Übersicht!M535-[1]Übersicht!M535),IF(K535="T1",G535*M535*0.95-M535,H535*M535*0.95-M535)))</f>
        <v>#VALUE!</v>
      </c>
      <c r="P535" s="136"/>
      <c r="Q535" s="69"/>
      <c r="R535" s="52">
        <f>IF(OR(P535="",N535="NO BET"),0,IF(K535=P535,O535,IF(N535="PINNACLE",-[1]Übersicht!M535,-M535)))</f>
        <v>0</v>
      </c>
      <c r="S535" s="69"/>
      <c r="T535" s="241"/>
      <c r="U535" s="9"/>
    </row>
    <row r="536" spans="1:21" ht="15.75" customHeight="1" thickBot="1" x14ac:dyDescent="0.25">
      <c r="A536" s="257"/>
      <c r="B536" s="246"/>
      <c r="C536" s="166"/>
      <c r="D536" s="53"/>
      <c r="E536" s="53"/>
      <c r="F536" s="53" t="str">
        <f t="shared" si="203"/>
        <v/>
      </c>
      <c r="G536" s="53"/>
      <c r="H536" s="53"/>
      <c r="I536" s="53" t="str">
        <f t="shared" si="204"/>
        <v/>
      </c>
      <c r="J536" s="53" t="str">
        <f t="shared" si="205"/>
        <v/>
      </c>
      <c r="K536" s="53" t="str">
        <f t="shared" si="200"/>
        <v/>
      </c>
      <c r="L536" s="130" t="str">
        <f>IF(AND(K536=""),"",IF(AND((J536*0.95-1)&lt;0,(I536*0.95-1)&lt;0),"NEGATIV EV", IF(AND(K536="T1"),I536*0.95 - 1,J536*0.95 - 1)))</f>
        <v/>
      </c>
      <c r="M536" s="55" t="str">
        <f>IF(L536="","",IF(L536&lt;0.5,K$2*M$2,IF(L536&lt;0.75,K$2*M$3,IF(L536&lt;1,K$2*M$4,IF(L536&lt;1.25,K$2*M$5,IF(L536&lt;1.5,K$2*M$6,IF(L536&lt;2,K$2*M$7,IF(L536&lt;2.5,K$2*M$8,IF(L536="NEGATIV EV","NEGATIV EV",K$2*M$9)))))))))</f>
        <v/>
      </c>
      <c r="N536" s="133" t="str">
        <f>IF(AND(L536="",[1]Übersicht!L536=""),"",IF(AND(L536="NEGATIV EV",[1]Übersicht!L536="NO BET"),"NO BET",IF(AND(NOT(L536="NEGATIV EV"),L536&gt;[1]Übersicht!L536),"BET365",IF([1]Übersicht!L536="NO BET","BET365","PINNACLE"))))</f>
        <v>BET365</v>
      </c>
      <c r="O536" s="138" t="e">
        <f>IF(OR(N536="",N536="NO BET"),"",IF(N536="PINNACLE",IF([1]Übersicht!K536="T1",[1]Übersicht!G536*[1]Übersicht!M536-[1]Übersicht!M536,[1]Übersicht!H536*[1]Übersicht!M536-[1]Übersicht!M536),IF(K536="T1",G536*M536*0.95-M536,H536*M536*0.95-M536)))</f>
        <v>#VALUE!</v>
      </c>
      <c r="P536" s="136"/>
      <c r="Q536" s="69"/>
      <c r="R536" s="52">
        <f>IF(OR(P536="",N536="NO BET"),0,IF(K536=P536,O536,IF(N536="PINNACLE",-[1]Übersicht!M536,-M536)))</f>
        <v>0</v>
      </c>
      <c r="S536" s="69"/>
      <c r="T536" s="241"/>
      <c r="U536" s="9"/>
    </row>
    <row r="537" spans="1:21" ht="15.75" customHeight="1" thickBot="1" x14ac:dyDescent="0.25">
      <c r="A537" s="257"/>
      <c r="B537" s="246"/>
      <c r="C537" s="167"/>
      <c r="D537" s="7"/>
      <c r="E537" s="7"/>
      <c r="F537" s="7" t="str">
        <f t="shared" si="203"/>
        <v/>
      </c>
      <c r="G537" s="7"/>
      <c r="H537" s="7"/>
      <c r="I537" s="7" t="str">
        <f t="shared" si="204"/>
        <v/>
      </c>
      <c r="J537" s="7" t="str">
        <f t="shared" si="205"/>
        <v/>
      </c>
      <c r="K537" s="7" t="str">
        <f t="shared" si="200"/>
        <v/>
      </c>
      <c r="L537" s="131" t="str">
        <f t="shared" ref="L537:L540" si="206">IF(AND(K537=""),"",IF(AND((J537*0.95-1)&lt;0,(I537*0.95-1)&lt;0),"NEGATIV EV", IF(AND(K537="T1"),I537*0.95 - 1,J537*0.95 - 1)))</f>
        <v/>
      </c>
      <c r="M537" s="59" t="str">
        <f t="shared" ref="M537:M540" si="207">IF(L537="","",IF(L537&lt;0.5,K$2*M$2,IF(L537&lt;0.75,K$2*M$3,IF(L537&lt;1,K$2*M$4,IF(L537&lt;1.25,K$2*M$5,IF(L537&lt;1.5,K$2*M$6,IF(L537&lt;2,K$2*M$7,IF(L537&lt;2.5,K$2*M$8,IF(L537="NEGATIV EV","NEGATIV EV",K$2*M$9)))))))))</f>
        <v/>
      </c>
      <c r="N537" s="133" t="str">
        <f>IF(AND(L537="",[1]Übersicht!L537=""),"",IF(AND(L537="NEGATIV EV",[1]Übersicht!L537="NO BET"),"NO BET",IF(AND(NOT(L537="NEGATIV EV"),L537&gt;[1]Übersicht!L537),"BET365",IF([1]Übersicht!L537="NO BET","BET365","PINNACLE"))))</f>
        <v>BET365</v>
      </c>
      <c r="O537" s="140" t="e">
        <f>IF(OR(N537="",N537="NO BET"),"",IF(N537="PINNACLE",IF([1]Übersicht!K537="T1",[1]Übersicht!G537*[1]Übersicht!M537-[1]Übersicht!M537,[1]Übersicht!H537*[1]Übersicht!M537-[1]Übersicht!M537),IF(K537="T1",G537*M537*0.95-M537,H537*M537*0.95-M537)))</f>
        <v>#VALUE!</v>
      </c>
      <c r="P537" s="56"/>
      <c r="Q537" s="69"/>
      <c r="R537" s="52">
        <f>IF(OR(P537="",N537="NO BET"),0,IF(K537=P537,O537,IF(N537="PINNACLE",-[1]Übersicht!M537,-M537)))</f>
        <v>0</v>
      </c>
      <c r="S537" s="69"/>
      <c r="T537" s="61" t="s">
        <v>31</v>
      </c>
      <c r="U537" s="9"/>
    </row>
    <row r="538" spans="1:21" ht="15.75" customHeight="1" thickBot="1" x14ac:dyDescent="0.25">
      <c r="A538" s="257"/>
      <c r="B538" s="246"/>
      <c r="C538" s="166"/>
      <c r="D538" s="53"/>
      <c r="E538" s="53"/>
      <c r="F538" s="53" t="str">
        <f t="shared" si="203"/>
        <v/>
      </c>
      <c r="G538" s="53"/>
      <c r="H538" s="53"/>
      <c r="I538" s="53" t="str">
        <f t="shared" si="204"/>
        <v/>
      </c>
      <c r="J538" s="53" t="str">
        <f t="shared" si="205"/>
        <v/>
      </c>
      <c r="K538" s="53" t="str">
        <f t="shared" si="200"/>
        <v/>
      </c>
      <c r="L538" s="130" t="str">
        <f t="shared" si="206"/>
        <v/>
      </c>
      <c r="M538" s="62" t="str">
        <f t="shared" si="207"/>
        <v/>
      </c>
      <c r="N538" s="133" t="str">
        <f>IF(AND(L538="",[1]Übersicht!L538=""),"",IF(AND(L538="NEGATIV EV",[1]Übersicht!L538="NO BET"),"NO BET",IF(AND(NOT(L538="NEGATIV EV"),L538&gt;[1]Übersicht!L538),"BET365",IF([1]Übersicht!L538="NO BET","BET365","PINNACLE"))))</f>
        <v>BET365</v>
      </c>
      <c r="O538" s="138" t="e">
        <f>IF(OR(N538="",N538="NO BET"),"",IF(N538="PINNACLE",IF([1]Übersicht!K538="T1",[1]Übersicht!G538*[1]Übersicht!M538-[1]Übersicht!M538,[1]Übersicht!H538*[1]Übersicht!M538-[1]Übersicht!M538),IF(K538="T1",G538*M538*0.95-M538,H538*M538*0.95-M538)))</f>
        <v>#VALUE!</v>
      </c>
      <c r="P538" s="136"/>
      <c r="Q538" s="69"/>
      <c r="R538" s="52">
        <f>IF(OR(P538="",N538="NO BET"),0,IF(K538=P538,O538,IF(N538="PINNACLE",-[1]Übersicht!M538,-M538)))</f>
        <v>0</v>
      </c>
      <c r="S538" s="69"/>
      <c r="T538" s="248" t="e">
        <f>IF(AND(NOT(N531=0)),T531/N531,0)</f>
        <v>#VALUE!</v>
      </c>
      <c r="U538" s="9"/>
    </row>
    <row r="539" spans="1:21" ht="15.75" customHeight="1" thickBot="1" x14ac:dyDescent="0.25">
      <c r="A539" s="257"/>
      <c r="B539" s="246"/>
      <c r="C539" s="167"/>
      <c r="D539" s="7"/>
      <c r="E539" s="7"/>
      <c r="F539" s="7" t="str">
        <f t="shared" si="203"/>
        <v/>
      </c>
      <c r="G539" s="7"/>
      <c r="H539" s="7"/>
      <c r="I539" s="7" t="str">
        <f t="shared" si="204"/>
        <v/>
      </c>
      <c r="J539" s="7" t="str">
        <f t="shared" si="205"/>
        <v/>
      </c>
      <c r="K539" s="7" t="str">
        <f t="shared" si="200"/>
        <v/>
      </c>
      <c r="L539" s="131" t="str">
        <f t="shared" si="206"/>
        <v/>
      </c>
      <c r="M539" s="60" t="str">
        <f t="shared" si="207"/>
        <v/>
      </c>
      <c r="N539" s="133" t="str">
        <f>IF(AND(L539="",[1]Übersicht!L539=""),"",IF(AND(L539="NEGATIV EV",[1]Übersicht!L539="NO BET"),"NO BET",IF(AND(NOT(L539="NEGATIV EV"),L539&gt;[1]Übersicht!L539),"BET365",IF([1]Übersicht!L539="NO BET","BET365","PINNACLE"))))</f>
        <v>BET365</v>
      </c>
      <c r="O539" s="139" t="e">
        <f>IF(OR(N539="",N539="NO BET"),"",IF(N539="PINNACLE",IF([1]Übersicht!K539="T1",[1]Übersicht!G539*[1]Übersicht!M539-[1]Übersicht!M539,[1]Übersicht!H539*[1]Übersicht!M539-[1]Übersicht!M539),IF(K539="T1",G539*M539*0.95-M539,H539*M539*0.95-M539)))</f>
        <v>#VALUE!</v>
      </c>
      <c r="P539" s="136"/>
      <c r="Q539" s="69"/>
      <c r="R539" s="52">
        <f>IF(OR(P539="",N539="NO BET"),0,IF(K539=P539,O539,IF(N539="PINNACLE",-[1]Übersicht!M539,-M539)))</f>
        <v>0</v>
      </c>
      <c r="S539" s="69"/>
      <c r="T539" s="249"/>
      <c r="U539" s="9"/>
    </row>
    <row r="540" spans="1:21" ht="15.75" customHeight="1" thickBot="1" x14ac:dyDescent="0.25">
      <c r="A540" s="258"/>
      <c r="B540" s="247"/>
      <c r="C540" s="168"/>
      <c r="D540" s="63"/>
      <c r="E540" s="63"/>
      <c r="F540" s="63" t="str">
        <f t="shared" si="203"/>
        <v/>
      </c>
      <c r="G540" s="63"/>
      <c r="H540" s="63"/>
      <c r="I540" s="63" t="str">
        <f t="shared" si="204"/>
        <v/>
      </c>
      <c r="J540" s="63" t="str">
        <f t="shared" si="205"/>
        <v/>
      </c>
      <c r="K540" s="63" t="str">
        <f t="shared" si="200"/>
        <v/>
      </c>
      <c r="L540" s="132" t="str">
        <f t="shared" si="206"/>
        <v/>
      </c>
      <c r="M540" s="65" t="str">
        <f t="shared" si="207"/>
        <v/>
      </c>
      <c r="N540" s="133" t="str">
        <f>IF(AND(L540="",[1]Übersicht!L540=""),"",IF(AND(L540="NEGATIV EV",[1]Übersicht!L540="NO BET"),"NO BET",IF(AND(NOT(L540="NEGATIV EV"),L540&gt;[1]Übersicht!L540),"BET365",IF([1]Übersicht!L540="NO BET","BET365","PINNACLE"))))</f>
        <v>BET365</v>
      </c>
      <c r="O540" s="138" t="e">
        <f>IF(OR(N540="",N540="NO BET"),"",IF(N540="PINNACLE",IF([1]Übersicht!K540="T1",[1]Übersicht!G540*[1]Übersicht!M540-[1]Übersicht!M540,[1]Übersicht!H540*[1]Übersicht!M540-[1]Übersicht!M540),IF(K540="T1",G540*M540*0.95-M540,H540*M540*0.95-M540)))</f>
        <v>#VALUE!</v>
      </c>
      <c r="P540" s="66"/>
      <c r="Q540" s="9"/>
      <c r="R540" s="135">
        <f>IF(OR(P540="",N540="NO BET"),0,IF(K540=P540,O540,IF(N540="PINNACLE",-[1]Übersicht!M540,-M540)))</f>
        <v>0</v>
      </c>
      <c r="S540" s="9"/>
      <c r="T540" s="250"/>
      <c r="U540" s="9"/>
    </row>
    <row r="541" spans="1:21" ht="15.75" customHeight="1" x14ac:dyDescent="0.2">
      <c r="A541" s="9"/>
      <c r="B541" s="9"/>
      <c r="C541" s="11"/>
      <c r="D541" s="9"/>
      <c r="E541" s="9"/>
      <c r="F541" s="9"/>
      <c r="G541" s="9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10"/>
      <c r="S541" s="9"/>
      <c r="T541" s="11"/>
      <c r="U541" s="9"/>
    </row>
    <row r="542" spans="1:21" ht="15.75" customHeight="1" x14ac:dyDescent="0.2">
      <c r="A542" s="9"/>
      <c r="B542" s="9"/>
      <c r="C542" s="11"/>
      <c r="D542" s="9"/>
      <c r="E542" s="9"/>
      <c r="F542" s="9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10"/>
      <c r="S542" s="9"/>
      <c r="T542" s="11"/>
      <c r="U542" s="9"/>
    </row>
    <row r="543" spans="1:21" ht="15.75" customHeight="1" thickBot="1" x14ac:dyDescent="0.25">
      <c r="A543" s="9"/>
      <c r="B543" s="9"/>
      <c r="C543" s="11"/>
      <c r="D543" s="9"/>
      <c r="E543" s="9"/>
      <c r="F543" s="9"/>
      <c r="G543" s="9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10"/>
      <c r="S543" s="9"/>
      <c r="T543" s="11"/>
      <c r="U543" s="9"/>
    </row>
    <row r="544" spans="1:21" ht="22.5" customHeight="1" thickBot="1" x14ac:dyDescent="0.25">
      <c r="A544" s="79" t="s">
        <v>6</v>
      </c>
      <c r="B544" s="245" t="s">
        <v>25</v>
      </c>
      <c r="C544" s="160"/>
      <c r="D544" s="43" t="s">
        <v>9</v>
      </c>
      <c r="E544" s="43" t="s">
        <v>10</v>
      </c>
      <c r="F544" s="43" t="s">
        <v>11</v>
      </c>
      <c r="G544" s="43" t="s">
        <v>12</v>
      </c>
      <c r="H544" s="43" t="s">
        <v>13</v>
      </c>
      <c r="I544" s="43" t="s">
        <v>14</v>
      </c>
      <c r="J544" s="43" t="s">
        <v>15</v>
      </c>
      <c r="K544" s="43" t="s">
        <v>33</v>
      </c>
      <c r="L544" s="43" t="s">
        <v>16</v>
      </c>
      <c r="M544" s="43" t="s">
        <v>38</v>
      </c>
      <c r="N544" s="128" t="s">
        <v>87</v>
      </c>
      <c r="O544" s="128" t="s">
        <v>89</v>
      </c>
      <c r="P544" s="137" t="s">
        <v>18</v>
      </c>
      <c r="Q544" s="69"/>
      <c r="R544" s="134" t="s">
        <v>34</v>
      </c>
      <c r="S544" s="69"/>
      <c r="T544" s="47" t="s">
        <v>29</v>
      </c>
      <c r="U544" s="9"/>
    </row>
    <row r="545" spans="1:21" ht="15.75" customHeight="1" thickBot="1" x14ac:dyDescent="0.25">
      <c r="A545" s="80"/>
      <c r="B545" s="246"/>
      <c r="C545" s="165"/>
      <c r="D545" s="48"/>
      <c r="E545" s="48"/>
      <c r="F545" s="48" t="str">
        <f>IF(AND(C545=""),"",1-C545)</f>
        <v/>
      </c>
      <c r="G545" s="48"/>
      <c r="H545" s="48"/>
      <c r="I545" s="48" t="str">
        <f>IF(AND(C545=""),"",G545*C545)</f>
        <v/>
      </c>
      <c r="J545" s="48" t="str">
        <f>IF(AND(C545=""),"",H545*F545)</f>
        <v/>
      </c>
      <c r="K545" s="48" t="str">
        <f t="shared" ref="K545:K554" si="208">IF(AND(I545=""),"",IF(AND(I545&gt;J545),"T1","T2"))</f>
        <v/>
      </c>
      <c r="L545" s="129" t="str">
        <f t="shared" ref="L545:L549" si="209">IF(AND(K545=""),"",IF(AND((J545*0.95-1)&lt;0,(I545*0.95-1)&lt;0),"NEGATIV EV", IF(AND(K545="T1"),I545*0.95 - 1,J545*0.95 - 1)))</f>
        <v/>
      </c>
      <c r="M545" s="50" t="str">
        <f t="shared" ref="M545:M549" si="210">IF(L545="","",IF(L545&lt;0.5,K$2*M$2,IF(L545&lt;0.75,K$2*M$3,IF(L545&lt;1,K$2*M$4,IF(L545&lt;1.25,K$2*M$5,IF(L545&lt;1.5,K$2*M$6,IF(L545&lt;2,K$2*M$7,IF(L545&lt;2.5,K$2*M$8,IF(L545="NEGATIV EV","NEGATIV EV",K$2*M$9)))))))))</f>
        <v/>
      </c>
      <c r="N545" s="133" t="str">
        <f>IF(AND(L545="",[1]Übersicht!L545=""),"",IF(AND(L545="NEGATIV EV",[1]Übersicht!L545="NO BET"),"NO BET",IF(AND(NOT(L545="NEGATIV EV"),L545&gt;[1]Übersicht!L545),"BET365",IF([1]Übersicht!L545="NO BET","BET365","PINNACLE"))))</f>
        <v>BET365</v>
      </c>
      <c r="O545" s="140" t="e">
        <f>IF(OR(N545="",N545="NO BET"),"",IF(N545="PINNACLE",IF([1]Übersicht!K545="T1",[1]Übersicht!G545*[1]Übersicht!M545-[1]Übersicht!M545,[1]Übersicht!H545*[1]Übersicht!M545-[1]Übersicht!M545),IF(K545="T1",G545*M545*0.95-M545,H545*M545*0.95-M545)))</f>
        <v>#VALUE!</v>
      </c>
      <c r="P545" s="136"/>
      <c r="Q545" s="70"/>
      <c r="R545" s="52">
        <f>IF(OR(P545="",N545="NO BET"),0,IF(K545=P545,O545,IF(N545="PINNACLE",-[1]Übersicht!M545,-M545)))</f>
        <v>0</v>
      </c>
      <c r="S545" s="69"/>
      <c r="T545" s="241">
        <f>SUM(R545:R554)</f>
        <v>0</v>
      </c>
      <c r="U545" s="9"/>
    </row>
    <row r="546" spans="1:21" ht="15.75" customHeight="1" thickBot="1" x14ac:dyDescent="0.25">
      <c r="A546" s="257" t="s">
        <v>7</v>
      </c>
      <c r="B546" s="246"/>
      <c r="C546" s="166"/>
      <c r="D546" s="53"/>
      <c r="E546" s="53"/>
      <c r="F546" s="53" t="str">
        <f t="shared" ref="F546:F554" si="211">IF(AND(C546=""),"",1-C546)</f>
        <v/>
      </c>
      <c r="G546" s="53"/>
      <c r="H546" s="53"/>
      <c r="I546" s="53" t="str">
        <f t="shared" ref="I546:I554" si="212">IF(AND(C546=""),"",G546*C546)</f>
        <v/>
      </c>
      <c r="J546" s="53" t="str">
        <f t="shared" ref="J546:J554" si="213">IF(AND(C546=""),"",H546*F546)</f>
        <v/>
      </c>
      <c r="K546" s="53" t="str">
        <f t="shared" si="208"/>
        <v/>
      </c>
      <c r="L546" s="130" t="str">
        <f t="shared" si="209"/>
        <v/>
      </c>
      <c r="M546" s="55" t="str">
        <f t="shared" si="210"/>
        <v/>
      </c>
      <c r="N546" s="133" t="str">
        <f>IF(AND(L546="",[1]Übersicht!L546=""),"",IF(AND(L546="NEGATIV EV",[1]Übersicht!L546="NO BET"),"NO BET",IF(AND(NOT(L546="NEGATIV EV"),L546&gt;[1]Übersicht!L546),"BET365",IF([1]Übersicht!L546="NO BET","BET365","PINNACLE"))))</f>
        <v>BET365</v>
      </c>
      <c r="O546" s="138" t="e">
        <f>IF(OR(N546="",N546="NO BET"),"",IF(N546="PINNACLE",IF([1]Übersicht!K546="T1",[1]Übersicht!G546*[1]Übersicht!M546-[1]Übersicht!M546,[1]Übersicht!H546*[1]Übersicht!M546-[1]Übersicht!M546),IF(K546="T1",G546*M546*0.95-M546,H546*M546*0.95-M546)))</f>
        <v>#VALUE!</v>
      </c>
      <c r="P546" s="136"/>
      <c r="Q546" s="69"/>
      <c r="R546" s="52">
        <f>IF(OR(P546="",N546="NO BET"),0,IF(K546=P546,O546,IF(N546="PINNACLE",-[1]Übersicht!M546,-M546)))</f>
        <v>0</v>
      </c>
      <c r="S546" s="69"/>
      <c r="T546" s="241"/>
      <c r="U546" s="9"/>
    </row>
    <row r="547" spans="1:21" ht="15.75" customHeight="1" thickBot="1" x14ac:dyDescent="0.25">
      <c r="A547" s="257"/>
      <c r="B547" s="246"/>
      <c r="C547" s="167"/>
      <c r="D547" s="7"/>
      <c r="E547" s="7"/>
      <c r="F547" s="7" t="str">
        <f t="shared" si="211"/>
        <v/>
      </c>
      <c r="G547" s="7"/>
      <c r="H547" s="7"/>
      <c r="I547" s="7" t="str">
        <f t="shared" si="212"/>
        <v/>
      </c>
      <c r="J547" s="7" t="str">
        <f t="shared" si="213"/>
        <v/>
      </c>
      <c r="K547" s="7" t="str">
        <f t="shared" si="208"/>
        <v/>
      </c>
      <c r="L547" s="131" t="str">
        <f t="shared" si="209"/>
        <v/>
      </c>
      <c r="M547" s="59" t="str">
        <f t="shared" si="210"/>
        <v/>
      </c>
      <c r="N547" s="133" t="str">
        <f>IF(AND(L547="",[1]Übersicht!L547=""),"",IF(AND(L547="NEGATIV EV",[1]Übersicht!L547="NO BET"),"NO BET",IF(AND(NOT(L547="NEGATIV EV"),L547&gt;[1]Übersicht!L547),"BET365",IF([1]Übersicht!L547="NO BET","BET365","PINNACLE"))))</f>
        <v>BET365</v>
      </c>
      <c r="O547" s="140" t="e">
        <f>IF(OR(N547="",N547="NO BET"),"",IF(N547="PINNACLE",IF([1]Übersicht!K547="T1",[1]Übersicht!G547*[1]Übersicht!M547-[1]Übersicht!M547,[1]Übersicht!H547*[1]Übersicht!M547-[1]Übersicht!M547),IF(K547="T1",G547*M547*0.95-M547,H547*M547*0.95-M547)))</f>
        <v>#VALUE!</v>
      </c>
      <c r="P547" s="136"/>
      <c r="Q547" s="69"/>
      <c r="R547" s="52">
        <f>IF(OR(P547="",N547="NO BET"),0,IF(K547=P547,O547,IF(N547="PINNACLE",-[1]Übersicht!M547,-M547)))</f>
        <v>0</v>
      </c>
      <c r="S547" s="69"/>
      <c r="T547" s="241"/>
      <c r="U547" s="9"/>
    </row>
    <row r="548" spans="1:21" ht="15.75" customHeight="1" thickBot="1" x14ac:dyDescent="0.25">
      <c r="A548" s="257"/>
      <c r="B548" s="246"/>
      <c r="C548" s="166"/>
      <c r="D548" s="53"/>
      <c r="E548" s="53"/>
      <c r="F548" s="53" t="str">
        <f t="shared" si="211"/>
        <v/>
      </c>
      <c r="G548" s="53"/>
      <c r="H548" s="53"/>
      <c r="I548" s="53" t="str">
        <f t="shared" si="212"/>
        <v/>
      </c>
      <c r="J548" s="53" t="str">
        <f t="shared" si="213"/>
        <v/>
      </c>
      <c r="K548" s="53" t="str">
        <f t="shared" si="208"/>
        <v/>
      </c>
      <c r="L548" s="130" t="str">
        <f t="shared" si="209"/>
        <v/>
      </c>
      <c r="M548" s="55" t="str">
        <f t="shared" si="210"/>
        <v/>
      </c>
      <c r="N548" s="133" t="str">
        <f>IF(AND(L548="",[1]Übersicht!L548=""),"",IF(AND(L548="NEGATIV EV",[1]Übersicht!L548="NO BET"),"NO BET",IF(AND(NOT(L548="NEGATIV EV"),L548&gt;[1]Übersicht!L548),"BET365",IF([1]Übersicht!L548="NO BET","BET365","PINNACLE"))))</f>
        <v>BET365</v>
      </c>
      <c r="O548" s="138" t="e">
        <f>IF(OR(N548="",N548="NO BET"),"",IF(N548="PINNACLE",IF([1]Übersicht!K548="T1",[1]Übersicht!G548*[1]Übersicht!M548-[1]Übersicht!M548,[1]Übersicht!H548*[1]Übersicht!M548-[1]Übersicht!M548),IF(K548="T1",G548*M548*0.95-M548,H548*M548*0.95-M548)))</f>
        <v>#VALUE!</v>
      </c>
      <c r="P548" s="136"/>
      <c r="Q548" s="69"/>
      <c r="R548" s="52">
        <f>IF(OR(P548="",N548="NO BET"),0,IF(K548=P548,O548,IF(N548="PINNACLE",-[1]Übersicht!M548,-M548)))</f>
        <v>0</v>
      </c>
      <c r="S548" s="69"/>
      <c r="T548" s="241"/>
      <c r="U548" s="9"/>
    </row>
    <row r="549" spans="1:21" ht="15.75" customHeight="1" thickBot="1" x14ac:dyDescent="0.25">
      <c r="A549" s="257"/>
      <c r="B549" s="246"/>
      <c r="C549" s="167"/>
      <c r="D549" s="7"/>
      <c r="E549" s="7"/>
      <c r="F549" s="7" t="str">
        <f t="shared" si="211"/>
        <v/>
      </c>
      <c r="G549" s="7"/>
      <c r="H549" s="7"/>
      <c r="I549" s="7" t="str">
        <f t="shared" si="212"/>
        <v/>
      </c>
      <c r="J549" s="7" t="str">
        <f t="shared" si="213"/>
        <v/>
      </c>
      <c r="K549" s="7" t="str">
        <f t="shared" si="208"/>
        <v/>
      </c>
      <c r="L549" s="131" t="str">
        <f t="shared" si="209"/>
        <v/>
      </c>
      <c r="M549" s="60" t="str">
        <f t="shared" si="210"/>
        <v/>
      </c>
      <c r="N549" s="133" t="str">
        <f>IF(AND(L549="",[1]Übersicht!L549=""),"",IF(AND(L549="NEGATIV EV",[1]Übersicht!L549="NO BET"),"NO BET",IF(AND(NOT(L549="NEGATIV EV"),L549&gt;[1]Übersicht!L549),"BET365",IF([1]Übersicht!L549="NO BET","BET365","PINNACLE"))))</f>
        <v>BET365</v>
      </c>
      <c r="O549" s="140" t="e">
        <f>IF(OR(N549="",N549="NO BET"),"",IF(N549="PINNACLE",IF([1]Übersicht!K549="T1",[1]Übersicht!G549*[1]Übersicht!M549-[1]Übersicht!M549,[1]Übersicht!H549*[1]Übersicht!M549-[1]Übersicht!M549),IF(K549="T1",G549*M549*0.95-M549,H549*M549*0.95-M549)))</f>
        <v>#VALUE!</v>
      </c>
      <c r="P549" s="136"/>
      <c r="Q549" s="69"/>
      <c r="R549" s="52">
        <f>IF(OR(P549="",N549="NO BET"),0,IF(K549=P549,O549,IF(N549="PINNACLE",-[1]Übersicht!M549,-M549)))</f>
        <v>0</v>
      </c>
      <c r="S549" s="69"/>
      <c r="T549" s="241"/>
      <c r="U549" s="9"/>
    </row>
    <row r="550" spans="1:21" ht="15.75" customHeight="1" thickBot="1" x14ac:dyDescent="0.25">
      <c r="A550" s="257"/>
      <c r="B550" s="246"/>
      <c r="C550" s="166"/>
      <c r="D550" s="53"/>
      <c r="E550" s="53"/>
      <c r="F550" s="53" t="str">
        <f t="shared" si="211"/>
        <v/>
      </c>
      <c r="G550" s="53"/>
      <c r="H550" s="53"/>
      <c r="I550" s="53" t="str">
        <f t="shared" si="212"/>
        <v/>
      </c>
      <c r="J550" s="53" t="str">
        <f t="shared" si="213"/>
        <v/>
      </c>
      <c r="K550" s="53" t="str">
        <f t="shared" si="208"/>
        <v/>
      </c>
      <c r="L550" s="130" t="str">
        <f>IF(AND(K550=""),"",IF(AND((J550*0.95-1)&lt;0,(I550*0.95-1)&lt;0),"NEGATIV EV", IF(AND(K550="T1"),I550*0.95 - 1,J550*0.95 - 1)))</f>
        <v/>
      </c>
      <c r="M550" s="55" t="str">
        <f>IF(L550="","",IF(L550&lt;0.5,K$2*M$2,IF(L550&lt;0.75,K$2*M$3,IF(L550&lt;1,K$2*M$4,IF(L550&lt;1.25,K$2*M$5,IF(L550&lt;1.5,K$2*M$6,IF(L550&lt;2,K$2*M$7,IF(L550&lt;2.5,K$2*M$8,IF(L550="NEGATIV EV","NEGATIV EV",K$2*M$9)))))))))</f>
        <v/>
      </c>
      <c r="N550" s="133" t="str">
        <f>IF(AND(L550="",[1]Übersicht!L550=""),"",IF(AND(L550="NEGATIV EV",[1]Übersicht!L550="NO BET"),"NO BET",IF(AND(NOT(L550="NEGATIV EV"),L550&gt;[1]Übersicht!L550),"BET365",IF([1]Übersicht!L550="NO BET","BET365","PINNACLE"))))</f>
        <v>BET365</v>
      </c>
      <c r="O550" s="138" t="e">
        <f>IF(OR(N550="",N550="NO BET"),"",IF(N550="PINNACLE",IF([1]Übersicht!K550="T1",[1]Übersicht!G550*[1]Übersicht!M550-[1]Übersicht!M550,[1]Übersicht!H550*[1]Übersicht!M550-[1]Übersicht!M550),IF(K550="T1",G550*M550*0.95-M550,H550*M550*0.95-M550)))</f>
        <v>#VALUE!</v>
      </c>
      <c r="P550" s="136"/>
      <c r="Q550" s="69"/>
      <c r="R550" s="52">
        <f>IF(OR(P550="",N550="NO BET"),0,IF(K550=P550,O550,IF(N550="PINNACLE",-[1]Übersicht!M550,-M550)))</f>
        <v>0</v>
      </c>
      <c r="S550" s="69"/>
      <c r="T550" s="241"/>
      <c r="U550" s="9"/>
    </row>
    <row r="551" spans="1:21" ht="16.5" thickBot="1" x14ac:dyDescent="0.25">
      <c r="A551" s="257"/>
      <c r="B551" s="246"/>
      <c r="C551" s="167"/>
      <c r="D551" s="7"/>
      <c r="E551" s="7"/>
      <c r="F551" s="7" t="str">
        <f t="shared" si="211"/>
        <v/>
      </c>
      <c r="G551" s="7"/>
      <c r="H551" s="7"/>
      <c r="I551" s="7" t="str">
        <f t="shared" si="212"/>
        <v/>
      </c>
      <c r="J551" s="7" t="str">
        <f t="shared" si="213"/>
        <v/>
      </c>
      <c r="K551" s="7" t="str">
        <f t="shared" si="208"/>
        <v/>
      </c>
      <c r="L551" s="131" t="str">
        <f t="shared" ref="L551:L554" si="214">IF(AND(K551=""),"",IF(AND((J551*0.95-1)&lt;0,(I551*0.95-1)&lt;0),"NEGATIV EV", IF(AND(K551="T1"),I551*0.95 - 1,J551*0.95 - 1)))</f>
        <v/>
      </c>
      <c r="M551" s="59" t="str">
        <f t="shared" ref="M551:M554" si="215">IF(L551="","",IF(L551&lt;0.5,K$2*M$2,IF(L551&lt;0.75,K$2*M$3,IF(L551&lt;1,K$2*M$4,IF(L551&lt;1.25,K$2*M$5,IF(L551&lt;1.5,K$2*M$6,IF(L551&lt;2,K$2*M$7,IF(L551&lt;2.5,K$2*M$8,IF(L551="NEGATIV EV","NEGATIV EV",K$2*M$9)))))))))</f>
        <v/>
      </c>
      <c r="N551" s="133" t="str">
        <f>IF(AND(L551="",[1]Übersicht!L551=""),"",IF(AND(L551="NEGATIV EV",[1]Übersicht!L551="NO BET"),"NO BET",IF(AND(NOT(L551="NEGATIV EV"),L551&gt;[1]Übersicht!L551),"BET365",IF([1]Übersicht!L551="NO BET","BET365","PINNACLE"))))</f>
        <v>BET365</v>
      </c>
      <c r="O551" s="140" t="e">
        <f>IF(OR(N551="",N551="NO BET"),"",IF(N551="PINNACLE",IF([1]Übersicht!K551="T1",[1]Übersicht!G551*[1]Übersicht!M551-[1]Übersicht!M551,[1]Übersicht!H551*[1]Übersicht!M551-[1]Übersicht!M551),IF(K551="T1",G551*M551*0.95-M551,H551*M551*0.95-M551)))</f>
        <v>#VALUE!</v>
      </c>
      <c r="P551" s="56"/>
      <c r="Q551" s="69"/>
      <c r="R551" s="52">
        <f>IF(OR(P551="",N551="NO BET"),0,IF(K551=P551,O551,IF(N551="PINNACLE",-[1]Übersicht!M551,-M551)))</f>
        <v>0</v>
      </c>
      <c r="S551" s="69"/>
      <c r="T551" s="61" t="s">
        <v>31</v>
      </c>
      <c r="U551" s="9"/>
    </row>
    <row r="552" spans="1:21" ht="15.75" customHeight="1" thickBot="1" x14ac:dyDescent="0.25">
      <c r="A552" s="257"/>
      <c r="B552" s="246"/>
      <c r="C552" s="166"/>
      <c r="D552" s="53"/>
      <c r="E552" s="53"/>
      <c r="F552" s="53" t="str">
        <f t="shared" si="211"/>
        <v/>
      </c>
      <c r="G552" s="53"/>
      <c r="H552" s="53"/>
      <c r="I552" s="53" t="str">
        <f t="shared" si="212"/>
        <v/>
      </c>
      <c r="J552" s="53" t="str">
        <f t="shared" si="213"/>
        <v/>
      </c>
      <c r="K552" s="53" t="str">
        <f t="shared" si="208"/>
        <v/>
      </c>
      <c r="L552" s="130" t="str">
        <f t="shared" si="214"/>
        <v/>
      </c>
      <c r="M552" s="62" t="str">
        <f t="shared" si="215"/>
        <v/>
      </c>
      <c r="N552" s="133" t="str">
        <f>IF(AND(L552="",[1]Übersicht!L552=""),"",IF(AND(L552="NEGATIV EV",[1]Übersicht!L552="NO BET"),"NO BET",IF(AND(NOT(L552="NEGATIV EV"),L552&gt;[1]Übersicht!L552),"BET365",IF([1]Übersicht!L552="NO BET","BET365","PINNACLE"))))</f>
        <v>BET365</v>
      </c>
      <c r="O552" s="138" t="e">
        <f>IF(OR(N552="",N552="NO BET"),"",IF(N552="PINNACLE",IF([1]Übersicht!K552="T1",[1]Übersicht!G552*[1]Übersicht!M552-[1]Übersicht!M552,[1]Übersicht!H552*[1]Übersicht!M552-[1]Übersicht!M552),IF(K552="T1",G552*M552*0.95-M552,H552*M552*0.95-M552)))</f>
        <v>#VALUE!</v>
      </c>
      <c r="P552" s="136"/>
      <c r="Q552" s="69"/>
      <c r="R552" s="52">
        <f>IF(OR(P552="",N552="NO BET"),0,IF(K552=P552,O552,IF(N552="PINNACLE",-[1]Übersicht!M552,-M552)))</f>
        <v>0</v>
      </c>
      <c r="S552" s="69"/>
      <c r="T552" s="248" t="e">
        <f>IF(AND(NOT(N545=0)),T545/N545,0)</f>
        <v>#VALUE!</v>
      </c>
      <c r="U552" s="9"/>
    </row>
    <row r="553" spans="1:21" ht="15.75" customHeight="1" thickBot="1" x14ac:dyDescent="0.25">
      <c r="A553" s="257"/>
      <c r="B553" s="246"/>
      <c r="C553" s="167"/>
      <c r="D553" s="7"/>
      <c r="E553" s="7"/>
      <c r="F553" s="7" t="str">
        <f t="shared" si="211"/>
        <v/>
      </c>
      <c r="G553" s="7"/>
      <c r="H553" s="7"/>
      <c r="I553" s="7" t="str">
        <f t="shared" si="212"/>
        <v/>
      </c>
      <c r="J553" s="7" t="str">
        <f t="shared" si="213"/>
        <v/>
      </c>
      <c r="K553" s="7" t="str">
        <f t="shared" si="208"/>
        <v/>
      </c>
      <c r="L553" s="131" t="str">
        <f t="shared" si="214"/>
        <v/>
      </c>
      <c r="M553" s="60" t="str">
        <f t="shared" si="215"/>
        <v/>
      </c>
      <c r="N553" s="133" t="str">
        <f>IF(AND(L553="",[1]Übersicht!L553=""),"",IF(AND(L553="NEGATIV EV",[1]Übersicht!L553="NO BET"),"NO BET",IF(AND(NOT(L553="NEGATIV EV"),L553&gt;[1]Übersicht!L553),"BET365",IF([1]Übersicht!L553="NO BET","BET365","PINNACLE"))))</f>
        <v>BET365</v>
      </c>
      <c r="O553" s="139" t="e">
        <f>IF(OR(N553="",N553="NO BET"),"",IF(N553="PINNACLE",IF([1]Übersicht!K553="T1",[1]Übersicht!G553*[1]Übersicht!M553-[1]Übersicht!M553,[1]Übersicht!H553*[1]Übersicht!M553-[1]Übersicht!M553),IF(K553="T1",G553*M553*0.95-M553,H553*M553*0.95-M553)))</f>
        <v>#VALUE!</v>
      </c>
      <c r="P553" s="136"/>
      <c r="Q553" s="69"/>
      <c r="R553" s="52">
        <f>IF(OR(P553="",N553="NO BET"),0,IF(K553=P553,O553,IF(N553="PINNACLE",-[1]Übersicht!M553,-M553)))</f>
        <v>0</v>
      </c>
      <c r="S553" s="69"/>
      <c r="T553" s="249"/>
      <c r="U553" s="9"/>
    </row>
    <row r="554" spans="1:21" ht="15.75" customHeight="1" thickBot="1" x14ac:dyDescent="0.25">
      <c r="A554" s="258"/>
      <c r="B554" s="247"/>
      <c r="C554" s="168"/>
      <c r="D554" s="63"/>
      <c r="E554" s="63"/>
      <c r="F554" s="63" t="str">
        <f t="shared" si="211"/>
        <v/>
      </c>
      <c r="G554" s="63"/>
      <c r="H554" s="63"/>
      <c r="I554" s="63" t="str">
        <f t="shared" si="212"/>
        <v/>
      </c>
      <c r="J554" s="63" t="str">
        <f t="shared" si="213"/>
        <v/>
      </c>
      <c r="K554" s="63" t="str">
        <f t="shared" si="208"/>
        <v/>
      </c>
      <c r="L554" s="132" t="str">
        <f t="shared" si="214"/>
        <v/>
      </c>
      <c r="M554" s="65" t="str">
        <f t="shared" si="215"/>
        <v/>
      </c>
      <c r="N554" s="133" t="str">
        <f>IF(AND(L554="",[1]Übersicht!L554=""),"",IF(AND(L554="NEGATIV EV",[1]Übersicht!L554="NO BET"),"NO BET",IF(AND(NOT(L554="NEGATIV EV"),L554&gt;[1]Übersicht!L554),"BET365",IF([1]Übersicht!L554="NO BET","BET365","PINNACLE"))))</f>
        <v>BET365</v>
      </c>
      <c r="O554" s="138" t="e">
        <f>IF(OR(N554="",N554="NO BET"),"",IF(N554="PINNACLE",IF([1]Übersicht!K554="T1",[1]Übersicht!G554*[1]Übersicht!M554-[1]Übersicht!M554,[1]Übersicht!H554*[1]Übersicht!M554-[1]Übersicht!M554),IF(K554="T1",G554*M554*0.95-M554,H554*M554*0.95-M554)))</f>
        <v>#VALUE!</v>
      </c>
      <c r="P554" s="66"/>
      <c r="Q554" s="9"/>
      <c r="R554" s="135">
        <f>IF(OR(P554="",N554="NO BET"),0,IF(K554=P554,O554,IF(N554="PINNACLE",-[1]Übersicht!M554,-M554)))</f>
        <v>0</v>
      </c>
      <c r="S554" s="9"/>
      <c r="T554" s="250"/>
      <c r="U554" s="9"/>
    </row>
    <row r="555" spans="1:21" x14ac:dyDescent="0.2">
      <c r="A555" s="9"/>
      <c r="B555" s="9"/>
      <c r="C555" s="11"/>
      <c r="D555" s="9"/>
      <c r="E555" s="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10"/>
      <c r="S555" s="9"/>
      <c r="T555" s="11"/>
      <c r="U555" s="9"/>
    </row>
    <row r="556" spans="1:21" x14ac:dyDescent="0.2">
      <c r="A556" s="9"/>
      <c r="B556" s="9"/>
      <c r="C556" s="11"/>
      <c r="D556" s="9"/>
      <c r="E556" s="9"/>
      <c r="F556" s="9"/>
      <c r="G556" s="9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10"/>
      <c r="S556" s="9"/>
      <c r="T556" s="11"/>
      <c r="U556" s="9"/>
    </row>
    <row r="557" spans="1:21" ht="15.75" customHeight="1" thickBot="1" x14ac:dyDescent="0.25">
      <c r="A557" s="9"/>
      <c r="B557" s="9"/>
      <c r="C557" s="11"/>
      <c r="D557" s="9"/>
      <c r="E557" s="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10"/>
      <c r="S557" s="9"/>
      <c r="T557" s="11"/>
      <c r="U557" s="9"/>
    </row>
    <row r="558" spans="1:21" ht="22.5" customHeight="1" thickBot="1" x14ac:dyDescent="0.25">
      <c r="A558" s="79" t="s">
        <v>6</v>
      </c>
      <c r="B558" s="245" t="s">
        <v>26</v>
      </c>
      <c r="C558" s="160"/>
      <c r="D558" s="43" t="s">
        <v>9</v>
      </c>
      <c r="E558" s="43" t="s">
        <v>10</v>
      </c>
      <c r="F558" s="43" t="s">
        <v>11</v>
      </c>
      <c r="G558" s="43" t="s">
        <v>12</v>
      </c>
      <c r="H558" s="43" t="s">
        <v>13</v>
      </c>
      <c r="I558" s="43" t="s">
        <v>14</v>
      </c>
      <c r="J558" s="43" t="s">
        <v>15</v>
      </c>
      <c r="K558" s="43" t="s">
        <v>33</v>
      </c>
      <c r="L558" s="43" t="s">
        <v>16</v>
      </c>
      <c r="M558" s="43" t="s">
        <v>38</v>
      </c>
      <c r="N558" s="128" t="s">
        <v>87</v>
      </c>
      <c r="O558" s="128" t="s">
        <v>89</v>
      </c>
      <c r="P558" s="137" t="s">
        <v>18</v>
      </c>
      <c r="Q558" s="69"/>
      <c r="R558" s="134" t="s">
        <v>34</v>
      </c>
      <c r="S558" s="69"/>
      <c r="T558" s="47" t="s">
        <v>29</v>
      </c>
      <c r="U558" s="9"/>
    </row>
    <row r="559" spans="1:21" ht="15.75" customHeight="1" thickBot="1" x14ac:dyDescent="0.25">
      <c r="A559" s="80"/>
      <c r="B559" s="246"/>
      <c r="C559" s="165"/>
      <c r="D559" s="48"/>
      <c r="E559" s="48"/>
      <c r="F559" s="48" t="str">
        <f>IF(AND(C559=""),"",1-C559)</f>
        <v/>
      </c>
      <c r="G559" s="48"/>
      <c r="H559" s="48"/>
      <c r="I559" s="48" t="str">
        <f>IF(AND(C559=""),"",G559*C559)</f>
        <v/>
      </c>
      <c r="J559" s="48" t="str">
        <f>IF(AND(C559=""),"",H559*F559)</f>
        <v/>
      </c>
      <c r="K559" s="48" t="str">
        <f t="shared" ref="K559:K568" si="216">IF(AND(I559=""),"",IF(AND(I559&gt;J559),"T1","T2"))</f>
        <v/>
      </c>
      <c r="L559" s="129" t="str">
        <f t="shared" ref="L559:L563" si="217">IF(AND(K559=""),"",IF(AND((J559*0.95-1)&lt;0,(I559*0.95-1)&lt;0),"NEGATIV EV", IF(AND(K559="T1"),I559*0.95 - 1,J559*0.95 - 1)))</f>
        <v/>
      </c>
      <c r="M559" s="50" t="str">
        <f t="shared" ref="M559:M563" si="218">IF(L559="","",IF(L559&lt;0.5,K$2*M$2,IF(L559&lt;0.75,K$2*M$3,IF(L559&lt;1,K$2*M$4,IF(L559&lt;1.25,K$2*M$5,IF(L559&lt;1.5,K$2*M$6,IF(L559&lt;2,K$2*M$7,IF(L559&lt;2.5,K$2*M$8,IF(L559="NEGATIV EV","NEGATIV EV",K$2*M$9)))))))))</f>
        <v/>
      </c>
      <c r="N559" s="133" t="str">
        <f>IF(AND(L559="",[1]Übersicht!L559=""),"",IF(AND(L559="NEGATIV EV",[1]Übersicht!L559="NO BET"),"NO BET",IF(AND(NOT(L559="NEGATIV EV"),L559&gt;[1]Übersicht!L559),"BET365",IF([1]Übersicht!L559="NO BET","BET365","PINNACLE"))))</f>
        <v>BET365</v>
      </c>
      <c r="O559" s="140" t="e">
        <f>IF(OR(N559="",N559="NO BET"),"",IF(N559="PINNACLE",IF([1]Übersicht!K559="T1",[1]Übersicht!G559*[1]Übersicht!M559-[1]Übersicht!M559,[1]Übersicht!H559*[1]Übersicht!M559-[1]Übersicht!M559),IF(K559="T1",G559*M559*0.95-M559,H559*M559*0.95-M559)))</f>
        <v>#VALUE!</v>
      </c>
      <c r="P559" s="136"/>
      <c r="Q559" s="70"/>
      <c r="R559" s="52">
        <f>IF(OR(P559="",N559="NO BET"),0,IF(K559=P559,O559,IF(N559="PINNACLE",-[1]Übersicht!M559,-M559)))</f>
        <v>0</v>
      </c>
      <c r="S559" s="69"/>
      <c r="T559" s="241">
        <f>SUM(R559:R568)</f>
        <v>0</v>
      </c>
      <c r="U559" s="9"/>
    </row>
    <row r="560" spans="1:21" ht="15.75" customHeight="1" thickBot="1" x14ac:dyDescent="0.25">
      <c r="A560" s="257" t="s">
        <v>7</v>
      </c>
      <c r="B560" s="246"/>
      <c r="C560" s="166"/>
      <c r="D560" s="53"/>
      <c r="E560" s="53"/>
      <c r="F560" s="53" t="str">
        <f t="shared" ref="F560:F568" si="219">IF(AND(C560=""),"",1-C560)</f>
        <v/>
      </c>
      <c r="G560" s="53"/>
      <c r="H560" s="53"/>
      <c r="I560" s="53" t="str">
        <f t="shared" ref="I560:I568" si="220">IF(AND(C560=""),"",G560*C560)</f>
        <v/>
      </c>
      <c r="J560" s="53" t="str">
        <f t="shared" ref="J560:J568" si="221">IF(AND(C560=""),"",H560*F560)</f>
        <v/>
      </c>
      <c r="K560" s="53" t="str">
        <f t="shared" si="216"/>
        <v/>
      </c>
      <c r="L560" s="130" t="str">
        <f t="shared" si="217"/>
        <v/>
      </c>
      <c r="M560" s="55" t="str">
        <f t="shared" si="218"/>
        <v/>
      </c>
      <c r="N560" s="133" t="str">
        <f>IF(AND(L560="",[1]Übersicht!L560=""),"",IF(AND(L560="NEGATIV EV",[1]Übersicht!L560="NO BET"),"NO BET",IF(AND(NOT(L560="NEGATIV EV"),L560&gt;[1]Übersicht!L560),"BET365",IF([1]Übersicht!L560="NO BET","BET365","PINNACLE"))))</f>
        <v>BET365</v>
      </c>
      <c r="O560" s="138" t="e">
        <f>IF(OR(N560="",N560="NO BET"),"",IF(N560="PINNACLE",IF([1]Übersicht!K560="T1",[1]Übersicht!G560*[1]Übersicht!M560-[1]Übersicht!M560,[1]Übersicht!H560*[1]Übersicht!M560-[1]Übersicht!M560),IF(K560="T1",G560*M560*0.95-M560,H560*M560*0.95-M560)))</f>
        <v>#VALUE!</v>
      </c>
      <c r="P560" s="136"/>
      <c r="Q560" s="69"/>
      <c r="R560" s="52">
        <f>IF(OR(P560="",N560="NO BET"),0,IF(K560=P560,O560,IF(N560="PINNACLE",-[1]Übersicht!M560,-M560)))</f>
        <v>0</v>
      </c>
      <c r="S560" s="69"/>
      <c r="T560" s="241"/>
      <c r="U560" s="9"/>
    </row>
    <row r="561" spans="1:21" ht="15.75" customHeight="1" thickBot="1" x14ac:dyDescent="0.25">
      <c r="A561" s="257"/>
      <c r="B561" s="246"/>
      <c r="C561" s="167"/>
      <c r="D561" s="7"/>
      <c r="E561" s="7"/>
      <c r="F561" s="7" t="str">
        <f t="shared" si="219"/>
        <v/>
      </c>
      <c r="G561" s="7"/>
      <c r="H561" s="7"/>
      <c r="I561" s="7" t="str">
        <f t="shared" si="220"/>
        <v/>
      </c>
      <c r="J561" s="7" t="str">
        <f t="shared" si="221"/>
        <v/>
      </c>
      <c r="K561" s="7" t="str">
        <f t="shared" si="216"/>
        <v/>
      </c>
      <c r="L561" s="131" t="str">
        <f t="shared" si="217"/>
        <v/>
      </c>
      <c r="M561" s="59" t="str">
        <f t="shared" si="218"/>
        <v/>
      </c>
      <c r="N561" s="133" t="str">
        <f>IF(AND(L561="",[1]Übersicht!L561=""),"",IF(AND(L561="NEGATIV EV",[1]Übersicht!L561="NO BET"),"NO BET",IF(AND(NOT(L561="NEGATIV EV"),L561&gt;[1]Übersicht!L561),"BET365",IF([1]Übersicht!L561="NO BET","BET365","PINNACLE"))))</f>
        <v>BET365</v>
      </c>
      <c r="O561" s="140" t="e">
        <f>IF(OR(N561="",N561="NO BET"),"",IF(N561="PINNACLE",IF([1]Übersicht!K561="T1",[1]Übersicht!G561*[1]Übersicht!M561-[1]Übersicht!M561,[1]Übersicht!H561*[1]Übersicht!M561-[1]Übersicht!M561),IF(K561="T1",G561*M561*0.95-M561,H561*M561*0.95-M561)))</f>
        <v>#VALUE!</v>
      </c>
      <c r="P561" s="136"/>
      <c r="Q561" s="69"/>
      <c r="R561" s="52">
        <f>IF(OR(P561="",N561="NO BET"),0,IF(K561=P561,O561,IF(N561="PINNACLE",-[1]Übersicht!M561,-M561)))</f>
        <v>0</v>
      </c>
      <c r="S561" s="69"/>
      <c r="T561" s="241"/>
      <c r="U561" s="9"/>
    </row>
    <row r="562" spans="1:21" ht="15.75" customHeight="1" thickBot="1" x14ac:dyDescent="0.25">
      <c r="A562" s="257"/>
      <c r="B562" s="246"/>
      <c r="C562" s="166"/>
      <c r="D562" s="53"/>
      <c r="E562" s="53"/>
      <c r="F562" s="53" t="str">
        <f t="shared" si="219"/>
        <v/>
      </c>
      <c r="G562" s="53"/>
      <c r="H562" s="53"/>
      <c r="I562" s="53" t="str">
        <f t="shared" si="220"/>
        <v/>
      </c>
      <c r="J562" s="53" t="str">
        <f t="shared" si="221"/>
        <v/>
      </c>
      <c r="K562" s="53" t="str">
        <f t="shared" si="216"/>
        <v/>
      </c>
      <c r="L562" s="130" t="str">
        <f t="shared" si="217"/>
        <v/>
      </c>
      <c r="M562" s="55" t="str">
        <f t="shared" si="218"/>
        <v/>
      </c>
      <c r="N562" s="133" t="str">
        <f>IF(AND(L562="",[1]Übersicht!L562=""),"",IF(AND(L562="NEGATIV EV",[1]Übersicht!L562="NO BET"),"NO BET",IF(AND(NOT(L562="NEGATIV EV"),L562&gt;[1]Übersicht!L562),"BET365",IF([1]Übersicht!L562="NO BET","BET365","PINNACLE"))))</f>
        <v>BET365</v>
      </c>
      <c r="O562" s="138" t="e">
        <f>IF(OR(N562="",N562="NO BET"),"",IF(N562="PINNACLE",IF([1]Übersicht!K562="T1",[1]Übersicht!G562*[1]Übersicht!M562-[1]Übersicht!M562,[1]Übersicht!H562*[1]Übersicht!M562-[1]Übersicht!M562),IF(K562="T1",G562*M562*0.95-M562,H562*M562*0.95-M562)))</f>
        <v>#VALUE!</v>
      </c>
      <c r="P562" s="136"/>
      <c r="Q562" s="69"/>
      <c r="R562" s="52">
        <f>IF(OR(P562="",N562="NO BET"),0,IF(K562=P562,O562,IF(N562="PINNACLE",-[1]Übersicht!M562,-M562)))</f>
        <v>0</v>
      </c>
      <c r="S562" s="69"/>
      <c r="T562" s="241"/>
      <c r="U562" s="9"/>
    </row>
    <row r="563" spans="1:21" ht="15.75" customHeight="1" thickBot="1" x14ac:dyDescent="0.25">
      <c r="A563" s="257"/>
      <c r="B563" s="246"/>
      <c r="C563" s="167"/>
      <c r="D563" s="7"/>
      <c r="E563" s="7"/>
      <c r="F563" s="7" t="str">
        <f t="shared" si="219"/>
        <v/>
      </c>
      <c r="G563" s="7"/>
      <c r="H563" s="7"/>
      <c r="I563" s="7" t="str">
        <f t="shared" si="220"/>
        <v/>
      </c>
      <c r="J563" s="7" t="str">
        <f t="shared" si="221"/>
        <v/>
      </c>
      <c r="K563" s="7" t="str">
        <f t="shared" si="216"/>
        <v/>
      </c>
      <c r="L563" s="131" t="str">
        <f t="shared" si="217"/>
        <v/>
      </c>
      <c r="M563" s="60" t="str">
        <f t="shared" si="218"/>
        <v/>
      </c>
      <c r="N563" s="133" t="str">
        <f>IF(AND(L563="",[1]Übersicht!L563=""),"",IF(AND(L563="NEGATIV EV",[1]Übersicht!L563="NO BET"),"NO BET",IF(AND(NOT(L563="NEGATIV EV"),L563&gt;[1]Übersicht!L563),"BET365",IF([1]Übersicht!L563="NO BET","BET365","PINNACLE"))))</f>
        <v>BET365</v>
      </c>
      <c r="O563" s="140" t="e">
        <f>IF(OR(N563="",N563="NO BET"),"",IF(N563="PINNACLE",IF([1]Übersicht!K563="T1",[1]Übersicht!G563*[1]Übersicht!M563-[1]Übersicht!M563,[1]Übersicht!H563*[1]Übersicht!M563-[1]Übersicht!M563),IF(K563="T1",G563*M563*0.95-M563,H563*M563*0.95-M563)))</f>
        <v>#VALUE!</v>
      </c>
      <c r="P563" s="136"/>
      <c r="Q563" s="69"/>
      <c r="R563" s="52">
        <f>IF(OR(P563="",N563="NO BET"),0,IF(K563=P563,O563,IF(N563="PINNACLE",-[1]Übersicht!M563,-M563)))</f>
        <v>0</v>
      </c>
      <c r="S563" s="69"/>
      <c r="T563" s="241"/>
      <c r="U563" s="9"/>
    </row>
    <row r="564" spans="1:21" ht="15.75" customHeight="1" thickBot="1" x14ac:dyDescent="0.25">
      <c r="A564" s="257"/>
      <c r="B564" s="246"/>
      <c r="C564" s="166"/>
      <c r="D564" s="53"/>
      <c r="E564" s="53"/>
      <c r="F564" s="53" t="str">
        <f t="shared" si="219"/>
        <v/>
      </c>
      <c r="G564" s="53"/>
      <c r="H564" s="53"/>
      <c r="I564" s="53" t="str">
        <f t="shared" si="220"/>
        <v/>
      </c>
      <c r="J564" s="53" t="str">
        <f t="shared" si="221"/>
        <v/>
      </c>
      <c r="K564" s="53" t="str">
        <f t="shared" si="216"/>
        <v/>
      </c>
      <c r="L564" s="130" t="str">
        <f>IF(AND(K564=""),"",IF(AND((J564*0.95-1)&lt;0,(I564*0.95-1)&lt;0),"NEGATIV EV", IF(AND(K564="T1"),I564*0.95 - 1,J564*0.95 - 1)))</f>
        <v/>
      </c>
      <c r="M564" s="55" t="str">
        <f>IF(L564="","",IF(L564&lt;0.5,K$2*M$2,IF(L564&lt;0.75,K$2*M$3,IF(L564&lt;1,K$2*M$4,IF(L564&lt;1.25,K$2*M$5,IF(L564&lt;1.5,K$2*M$6,IF(L564&lt;2,K$2*M$7,IF(L564&lt;2.5,K$2*M$8,IF(L564="NEGATIV EV","NEGATIV EV",K$2*M$9)))))))))</f>
        <v/>
      </c>
      <c r="N564" s="133" t="str">
        <f>IF(AND(L564="",[1]Übersicht!L564=""),"",IF(AND(L564="NEGATIV EV",[1]Übersicht!L564="NO BET"),"NO BET",IF(AND(NOT(L564="NEGATIV EV"),L564&gt;[1]Übersicht!L564),"BET365",IF([1]Übersicht!L564="NO BET","BET365","PINNACLE"))))</f>
        <v>BET365</v>
      </c>
      <c r="O564" s="138" t="e">
        <f>IF(OR(N564="",N564="NO BET"),"",IF(N564="PINNACLE",IF([1]Übersicht!K564="T1",[1]Übersicht!G564*[1]Übersicht!M564-[1]Übersicht!M564,[1]Übersicht!H564*[1]Übersicht!M564-[1]Übersicht!M564),IF(K564="T1",G564*M564*0.95-M564,H564*M564*0.95-M564)))</f>
        <v>#VALUE!</v>
      </c>
      <c r="P564" s="136"/>
      <c r="Q564" s="69"/>
      <c r="R564" s="52">
        <f>IF(OR(P564="",N564="NO BET"),0,IF(K564=P564,O564,IF(N564="PINNACLE",-[1]Übersicht!M564,-M564)))</f>
        <v>0</v>
      </c>
      <c r="S564" s="69"/>
      <c r="T564" s="241"/>
      <c r="U564" s="9"/>
    </row>
    <row r="565" spans="1:21" ht="15.75" customHeight="1" thickBot="1" x14ac:dyDescent="0.25">
      <c r="A565" s="257"/>
      <c r="B565" s="246"/>
      <c r="C565" s="167"/>
      <c r="D565" s="7"/>
      <c r="E565" s="7"/>
      <c r="F565" s="7" t="str">
        <f t="shared" si="219"/>
        <v/>
      </c>
      <c r="G565" s="7"/>
      <c r="H565" s="7"/>
      <c r="I565" s="7" t="str">
        <f t="shared" si="220"/>
        <v/>
      </c>
      <c r="J565" s="7" t="str">
        <f t="shared" si="221"/>
        <v/>
      </c>
      <c r="K565" s="7" t="str">
        <f t="shared" si="216"/>
        <v/>
      </c>
      <c r="L565" s="131" t="str">
        <f t="shared" ref="L565:L568" si="222">IF(AND(K565=""),"",IF(AND((J565*0.95-1)&lt;0,(I565*0.95-1)&lt;0),"NEGATIV EV", IF(AND(K565="T1"),I565*0.95 - 1,J565*0.95 - 1)))</f>
        <v/>
      </c>
      <c r="M565" s="59" t="str">
        <f t="shared" ref="M565:M568" si="223">IF(L565="","",IF(L565&lt;0.5,K$2*M$2,IF(L565&lt;0.75,K$2*M$3,IF(L565&lt;1,K$2*M$4,IF(L565&lt;1.25,K$2*M$5,IF(L565&lt;1.5,K$2*M$6,IF(L565&lt;2,K$2*M$7,IF(L565&lt;2.5,K$2*M$8,IF(L565="NEGATIV EV","NEGATIV EV",K$2*M$9)))))))))</f>
        <v/>
      </c>
      <c r="N565" s="133" t="str">
        <f>IF(AND(L565="",[1]Übersicht!L565=""),"",IF(AND(L565="NEGATIV EV",[1]Übersicht!L565="NO BET"),"NO BET",IF(AND(NOT(L565="NEGATIV EV"),L565&gt;[1]Übersicht!L565),"BET365",IF([1]Übersicht!L565="NO BET","BET365","PINNACLE"))))</f>
        <v>BET365</v>
      </c>
      <c r="O565" s="140" t="e">
        <f>IF(OR(N565="",N565="NO BET"),"",IF(N565="PINNACLE",IF([1]Übersicht!K565="T1",[1]Übersicht!G565*[1]Übersicht!M565-[1]Übersicht!M565,[1]Übersicht!H565*[1]Übersicht!M565-[1]Übersicht!M565),IF(K565="T1",G565*M565*0.95-M565,H565*M565*0.95-M565)))</f>
        <v>#VALUE!</v>
      </c>
      <c r="P565" s="56"/>
      <c r="Q565" s="69"/>
      <c r="R565" s="52">
        <f>IF(OR(P565="",N565="NO BET"),0,IF(K565=P565,O565,IF(N565="PINNACLE",-[1]Übersicht!M565,-M565)))</f>
        <v>0</v>
      </c>
      <c r="S565" s="69"/>
      <c r="T565" s="61" t="s">
        <v>31</v>
      </c>
      <c r="U565" s="9"/>
    </row>
    <row r="566" spans="1:21" ht="16.5" customHeight="1" thickBot="1" x14ac:dyDescent="0.25">
      <c r="A566" s="257"/>
      <c r="B566" s="246"/>
      <c r="C566" s="166"/>
      <c r="D566" s="53"/>
      <c r="E566" s="53"/>
      <c r="F566" s="53" t="str">
        <f t="shared" si="219"/>
        <v/>
      </c>
      <c r="G566" s="53"/>
      <c r="H566" s="53"/>
      <c r="I566" s="53" t="str">
        <f t="shared" si="220"/>
        <v/>
      </c>
      <c r="J566" s="53" t="str">
        <f t="shared" si="221"/>
        <v/>
      </c>
      <c r="K566" s="53" t="str">
        <f t="shared" si="216"/>
        <v/>
      </c>
      <c r="L566" s="130" t="str">
        <f t="shared" si="222"/>
        <v/>
      </c>
      <c r="M566" s="62" t="str">
        <f t="shared" si="223"/>
        <v/>
      </c>
      <c r="N566" s="133" t="str">
        <f>IF(AND(L566="",[1]Übersicht!L566=""),"",IF(AND(L566="NEGATIV EV",[1]Übersicht!L566="NO BET"),"NO BET",IF(AND(NOT(L566="NEGATIV EV"),L566&gt;[1]Übersicht!L566),"BET365",IF([1]Übersicht!L566="NO BET","BET365","PINNACLE"))))</f>
        <v>BET365</v>
      </c>
      <c r="O566" s="138" t="e">
        <f>IF(OR(N566="",N566="NO BET"),"",IF(N566="PINNACLE",IF([1]Übersicht!K566="T1",[1]Übersicht!G566*[1]Übersicht!M566-[1]Übersicht!M566,[1]Übersicht!H566*[1]Übersicht!M566-[1]Übersicht!M566),IF(K566="T1",G566*M566*0.95-M566,H566*M566*0.95-M566)))</f>
        <v>#VALUE!</v>
      </c>
      <c r="P566" s="136"/>
      <c r="Q566" s="69"/>
      <c r="R566" s="52">
        <f>IF(OR(P566="",N566="NO BET"),0,IF(K566=P566,O566,IF(N566="PINNACLE",-[1]Übersicht!M566,-M566)))</f>
        <v>0</v>
      </c>
      <c r="S566" s="69"/>
      <c r="T566" s="248" t="e">
        <f>IF(AND(NOT(N559=0)),T559/N559,0)</f>
        <v>#VALUE!</v>
      </c>
      <c r="U566" s="9"/>
    </row>
    <row r="567" spans="1:21" ht="15.75" customHeight="1" thickBot="1" x14ac:dyDescent="0.25">
      <c r="A567" s="257"/>
      <c r="B567" s="246"/>
      <c r="C567" s="167"/>
      <c r="D567" s="7"/>
      <c r="E567" s="7"/>
      <c r="F567" s="7" t="str">
        <f t="shared" si="219"/>
        <v/>
      </c>
      <c r="G567" s="7"/>
      <c r="H567" s="7"/>
      <c r="I567" s="7" t="str">
        <f t="shared" si="220"/>
        <v/>
      </c>
      <c r="J567" s="7" t="str">
        <f t="shared" si="221"/>
        <v/>
      </c>
      <c r="K567" s="7" t="str">
        <f t="shared" si="216"/>
        <v/>
      </c>
      <c r="L567" s="131" t="str">
        <f t="shared" si="222"/>
        <v/>
      </c>
      <c r="M567" s="60" t="str">
        <f t="shared" si="223"/>
        <v/>
      </c>
      <c r="N567" s="133" t="str">
        <f>IF(AND(L567="",[1]Übersicht!L567=""),"",IF(AND(L567="NEGATIV EV",[1]Übersicht!L567="NO BET"),"NO BET",IF(AND(NOT(L567="NEGATIV EV"),L567&gt;[1]Übersicht!L567),"BET365",IF([1]Übersicht!L567="NO BET","BET365","PINNACLE"))))</f>
        <v>BET365</v>
      </c>
      <c r="O567" s="139" t="e">
        <f>IF(OR(N567="",N567="NO BET"),"",IF(N567="PINNACLE",IF([1]Übersicht!K567="T1",[1]Übersicht!G567*[1]Übersicht!M567-[1]Übersicht!M567,[1]Übersicht!H567*[1]Übersicht!M567-[1]Übersicht!M567),IF(K567="T1",G567*M567*0.95-M567,H567*M567*0.95-M567)))</f>
        <v>#VALUE!</v>
      </c>
      <c r="P567" s="136"/>
      <c r="Q567" s="69"/>
      <c r="R567" s="52">
        <f>IF(OR(P567="",N567="NO BET"),0,IF(K567=P567,O567,IF(N567="PINNACLE",-[1]Übersicht!M567,-M567)))</f>
        <v>0</v>
      </c>
      <c r="S567" s="69"/>
      <c r="T567" s="249"/>
      <c r="U567" s="9"/>
    </row>
    <row r="568" spans="1:21" ht="15.75" customHeight="1" thickBot="1" x14ac:dyDescent="0.25">
      <c r="A568" s="258"/>
      <c r="B568" s="247"/>
      <c r="C568" s="168"/>
      <c r="D568" s="63"/>
      <c r="E568" s="63"/>
      <c r="F568" s="63" t="str">
        <f t="shared" si="219"/>
        <v/>
      </c>
      <c r="G568" s="63"/>
      <c r="H568" s="63"/>
      <c r="I568" s="63" t="str">
        <f t="shared" si="220"/>
        <v/>
      </c>
      <c r="J568" s="63" t="str">
        <f t="shared" si="221"/>
        <v/>
      </c>
      <c r="K568" s="63" t="str">
        <f t="shared" si="216"/>
        <v/>
      </c>
      <c r="L568" s="132" t="str">
        <f t="shared" si="222"/>
        <v/>
      </c>
      <c r="M568" s="65" t="str">
        <f t="shared" si="223"/>
        <v/>
      </c>
      <c r="N568" s="133" t="str">
        <f>IF(AND(L568="",[1]Übersicht!L568=""),"",IF(AND(L568="NEGATIV EV",[1]Übersicht!L568="NO BET"),"NO BET",IF(AND(NOT(L568="NEGATIV EV"),L568&gt;[1]Übersicht!L568),"BET365",IF([1]Übersicht!L568="NO BET","BET365","PINNACLE"))))</f>
        <v>BET365</v>
      </c>
      <c r="O568" s="138" t="e">
        <f>IF(OR(N568="",N568="NO BET"),"",IF(N568="PINNACLE",IF([1]Übersicht!K568="T1",[1]Übersicht!G568*[1]Übersicht!M568-[1]Übersicht!M568,[1]Übersicht!H568*[1]Übersicht!M568-[1]Übersicht!M568),IF(K568="T1",G568*M568*0.95-M568,H568*M568*0.95-M568)))</f>
        <v>#VALUE!</v>
      </c>
      <c r="P568" s="66"/>
      <c r="Q568" s="9"/>
      <c r="R568" s="135">
        <f>IF(OR(P568="",N568="NO BET"),0,IF(K568=P568,O568,IF(N568="PINNACLE",-[1]Übersicht!M568,-M568)))</f>
        <v>0</v>
      </c>
      <c r="S568" s="9"/>
      <c r="T568" s="250"/>
      <c r="U568" s="9"/>
    </row>
    <row r="569" spans="1:21" x14ac:dyDescent="0.2">
      <c r="A569" s="9"/>
      <c r="B569" s="9"/>
      <c r="C569" s="11"/>
      <c r="D569" s="9"/>
      <c r="E569" s="9"/>
      <c r="F569" s="9"/>
      <c r="G569" s="9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10"/>
      <c r="S569" s="9"/>
      <c r="T569" s="11"/>
      <c r="U569" s="9"/>
    </row>
    <row r="570" spans="1:21" x14ac:dyDescent="0.2">
      <c r="A570" s="9"/>
      <c r="B570" s="9"/>
      <c r="C570" s="11"/>
      <c r="D570" s="9"/>
      <c r="E570" s="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10"/>
      <c r="S570" s="9"/>
      <c r="T570" s="11"/>
      <c r="U570" s="9"/>
    </row>
    <row r="571" spans="1:21" ht="15.75" thickBot="1" x14ac:dyDescent="0.25">
      <c r="A571" s="9"/>
      <c r="B571" s="9"/>
      <c r="C571" s="11"/>
      <c r="D571" s="9"/>
      <c r="E571" s="9"/>
      <c r="F571" s="9"/>
      <c r="G571" s="9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10"/>
      <c r="S571" s="9"/>
      <c r="T571" s="11"/>
      <c r="U571" s="9"/>
    </row>
    <row r="572" spans="1:21" ht="22.5" customHeight="1" thickBot="1" x14ac:dyDescent="0.25">
      <c r="A572" s="79" t="s">
        <v>6</v>
      </c>
      <c r="B572" s="245" t="s">
        <v>27</v>
      </c>
      <c r="C572" s="160"/>
      <c r="D572" s="43" t="s">
        <v>9</v>
      </c>
      <c r="E572" s="43" t="s">
        <v>10</v>
      </c>
      <c r="F572" s="43" t="s">
        <v>11</v>
      </c>
      <c r="G572" s="43" t="s">
        <v>12</v>
      </c>
      <c r="H572" s="43" t="s">
        <v>13</v>
      </c>
      <c r="I572" s="43" t="s">
        <v>14</v>
      </c>
      <c r="J572" s="43" t="s">
        <v>15</v>
      </c>
      <c r="K572" s="43" t="s">
        <v>33</v>
      </c>
      <c r="L572" s="43" t="s">
        <v>16</v>
      </c>
      <c r="M572" s="43" t="s">
        <v>38</v>
      </c>
      <c r="N572" s="128" t="s">
        <v>87</v>
      </c>
      <c r="O572" s="128" t="s">
        <v>89</v>
      </c>
      <c r="P572" s="137" t="s">
        <v>18</v>
      </c>
      <c r="Q572" s="69"/>
      <c r="R572" s="134" t="s">
        <v>34</v>
      </c>
      <c r="S572" s="69"/>
      <c r="T572" s="47" t="s">
        <v>29</v>
      </c>
      <c r="U572" s="9"/>
    </row>
    <row r="573" spans="1:21" ht="15.75" customHeight="1" thickBot="1" x14ac:dyDescent="0.25">
      <c r="A573" s="80"/>
      <c r="B573" s="246"/>
      <c r="C573" s="165"/>
      <c r="D573" s="48"/>
      <c r="E573" s="48"/>
      <c r="F573" s="48" t="str">
        <f>IF(AND(C573=""),"",1-C573)</f>
        <v/>
      </c>
      <c r="G573" s="48"/>
      <c r="H573" s="48"/>
      <c r="I573" s="48" t="str">
        <f>IF(AND(C573=""),"",G573*C573)</f>
        <v/>
      </c>
      <c r="J573" s="48" t="str">
        <f>IF(AND(C573=""),"",H573*F573)</f>
        <v/>
      </c>
      <c r="K573" s="48" t="str">
        <f t="shared" ref="K573:K582" si="224">IF(AND(I573=""),"",IF(AND(I573&gt;J573),"T1","T2"))</f>
        <v/>
      </c>
      <c r="L573" s="129" t="str">
        <f t="shared" ref="L573:L577" si="225">IF(AND(K573=""),"",IF(AND((J573*0.95-1)&lt;0,(I573*0.95-1)&lt;0),"NEGATIV EV", IF(AND(K573="T1"),I573*0.95 - 1,J573*0.95 - 1)))</f>
        <v/>
      </c>
      <c r="M573" s="50" t="str">
        <f t="shared" ref="M573:M577" si="226">IF(L573="","",IF(L573&lt;0.5,K$2*M$2,IF(L573&lt;0.75,K$2*M$3,IF(L573&lt;1,K$2*M$4,IF(L573&lt;1.25,K$2*M$5,IF(L573&lt;1.5,K$2*M$6,IF(L573&lt;2,K$2*M$7,IF(L573&lt;2.5,K$2*M$8,IF(L573="NEGATIV EV","NEGATIV EV",K$2*M$9)))))))))</f>
        <v/>
      </c>
      <c r="N573" s="133" t="str">
        <f>IF(AND(L573="",[1]Übersicht!L573=""),"",IF(AND(L573="NEGATIV EV",[1]Übersicht!L573="NO BET"),"NO BET",IF(AND(NOT(L573="NEGATIV EV"),L573&gt;[1]Übersicht!L573),"BET365",IF([1]Übersicht!L573="NO BET","BET365","PINNACLE"))))</f>
        <v>BET365</v>
      </c>
      <c r="O573" s="140" t="e">
        <f>IF(OR(N573="",N573="NO BET"),"",IF(N573="PINNACLE",IF([1]Übersicht!K573="T1",[1]Übersicht!G573*[1]Übersicht!M573-[1]Übersicht!M573,[1]Übersicht!H573*[1]Übersicht!M573-[1]Übersicht!M573),IF(K573="T1",G573*M573*0.95-M573,H573*M573*0.95-M573)))</f>
        <v>#VALUE!</v>
      </c>
      <c r="P573" s="136"/>
      <c r="Q573" s="70"/>
      <c r="R573" s="52">
        <f>IF(OR(P573="",N573="NO BET"),0,IF(K573=P573,O573,IF(N573="PINNACLE",-[1]Übersicht!M573,-M573)))</f>
        <v>0</v>
      </c>
      <c r="S573" s="69"/>
      <c r="T573" s="241">
        <f>SUM(R573:R582)</f>
        <v>0</v>
      </c>
      <c r="U573" s="9"/>
    </row>
    <row r="574" spans="1:21" ht="15.75" customHeight="1" thickBot="1" x14ac:dyDescent="0.25">
      <c r="A574" s="257" t="s">
        <v>7</v>
      </c>
      <c r="B574" s="246"/>
      <c r="C574" s="166"/>
      <c r="D574" s="53"/>
      <c r="E574" s="53"/>
      <c r="F574" s="53" t="str">
        <f t="shared" ref="F574:F582" si="227">IF(AND(C574=""),"",1-C574)</f>
        <v/>
      </c>
      <c r="G574" s="53"/>
      <c r="H574" s="53"/>
      <c r="I574" s="53" t="str">
        <f t="shared" ref="I574:I582" si="228">IF(AND(C574=""),"",G574*C574)</f>
        <v/>
      </c>
      <c r="J574" s="53" t="str">
        <f t="shared" ref="J574:J582" si="229">IF(AND(C574=""),"",H574*F574)</f>
        <v/>
      </c>
      <c r="K574" s="53" t="str">
        <f t="shared" si="224"/>
        <v/>
      </c>
      <c r="L574" s="130" t="str">
        <f t="shared" si="225"/>
        <v/>
      </c>
      <c r="M574" s="55" t="str">
        <f t="shared" si="226"/>
        <v/>
      </c>
      <c r="N574" s="133" t="str">
        <f>IF(AND(L574="",[1]Übersicht!L574=""),"",IF(AND(L574="NEGATIV EV",[1]Übersicht!L574="NO BET"),"NO BET",IF(AND(NOT(L574="NEGATIV EV"),L574&gt;[1]Übersicht!L574),"BET365",IF([1]Übersicht!L574="NO BET","BET365","PINNACLE"))))</f>
        <v>BET365</v>
      </c>
      <c r="O574" s="138" t="e">
        <f>IF(OR(N574="",N574="NO BET"),"",IF(N574="PINNACLE",IF([1]Übersicht!K574="T1",[1]Übersicht!G574*[1]Übersicht!M574-[1]Übersicht!M574,[1]Übersicht!H574*[1]Übersicht!M574-[1]Übersicht!M574),IF(K574="T1",G574*M574*0.95-M574,H574*M574*0.95-M574)))</f>
        <v>#VALUE!</v>
      </c>
      <c r="P574" s="136"/>
      <c r="Q574" s="69"/>
      <c r="R574" s="52">
        <f>IF(OR(P574="",N574="NO BET"),0,IF(K574=P574,O574,IF(N574="PINNACLE",-[1]Übersicht!M574,-M574)))</f>
        <v>0</v>
      </c>
      <c r="S574" s="69"/>
      <c r="T574" s="241"/>
      <c r="U574" s="9"/>
    </row>
    <row r="575" spans="1:21" ht="15.75" customHeight="1" thickBot="1" x14ac:dyDescent="0.25">
      <c r="A575" s="257"/>
      <c r="B575" s="246"/>
      <c r="C575" s="167"/>
      <c r="D575" s="7"/>
      <c r="E575" s="7"/>
      <c r="F575" s="7" t="str">
        <f t="shared" si="227"/>
        <v/>
      </c>
      <c r="G575" s="7"/>
      <c r="H575" s="7"/>
      <c r="I575" s="7" t="str">
        <f t="shared" si="228"/>
        <v/>
      </c>
      <c r="J575" s="7" t="str">
        <f t="shared" si="229"/>
        <v/>
      </c>
      <c r="K575" s="7" t="str">
        <f t="shared" si="224"/>
        <v/>
      </c>
      <c r="L575" s="131" t="str">
        <f t="shared" si="225"/>
        <v/>
      </c>
      <c r="M575" s="59" t="str">
        <f t="shared" si="226"/>
        <v/>
      </c>
      <c r="N575" s="133" t="str">
        <f>IF(AND(L575="",[1]Übersicht!L575=""),"",IF(AND(L575="NEGATIV EV",[1]Übersicht!L575="NO BET"),"NO BET",IF(AND(NOT(L575="NEGATIV EV"),L575&gt;[1]Übersicht!L575),"BET365",IF([1]Übersicht!L575="NO BET","BET365","PINNACLE"))))</f>
        <v>BET365</v>
      </c>
      <c r="O575" s="140" t="e">
        <f>IF(OR(N575="",N575="NO BET"),"",IF(N575="PINNACLE",IF([1]Übersicht!K575="T1",[1]Übersicht!G575*[1]Übersicht!M575-[1]Übersicht!M575,[1]Übersicht!H575*[1]Übersicht!M575-[1]Übersicht!M575),IF(K575="T1",G575*M575*0.95-M575,H575*M575*0.95-M575)))</f>
        <v>#VALUE!</v>
      </c>
      <c r="P575" s="136"/>
      <c r="Q575" s="69"/>
      <c r="R575" s="52">
        <f>IF(OR(P575="",N575="NO BET"),0,IF(K575=P575,O575,IF(N575="PINNACLE",-[1]Übersicht!M575,-M575)))</f>
        <v>0</v>
      </c>
      <c r="S575" s="69"/>
      <c r="T575" s="241"/>
      <c r="U575" s="9"/>
    </row>
    <row r="576" spans="1:21" ht="15.75" customHeight="1" thickBot="1" x14ac:dyDescent="0.25">
      <c r="A576" s="257"/>
      <c r="B576" s="246"/>
      <c r="C576" s="166"/>
      <c r="D576" s="53"/>
      <c r="E576" s="53"/>
      <c r="F576" s="53" t="str">
        <f t="shared" si="227"/>
        <v/>
      </c>
      <c r="G576" s="53"/>
      <c r="H576" s="53"/>
      <c r="I576" s="53" t="str">
        <f t="shared" si="228"/>
        <v/>
      </c>
      <c r="J576" s="53" t="str">
        <f t="shared" si="229"/>
        <v/>
      </c>
      <c r="K576" s="53" t="str">
        <f t="shared" si="224"/>
        <v/>
      </c>
      <c r="L576" s="130" t="str">
        <f t="shared" si="225"/>
        <v/>
      </c>
      <c r="M576" s="55" t="str">
        <f t="shared" si="226"/>
        <v/>
      </c>
      <c r="N576" s="133" t="str">
        <f>IF(AND(L576="",[1]Übersicht!L576=""),"",IF(AND(L576="NEGATIV EV",[1]Übersicht!L576="NO BET"),"NO BET",IF(AND(NOT(L576="NEGATIV EV"),L576&gt;[1]Übersicht!L576),"BET365",IF([1]Übersicht!L576="NO BET","BET365","PINNACLE"))))</f>
        <v>BET365</v>
      </c>
      <c r="O576" s="138" t="e">
        <f>IF(OR(N576="",N576="NO BET"),"",IF(N576="PINNACLE",IF([1]Übersicht!K576="T1",[1]Übersicht!G576*[1]Übersicht!M576-[1]Übersicht!M576,[1]Übersicht!H576*[1]Übersicht!M576-[1]Übersicht!M576),IF(K576="T1",G576*M576*0.95-M576,H576*M576*0.95-M576)))</f>
        <v>#VALUE!</v>
      </c>
      <c r="P576" s="136"/>
      <c r="Q576" s="69"/>
      <c r="R576" s="52">
        <f>IF(OR(P576="",N576="NO BET"),0,IF(K576=P576,O576,IF(N576="PINNACLE",-[1]Übersicht!M576,-M576)))</f>
        <v>0</v>
      </c>
      <c r="S576" s="69"/>
      <c r="T576" s="241"/>
      <c r="U576" s="9"/>
    </row>
    <row r="577" spans="1:21" ht="15.75" customHeight="1" thickBot="1" x14ac:dyDescent="0.25">
      <c r="A577" s="257"/>
      <c r="B577" s="246"/>
      <c r="C577" s="167"/>
      <c r="D577" s="7"/>
      <c r="E577" s="7"/>
      <c r="F577" s="7" t="str">
        <f t="shared" si="227"/>
        <v/>
      </c>
      <c r="G577" s="7"/>
      <c r="H577" s="7"/>
      <c r="I577" s="7" t="str">
        <f t="shared" si="228"/>
        <v/>
      </c>
      <c r="J577" s="7" t="str">
        <f t="shared" si="229"/>
        <v/>
      </c>
      <c r="K577" s="7" t="str">
        <f t="shared" si="224"/>
        <v/>
      </c>
      <c r="L577" s="131" t="str">
        <f t="shared" si="225"/>
        <v/>
      </c>
      <c r="M577" s="60" t="str">
        <f t="shared" si="226"/>
        <v/>
      </c>
      <c r="N577" s="133" t="str">
        <f>IF(AND(L577="",[1]Übersicht!L577=""),"",IF(AND(L577="NEGATIV EV",[1]Übersicht!L577="NO BET"),"NO BET",IF(AND(NOT(L577="NEGATIV EV"),L577&gt;[1]Übersicht!L577),"BET365",IF([1]Übersicht!L577="NO BET","BET365","PINNACLE"))))</f>
        <v>BET365</v>
      </c>
      <c r="O577" s="140" t="e">
        <f>IF(OR(N577="",N577="NO BET"),"",IF(N577="PINNACLE",IF([1]Übersicht!K577="T1",[1]Übersicht!G577*[1]Übersicht!M577-[1]Übersicht!M577,[1]Übersicht!H577*[1]Übersicht!M577-[1]Übersicht!M577),IF(K577="T1",G577*M577*0.95-M577,H577*M577*0.95-M577)))</f>
        <v>#VALUE!</v>
      </c>
      <c r="P577" s="136"/>
      <c r="Q577" s="69"/>
      <c r="R577" s="52">
        <f>IF(OR(P577="",N577="NO BET"),0,IF(K577=P577,O577,IF(N577="PINNACLE",-[1]Übersicht!M577,-M577)))</f>
        <v>0</v>
      </c>
      <c r="S577" s="69"/>
      <c r="T577" s="241"/>
      <c r="U577" s="9"/>
    </row>
    <row r="578" spans="1:21" ht="15.75" customHeight="1" thickBot="1" x14ac:dyDescent="0.25">
      <c r="A578" s="257"/>
      <c r="B578" s="246"/>
      <c r="C578" s="166"/>
      <c r="D578" s="53"/>
      <c r="E578" s="53"/>
      <c r="F578" s="53" t="str">
        <f t="shared" si="227"/>
        <v/>
      </c>
      <c r="G578" s="53"/>
      <c r="H578" s="53"/>
      <c r="I578" s="53" t="str">
        <f t="shared" si="228"/>
        <v/>
      </c>
      <c r="J578" s="53" t="str">
        <f t="shared" si="229"/>
        <v/>
      </c>
      <c r="K578" s="53" t="str">
        <f t="shared" si="224"/>
        <v/>
      </c>
      <c r="L578" s="130" t="str">
        <f>IF(AND(K578=""),"",IF(AND((J578*0.95-1)&lt;0,(I578*0.95-1)&lt;0),"NEGATIV EV", IF(AND(K578="T1"),I578*0.95 - 1,J578*0.95 - 1)))</f>
        <v/>
      </c>
      <c r="M578" s="55" t="str">
        <f>IF(L578="","",IF(L578&lt;0.5,K$2*M$2,IF(L578&lt;0.75,K$2*M$3,IF(L578&lt;1,K$2*M$4,IF(L578&lt;1.25,K$2*M$5,IF(L578&lt;1.5,K$2*M$6,IF(L578&lt;2,K$2*M$7,IF(L578&lt;2.5,K$2*M$8,IF(L578="NEGATIV EV","NEGATIV EV",K$2*M$9)))))))))</f>
        <v/>
      </c>
      <c r="N578" s="133" t="str">
        <f>IF(AND(L578="",[1]Übersicht!L578=""),"",IF(AND(L578="NEGATIV EV",[1]Übersicht!L578="NO BET"),"NO BET",IF(AND(NOT(L578="NEGATIV EV"),L578&gt;[1]Übersicht!L578),"BET365",IF([1]Übersicht!L578="NO BET","BET365","PINNACLE"))))</f>
        <v>BET365</v>
      </c>
      <c r="O578" s="138" t="e">
        <f>IF(OR(N578="",N578="NO BET"),"",IF(N578="PINNACLE",IF([1]Übersicht!K578="T1",[1]Übersicht!G578*[1]Übersicht!M578-[1]Übersicht!M578,[1]Übersicht!H578*[1]Übersicht!M578-[1]Übersicht!M578),IF(K578="T1",G578*M578*0.95-M578,H578*M578*0.95-M578)))</f>
        <v>#VALUE!</v>
      </c>
      <c r="P578" s="136"/>
      <c r="Q578" s="69"/>
      <c r="R578" s="52">
        <f>IF(OR(P578="",N578="NO BET"),0,IF(K578=P578,O578,IF(N578="PINNACLE",-[1]Übersicht!M578,-M578)))</f>
        <v>0</v>
      </c>
      <c r="S578" s="69"/>
      <c r="T578" s="241"/>
      <c r="U578" s="9"/>
    </row>
    <row r="579" spans="1:21" ht="16.5" thickBot="1" x14ac:dyDescent="0.25">
      <c r="A579" s="257"/>
      <c r="B579" s="246"/>
      <c r="C579" s="167"/>
      <c r="D579" s="7"/>
      <c r="E579" s="7"/>
      <c r="F579" s="7" t="str">
        <f t="shared" si="227"/>
        <v/>
      </c>
      <c r="G579" s="7"/>
      <c r="H579" s="7"/>
      <c r="I579" s="7" t="str">
        <f t="shared" si="228"/>
        <v/>
      </c>
      <c r="J579" s="7" t="str">
        <f t="shared" si="229"/>
        <v/>
      </c>
      <c r="K579" s="7" t="str">
        <f t="shared" si="224"/>
        <v/>
      </c>
      <c r="L579" s="131" t="str">
        <f t="shared" ref="L579:L582" si="230">IF(AND(K579=""),"",IF(AND((J579*0.95-1)&lt;0,(I579*0.95-1)&lt;0),"NEGATIV EV", IF(AND(K579="T1"),I579*0.95 - 1,J579*0.95 - 1)))</f>
        <v/>
      </c>
      <c r="M579" s="59" t="str">
        <f t="shared" ref="M579:M582" si="231">IF(L579="","",IF(L579&lt;0.5,K$2*M$2,IF(L579&lt;0.75,K$2*M$3,IF(L579&lt;1,K$2*M$4,IF(L579&lt;1.25,K$2*M$5,IF(L579&lt;1.5,K$2*M$6,IF(L579&lt;2,K$2*M$7,IF(L579&lt;2.5,K$2*M$8,IF(L579="NEGATIV EV","NEGATIV EV",K$2*M$9)))))))))</f>
        <v/>
      </c>
      <c r="N579" s="133" t="str">
        <f>IF(AND(L579="",[1]Übersicht!L579=""),"",IF(AND(L579="NEGATIV EV",[1]Übersicht!L579="NO BET"),"NO BET",IF(AND(NOT(L579="NEGATIV EV"),L579&gt;[1]Übersicht!L579),"BET365",IF([1]Übersicht!L579="NO BET","BET365","PINNACLE"))))</f>
        <v>BET365</v>
      </c>
      <c r="O579" s="140" t="e">
        <f>IF(OR(N579="",N579="NO BET"),"",IF(N579="PINNACLE",IF([1]Übersicht!K579="T1",[1]Übersicht!G579*[1]Übersicht!M579-[1]Übersicht!M579,[1]Übersicht!H579*[1]Übersicht!M579-[1]Übersicht!M579),IF(K579="T1",G579*M579*0.95-M579,H579*M579*0.95-M579)))</f>
        <v>#VALUE!</v>
      </c>
      <c r="P579" s="56"/>
      <c r="Q579" s="69"/>
      <c r="R579" s="52">
        <f>IF(OR(P579="",N579="NO BET"),0,IF(K579=P579,O579,IF(N579="PINNACLE",-[1]Übersicht!M579,-M579)))</f>
        <v>0</v>
      </c>
      <c r="S579" s="69"/>
      <c r="T579" s="61" t="s">
        <v>31</v>
      </c>
      <c r="U579" s="9"/>
    </row>
    <row r="580" spans="1:21" ht="16.5" customHeight="1" thickBot="1" x14ac:dyDescent="0.25">
      <c r="A580" s="257"/>
      <c r="B580" s="246"/>
      <c r="C580" s="166"/>
      <c r="D580" s="53"/>
      <c r="E580" s="53"/>
      <c r="F580" s="53" t="str">
        <f t="shared" si="227"/>
        <v/>
      </c>
      <c r="G580" s="53"/>
      <c r="H580" s="53"/>
      <c r="I580" s="53" t="str">
        <f t="shared" si="228"/>
        <v/>
      </c>
      <c r="J580" s="53" t="str">
        <f t="shared" si="229"/>
        <v/>
      </c>
      <c r="K580" s="53" t="str">
        <f t="shared" si="224"/>
        <v/>
      </c>
      <c r="L580" s="130" t="str">
        <f t="shared" si="230"/>
        <v/>
      </c>
      <c r="M580" s="62" t="str">
        <f t="shared" si="231"/>
        <v/>
      </c>
      <c r="N580" s="133" t="str">
        <f>IF(AND(L580="",[1]Übersicht!L580=""),"",IF(AND(L580="NEGATIV EV",[1]Übersicht!L580="NO BET"),"NO BET",IF(AND(NOT(L580="NEGATIV EV"),L580&gt;[1]Übersicht!L580),"BET365",IF([1]Übersicht!L580="NO BET","BET365","PINNACLE"))))</f>
        <v>BET365</v>
      </c>
      <c r="O580" s="138" t="e">
        <f>IF(OR(N580="",N580="NO BET"),"",IF(N580="PINNACLE",IF([1]Übersicht!K580="T1",[1]Übersicht!G580*[1]Übersicht!M580-[1]Übersicht!M580,[1]Übersicht!H580*[1]Übersicht!M580-[1]Übersicht!M580),IF(K580="T1",G580*M580*0.95-M580,H580*M580*0.95-M580)))</f>
        <v>#VALUE!</v>
      </c>
      <c r="P580" s="136"/>
      <c r="Q580" s="69"/>
      <c r="R580" s="52">
        <f>IF(OR(P580="",N580="NO BET"),0,IF(K580=P580,O580,IF(N580="PINNACLE",-[1]Übersicht!M580,-M580)))</f>
        <v>0</v>
      </c>
      <c r="S580" s="69"/>
      <c r="T580" s="248" t="e">
        <f>IF(AND(NOT(N573=0)),T573/N573,0)</f>
        <v>#VALUE!</v>
      </c>
      <c r="U580" s="9"/>
    </row>
    <row r="581" spans="1:21" ht="15.75" customHeight="1" thickBot="1" x14ac:dyDescent="0.25">
      <c r="A581" s="257"/>
      <c r="B581" s="246"/>
      <c r="C581" s="167"/>
      <c r="D581" s="7"/>
      <c r="E581" s="7"/>
      <c r="F581" s="7" t="str">
        <f t="shared" si="227"/>
        <v/>
      </c>
      <c r="G581" s="7"/>
      <c r="H581" s="7"/>
      <c r="I581" s="7" t="str">
        <f t="shared" si="228"/>
        <v/>
      </c>
      <c r="J581" s="7" t="str">
        <f t="shared" si="229"/>
        <v/>
      </c>
      <c r="K581" s="7" t="str">
        <f t="shared" si="224"/>
        <v/>
      </c>
      <c r="L581" s="131" t="str">
        <f t="shared" si="230"/>
        <v/>
      </c>
      <c r="M581" s="60" t="str">
        <f t="shared" si="231"/>
        <v/>
      </c>
      <c r="N581" s="133" t="str">
        <f>IF(AND(L581="",[1]Übersicht!L581=""),"",IF(AND(L581="NEGATIV EV",[1]Übersicht!L581="NO BET"),"NO BET",IF(AND(NOT(L581="NEGATIV EV"),L581&gt;[1]Übersicht!L581),"BET365",IF([1]Übersicht!L581="NO BET","BET365","PINNACLE"))))</f>
        <v>BET365</v>
      </c>
      <c r="O581" s="139" t="e">
        <f>IF(OR(N581="",N581="NO BET"),"",IF(N581="PINNACLE",IF([1]Übersicht!K581="T1",[1]Übersicht!G581*[1]Übersicht!M581-[1]Übersicht!M581,[1]Übersicht!H581*[1]Übersicht!M581-[1]Übersicht!M581),IF(K581="T1",G581*M581*0.95-M581,H581*M581*0.95-M581)))</f>
        <v>#VALUE!</v>
      </c>
      <c r="P581" s="136"/>
      <c r="Q581" s="69"/>
      <c r="R581" s="52">
        <f>IF(OR(P581="",N581="NO BET"),0,IF(K581=P581,O581,IF(N581="PINNACLE",-[1]Übersicht!M581,-M581)))</f>
        <v>0</v>
      </c>
      <c r="S581" s="69"/>
      <c r="T581" s="249"/>
      <c r="U581" s="9"/>
    </row>
    <row r="582" spans="1:21" ht="15.75" customHeight="1" thickBot="1" x14ac:dyDescent="0.25">
      <c r="A582" s="258"/>
      <c r="B582" s="247"/>
      <c r="C582" s="168"/>
      <c r="D582" s="63"/>
      <c r="E582" s="63"/>
      <c r="F582" s="63" t="str">
        <f t="shared" si="227"/>
        <v/>
      </c>
      <c r="G582" s="63"/>
      <c r="H582" s="63"/>
      <c r="I582" s="63" t="str">
        <f t="shared" si="228"/>
        <v/>
      </c>
      <c r="J582" s="63" t="str">
        <f t="shared" si="229"/>
        <v/>
      </c>
      <c r="K582" s="63" t="str">
        <f t="shared" si="224"/>
        <v/>
      </c>
      <c r="L582" s="132" t="str">
        <f t="shared" si="230"/>
        <v/>
      </c>
      <c r="M582" s="65" t="str">
        <f t="shared" si="231"/>
        <v/>
      </c>
      <c r="N582" s="133" t="str">
        <f>IF(AND(L582="",[1]Übersicht!L582=""),"",IF(AND(L582="NEGATIV EV",[1]Übersicht!L582="NO BET"),"NO BET",IF(AND(NOT(L582="NEGATIV EV"),L582&gt;[1]Übersicht!L582),"BET365",IF([1]Übersicht!L582="NO BET","BET365","PINNACLE"))))</f>
        <v>BET365</v>
      </c>
      <c r="O582" s="138" t="e">
        <f>IF(OR(N582="",N582="NO BET"),"",IF(N582="PINNACLE",IF([1]Übersicht!K582="T1",[1]Übersicht!G582*[1]Übersicht!M582-[1]Übersicht!M582,[1]Übersicht!H582*[1]Übersicht!M582-[1]Übersicht!M582),IF(K582="T1",G582*M582*0.95-M582,H582*M582*0.95-M582)))</f>
        <v>#VALUE!</v>
      </c>
      <c r="P582" s="66"/>
      <c r="Q582" s="9"/>
      <c r="R582" s="135">
        <f>IF(OR(P582="",N582="NO BET"),0,IF(K582=P582,O582,IF(N582="PINNACLE",-[1]Übersicht!M582,-M582)))</f>
        <v>0</v>
      </c>
      <c r="S582" s="9"/>
      <c r="T582" s="250"/>
      <c r="U582" s="9"/>
    </row>
    <row r="583" spans="1:21" ht="15.75" customHeight="1" x14ac:dyDescent="0.2">
      <c r="A583" s="9"/>
      <c r="B583" s="9"/>
      <c r="C583" s="11"/>
      <c r="D583" s="9"/>
      <c r="E583" s="9"/>
      <c r="F583" s="9"/>
      <c r="G583" s="9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10"/>
      <c r="S583" s="9"/>
      <c r="T583" s="11"/>
      <c r="U583" s="9"/>
    </row>
    <row r="584" spans="1:21" ht="15.75" customHeight="1" x14ac:dyDescent="0.2">
      <c r="A584" s="9"/>
      <c r="B584" s="9"/>
      <c r="C584" s="11"/>
      <c r="D584" s="9"/>
      <c r="E584" s="9"/>
      <c r="F584" s="9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10"/>
      <c r="S584" s="9"/>
      <c r="T584" s="11"/>
      <c r="U584" s="9"/>
    </row>
    <row r="585" spans="1:21" ht="15.75" thickBot="1" x14ac:dyDescent="0.25">
      <c r="A585" s="9"/>
      <c r="B585" s="9"/>
      <c r="C585" s="11"/>
      <c r="D585" s="9"/>
      <c r="E585" s="9"/>
      <c r="F585" s="9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10"/>
      <c r="S585" s="9"/>
      <c r="T585" s="11"/>
      <c r="U585" s="9"/>
    </row>
    <row r="586" spans="1:21" ht="22.5" customHeight="1" thickBot="1" x14ac:dyDescent="0.25">
      <c r="A586" s="79" t="s">
        <v>6</v>
      </c>
      <c r="B586" s="245" t="s">
        <v>28</v>
      </c>
      <c r="C586" s="160"/>
      <c r="D586" s="43" t="s">
        <v>9</v>
      </c>
      <c r="E586" s="43" t="s">
        <v>10</v>
      </c>
      <c r="F586" s="43" t="s">
        <v>11</v>
      </c>
      <c r="G586" s="43" t="s">
        <v>12</v>
      </c>
      <c r="H586" s="43" t="s">
        <v>13</v>
      </c>
      <c r="I586" s="43" t="s">
        <v>14</v>
      </c>
      <c r="J586" s="43" t="s">
        <v>15</v>
      </c>
      <c r="K586" s="43" t="s">
        <v>33</v>
      </c>
      <c r="L586" s="43" t="s">
        <v>16</v>
      </c>
      <c r="M586" s="43" t="s">
        <v>38</v>
      </c>
      <c r="N586" s="128" t="s">
        <v>87</v>
      </c>
      <c r="O586" s="128" t="s">
        <v>89</v>
      </c>
      <c r="P586" s="137" t="s">
        <v>18</v>
      </c>
      <c r="Q586" s="69"/>
      <c r="R586" s="134" t="s">
        <v>34</v>
      </c>
      <c r="S586" s="69"/>
      <c r="T586" s="47" t="s">
        <v>29</v>
      </c>
      <c r="U586" s="9"/>
    </row>
    <row r="587" spans="1:21" ht="15.75" customHeight="1" thickBot="1" x14ac:dyDescent="0.25">
      <c r="A587" s="80"/>
      <c r="B587" s="246"/>
      <c r="C587" s="165"/>
      <c r="D587" s="48"/>
      <c r="E587" s="48"/>
      <c r="F587" s="48" t="str">
        <f>IF(AND(C587=""),"",1-C587)</f>
        <v/>
      </c>
      <c r="G587" s="48"/>
      <c r="H587" s="48"/>
      <c r="I587" s="48" t="str">
        <f>IF(AND(C587=""),"",G587*C587)</f>
        <v/>
      </c>
      <c r="J587" s="48" t="str">
        <f>IF(AND(C587=""),"",H587*F587)</f>
        <v/>
      </c>
      <c r="K587" s="48" t="str">
        <f t="shared" ref="K587:K596" si="232">IF(AND(I587=""),"",IF(AND(I587&gt;J587),"T1","T2"))</f>
        <v/>
      </c>
      <c r="L587" s="129" t="str">
        <f t="shared" ref="L587:L591" si="233">IF(AND(K587=""),"",IF(AND((J587*0.95-1)&lt;0,(I587*0.95-1)&lt;0),"NEGATIV EV", IF(AND(K587="T1"),I587*0.95 - 1,J587*0.95 - 1)))</f>
        <v/>
      </c>
      <c r="M587" s="50" t="str">
        <f t="shared" ref="M587:M591" si="234">IF(L587="","",IF(L587&lt;0.5,K$2*M$2,IF(L587&lt;0.75,K$2*M$3,IF(L587&lt;1,K$2*M$4,IF(L587&lt;1.25,K$2*M$5,IF(L587&lt;1.5,K$2*M$6,IF(L587&lt;2,K$2*M$7,IF(L587&lt;2.5,K$2*M$8,IF(L587="NEGATIV EV","NEGATIV EV",K$2*M$9)))))))))</f>
        <v/>
      </c>
      <c r="N587" s="133" t="str">
        <f>IF(AND(L587="",[1]Übersicht!L587=""),"",IF(AND(L587="NEGATIV EV",[1]Übersicht!L587="NO BET"),"NO BET",IF(AND(NOT(L587="NEGATIV EV"),L587&gt;[1]Übersicht!L587),"BET365",IF([1]Übersicht!L587="NO BET","BET365","PINNACLE"))))</f>
        <v>BET365</v>
      </c>
      <c r="O587" s="140" t="e">
        <f>IF(OR(N587="",N587="NO BET"),"",IF(N587="PINNACLE",IF([1]Übersicht!K587="T1",[1]Übersicht!G587*[1]Übersicht!M587-[1]Übersicht!M587,[1]Übersicht!H587*[1]Übersicht!M587-[1]Übersicht!M587),IF(K587="T1",G587*M587*0.95-M587,H587*M587*0.95-M587)))</f>
        <v>#VALUE!</v>
      </c>
      <c r="P587" s="136"/>
      <c r="Q587" s="70"/>
      <c r="R587" s="52">
        <f>IF(OR(P587="",N587="NO BET"),0,IF(K587=P587,O587,IF(N587="PINNACLE",-[1]Übersicht!M587,-M587)))</f>
        <v>0</v>
      </c>
      <c r="S587" s="69"/>
      <c r="T587" s="241">
        <f>SUM(R587:R596)</f>
        <v>0</v>
      </c>
      <c r="U587" s="9"/>
    </row>
    <row r="588" spans="1:21" ht="15.75" customHeight="1" thickBot="1" x14ac:dyDescent="0.25">
      <c r="A588" s="257" t="s">
        <v>7</v>
      </c>
      <c r="B588" s="246"/>
      <c r="C588" s="166"/>
      <c r="D588" s="53"/>
      <c r="E588" s="53"/>
      <c r="F588" s="53" t="str">
        <f t="shared" ref="F588:F596" si="235">IF(AND(C588=""),"",1-C588)</f>
        <v/>
      </c>
      <c r="G588" s="53"/>
      <c r="H588" s="53"/>
      <c r="I588" s="53" t="str">
        <f t="shared" ref="I588:I596" si="236">IF(AND(C588=""),"",G588*C588)</f>
        <v/>
      </c>
      <c r="J588" s="53" t="str">
        <f t="shared" ref="J588:J596" si="237">IF(AND(C588=""),"",H588*F588)</f>
        <v/>
      </c>
      <c r="K588" s="53" t="str">
        <f t="shared" si="232"/>
        <v/>
      </c>
      <c r="L588" s="130" t="str">
        <f t="shared" si="233"/>
        <v/>
      </c>
      <c r="M588" s="55" t="str">
        <f t="shared" si="234"/>
        <v/>
      </c>
      <c r="N588" s="133" t="str">
        <f>IF(AND(L588="",[1]Übersicht!L588=""),"",IF(AND(L588="NEGATIV EV",[1]Übersicht!L588="NO BET"),"NO BET",IF(AND(NOT(L588="NEGATIV EV"),L588&gt;[1]Übersicht!L588),"BET365",IF([1]Übersicht!L588="NO BET","BET365","PINNACLE"))))</f>
        <v>BET365</v>
      </c>
      <c r="O588" s="138" t="e">
        <f>IF(OR(N588="",N588="NO BET"),"",IF(N588="PINNACLE",IF([1]Übersicht!K588="T1",[1]Übersicht!G588*[1]Übersicht!M588-[1]Übersicht!M588,[1]Übersicht!H588*[1]Übersicht!M588-[1]Übersicht!M588),IF(K588="T1",G588*M588*0.95-M588,H588*M588*0.95-M588)))</f>
        <v>#VALUE!</v>
      </c>
      <c r="P588" s="136"/>
      <c r="Q588" s="69"/>
      <c r="R588" s="52">
        <f>IF(OR(P588="",N588="NO BET"),0,IF(K588=P588,O588,IF(N588="PINNACLE",-[1]Übersicht!M588,-M588)))</f>
        <v>0</v>
      </c>
      <c r="S588" s="69"/>
      <c r="T588" s="241"/>
      <c r="U588" s="9"/>
    </row>
    <row r="589" spans="1:21" ht="15.75" customHeight="1" thickBot="1" x14ac:dyDescent="0.25">
      <c r="A589" s="257"/>
      <c r="B589" s="246"/>
      <c r="C589" s="167"/>
      <c r="D589" s="7"/>
      <c r="E589" s="7"/>
      <c r="F589" s="7" t="str">
        <f t="shared" si="235"/>
        <v/>
      </c>
      <c r="G589" s="7"/>
      <c r="H589" s="7"/>
      <c r="I589" s="7" t="str">
        <f t="shared" si="236"/>
        <v/>
      </c>
      <c r="J589" s="7" t="str">
        <f t="shared" si="237"/>
        <v/>
      </c>
      <c r="K589" s="7" t="str">
        <f t="shared" si="232"/>
        <v/>
      </c>
      <c r="L589" s="131" t="str">
        <f t="shared" si="233"/>
        <v/>
      </c>
      <c r="M589" s="59" t="str">
        <f t="shared" si="234"/>
        <v/>
      </c>
      <c r="N589" s="133" t="str">
        <f>IF(AND(L589="",[1]Übersicht!L589=""),"",IF(AND(L589="NEGATIV EV",[1]Übersicht!L589="NO BET"),"NO BET",IF(AND(NOT(L589="NEGATIV EV"),L589&gt;[1]Übersicht!L589),"BET365",IF([1]Übersicht!L589="NO BET","BET365","PINNACLE"))))</f>
        <v>BET365</v>
      </c>
      <c r="O589" s="140" t="e">
        <f>IF(OR(N589="",N589="NO BET"),"",IF(N589="PINNACLE",IF([1]Übersicht!K589="T1",[1]Übersicht!G589*[1]Übersicht!M589-[1]Übersicht!M589,[1]Übersicht!H589*[1]Übersicht!M589-[1]Übersicht!M589),IF(K589="T1",G589*M589*0.95-M589,H589*M589*0.95-M589)))</f>
        <v>#VALUE!</v>
      </c>
      <c r="P589" s="136"/>
      <c r="Q589" s="69"/>
      <c r="R589" s="52">
        <f>IF(OR(P589="",N589="NO BET"),0,IF(K589=P589,O589,IF(N589="PINNACLE",-[1]Übersicht!M589,-M589)))</f>
        <v>0</v>
      </c>
      <c r="S589" s="69"/>
      <c r="T589" s="241"/>
      <c r="U589" s="9"/>
    </row>
    <row r="590" spans="1:21" ht="15.75" customHeight="1" thickBot="1" x14ac:dyDescent="0.25">
      <c r="A590" s="257"/>
      <c r="B590" s="246"/>
      <c r="C590" s="166"/>
      <c r="D590" s="53"/>
      <c r="E590" s="53"/>
      <c r="F590" s="53" t="str">
        <f t="shared" si="235"/>
        <v/>
      </c>
      <c r="G590" s="53"/>
      <c r="H590" s="53"/>
      <c r="I590" s="53" t="str">
        <f t="shared" si="236"/>
        <v/>
      </c>
      <c r="J590" s="53" t="str">
        <f t="shared" si="237"/>
        <v/>
      </c>
      <c r="K590" s="53" t="str">
        <f t="shared" si="232"/>
        <v/>
      </c>
      <c r="L590" s="130" t="str">
        <f t="shared" si="233"/>
        <v/>
      </c>
      <c r="M590" s="55" t="str">
        <f t="shared" si="234"/>
        <v/>
      </c>
      <c r="N590" s="133" t="str">
        <f>IF(AND(L590="",[1]Übersicht!L590=""),"",IF(AND(L590="NEGATIV EV",[1]Übersicht!L590="NO BET"),"NO BET",IF(AND(NOT(L590="NEGATIV EV"),L590&gt;[1]Übersicht!L590),"BET365",IF([1]Übersicht!L590="NO BET","BET365","PINNACLE"))))</f>
        <v>BET365</v>
      </c>
      <c r="O590" s="138" t="e">
        <f>IF(OR(N590="",N590="NO BET"),"",IF(N590="PINNACLE",IF([1]Übersicht!K590="T1",[1]Übersicht!G590*[1]Übersicht!M590-[1]Übersicht!M590,[1]Übersicht!H590*[1]Übersicht!M590-[1]Übersicht!M590),IF(K590="T1",G590*M590*0.95-M590,H590*M590*0.95-M590)))</f>
        <v>#VALUE!</v>
      </c>
      <c r="P590" s="136"/>
      <c r="Q590" s="69"/>
      <c r="R590" s="52">
        <f>IF(OR(P590="",N590="NO BET"),0,IF(K590=P590,O590,IF(N590="PINNACLE",-[1]Übersicht!M590,-M590)))</f>
        <v>0</v>
      </c>
      <c r="S590" s="69"/>
      <c r="T590" s="241"/>
      <c r="U590" s="9"/>
    </row>
    <row r="591" spans="1:21" ht="15.75" customHeight="1" thickBot="1" x14ac:dyDescent="0.25">
      <c r="A591" s="257"/>
      <c r="B591" s="246"/>
      <c r="C591" s="167"/>
      <c r="D591" s="7"/>
      <c r="E591" s="7"/>
      <c r="F591" s="7" t="str">
        <f t="shared" si="235"/>
        <v/>
      </c>
      <c r="G591" s="7"/>
      <c r="H591" s="7"/>
      <c r="I591" s="7" t="str">
        <f t="shared" si="236"/>
        <v/>
      </c>
      <c r="J591" s="7" t="str">
        <f t="shared" si="237"/>
        <v/>
      </c>
      <c r="K591" s="7" t="str">
        <f t="shared" si="232"/>
        <v/>
      </c>
      <c r="L591" s="131" t="str">
        <f t="shared" si="233"/>
        <v/>
      </c>
      <c r="M591" s="60" t="str">
        <f t="shared" si="234"/>
        <v/>
      </c>
      <c r="N591" s="133" t="str">
        <f>IF(AND(L591="",[1]Übersicht!L591=""),"",IF(AND(L591="NEGATIV EV",[1]Übersicht!L591="NO BET"),"NO BET",IF(AND(NOT(L591="NEGATIV EV"),L591&gt;[1]Übersicht!L591),"BET365",IF([1]Übersicht!L591="NO BET","BET365","PINNACLE"))))</f>
        <v>BET365</v>
      </c>
      <c r="O591" s="140" t="e">
        <f>IF(OR(N591="",N591="NO BET"),"",IF(N591="PINNACLE",IF([1]Übersicht!K591="T1",[1]Übersicht!G591*[1]Übersicht!M591-[1]Übersicht!M591,[1]Übersicht!H591*[1]Übersicht!M591-[1]Übersicht!M591),IF(K591="T1",G591*M591*0.95-M591,H591*M591*0.95-M591)))</f>
        <v>#VALUE!</v>
      </c>
      <c r="P591" s="136"/>
      <c r="Q591" s="69"/>
      <c r="R591" s="52">
        <f>IF(OR(P591="",N591="NO BET"),0,IF(K591=P591,O591,IF(N591="PINNACLE",-[1]Übersicht!M591,-M591)))</f>
        <v>0</v>
      </c>
      <c r="S591" s="69"/>
      <c r="T591" s="241"/>
      <c r="U591" s="9"/>
    </row>
    <row r="592" spans="1:21" ht="15.75" customHeight="1" thickBot="1" x14ac:dyDescent="0.25">
      <c r="A592" s="257"/>
      <c r="B592" s="246"/>
      <c r="C592" s="166"/>
      <c r="D592" s="53"/>
      <c r="E592" s="53"/>
      <c r="F592" s="53" t="str">
        <f t="shared" si="235"/>
        <v/>
      </c>
      <c r="G592" s="53"/>
      <c r="H592" s="53"/>
      <c r="I592" s="53" t="str">
        <f t="shared" si="236"/>
        <v/>
      </c>
      <c r="J592" s="53" t="str">
        <f t="shared" si="237"/>
        <v/>
      </c>
      <c r="K592" s="53" t="str">
        <f t="shared" si="232"/>
        <v/>
      </c>
      <c r="L592" s="130" t="str">
        <f>IF(AND(K592=""),"",IF(AND((J592*0.95-1)&lt;0,(I592*0.95-1)&lt;0),"NEGATIV EV", IF(AND(K592="T1"),I592*0.95 - 1,J592*0.95 - 1)))</f>
        <v/>
      </c>
      <c r="M592" s="55" t="str">
        <f>IF(L592="","",IF(L592&lt;0.5,K$2*M$2,IF(L592&lt;0.75,K$2*M$3,IF(L592&lt;1,K$2*M$4,IF(L592&lt;1.25,K$2*M$5,IF(L592&lt;1.5,K$2*M$6,IF(L592&lt;2,K$2*M$7,IF(L592&lt;2.5,K$2*M$8,IF(L592="NEGATIV EV","NEGATIV EV",K$2*M$9)))))))))</f>
        <v/>
      </c>
      <c r="N592" s="133" t="str">
        <f>IF(AND(L592="",[1]Übersicht!L592=""),"",IF(AND(L592="NEGATIV EV",[1]Übersicht!L592="NO BET"),"NO BET",IF(AND(NOT(L592="NEGATIV EV"),L592&gt;[1]Übersicht!L592),"BET365",IF([1]Übersicht!L592="NO BET","BET365","PINNACLE"))))</f>
        <v>BET365</v>
      </c>
      <c r="O592" s="138" t="e">
        <f>IF(OR(N592="",N592="NO BET"),"",IF(N592="PINNACLE",IF([1]Übersicht!K592="T1",[1]Übersicht!G592*[1]Übersicht!M592-[1]Übersicht!M592,[1]Übersicht!H592*[1]Übersicht!M592-[1]Übersicht!M592),IF(K592="T1",G592*M592*0.95-M592,H592*M592*0.95-M592)))</f>
        <v>#VALUE!</v>
      </c>
      <c r="P592" s="136"/>
      <c r="Q592" s="69"/>
      <c r="R592" s="52">
        <f>IF(OR(P592="",N592="NO BET"),0,IF(K592=P592,O592,IF(N592="PINNACLE",-[1]Übersicht!M592,-M592)))</f>
        <v>0</v>
      </c>
      <c r="S592" s="69"/>
      <c r="T592" s="241"/>
      <c r="U592" s="9"/>
    </row>
    <row r="593" spans="1:21" ht="15.75" customHeight="1" thickBot="1" x14ac:dyDescent="0.25">
      <c r="A593" s="257"/>
      <c r="B593" s="246"/>
      <c r="C593" s="167"/>
      <c r="D593" s="7"/>
      <c r="E593" s="7"/>
      <c r="F593" s="7" t="str">
        <f t="shared" si="235"/>
        <v/>
      </c>
      <c r="G593" s="7"/>
      <c r="H593" s="7"/>
      <c r="I593" s="7" t="str">
        <f t="shared" si="236"/>
        <v/>
      </c>
      <c r="J593" s="7" t="str">
        <f t="shared" si="237"/>
        <v/>
      </c>
      <c r="K593" s="7" t="str">
        <f t="shared" si="232"/>
        <v/>
      </c>
      <c r="L593" s="131" t="str">
        <f t="shared" ref="L593:L596" si="238">IF(AND(K593=""),"",IF(AND((J593*0.95-1)&lt;0,(I593*0.95-1)&lt;0),"NEGATIV EV", IF(AND(K593="T1"),I593*0.95 - 1,J593*0.95 - 1)))</f>
        <v/>
      </c>
      <c r="M593" s="59" t="str">
        <f t="shared" ref="M593:M596" si="239">IF(L593="","",IF(L593&lt;0.5,K$2*M$2,IF(L593&lt;0.75,K$2*M$3,IF(L593&lt;1,K$2*M$4,IF(L593&lt;1.25,K$2*M$5,IF(L593&lt;1.5,K$2*M$6,IF(L593&lt;2,K$2*M$7,IF(L593&lt;2.5,K$2*M$8,IF(L593="NEGATIV EV","NEGATIV EV",K$2*M$9)))))))))</f>
        <v/>
      </c>
      <c r="N593" s="133" t="str">
        <f>IF(AND(L593="",[1]Übersicht!L593=""),"",IF(AND(L593="NEGATIV EV",[1]Übersicht!L593="NO BET"),"NO BET",IF(AND(NOT(L593="NEGATIV EV"),L593&gt;[1]Übersicht!L593),"BET365",IF([1]Übersicht!L593="NO BET","BET365","PINNACLE"))))</f>
        <v>BET365</v>
      </c>
      <c r="O593" s="140" t="e">
        <f>IF(OR(N593="",N593="NO BET"),"",IF(N593="PINNACLE",IF([1]Übersicht!K593="T1",[1]Übersicht!G593*[1]Übersicht!M593-[1]Übersicht!M593,[1]Übersicht!H593*[1]Übersicht!M593-[1]Übersicht!M593),IF(K593="T1",G593*M593*0.95-M593,H593*M593*0.95-M593)))</f>
        <v>#VALUE!</v>
      </c>
      <c r="P593" s="56"/>
      <c r="Q593" s="69"/>
      <c r="R593" s="52">
        <f>IF(OR(P593="",N593="NO BET"),0,IF(K593=P593,O593,IF(N593="PINNACLE",-[1]Übersicht!M593,-M593)))</f>
        <v>0</v>
      </c>
      <c r="S593" s="69"/>
      <c r="T593" s="61" t="s">
        <v>31</v>
      </c>
      <c r="U593" s="9"/>
    </row>
    <row r="594" spans="1:21" ht="16.5" customHeight="1" thickBot="1" x14ac:dyDescent="0.25">
      <c r="A594" s="257"/>
      <c r="B594" s="246"/>
      <c r="C594" s="166"/>
      <c r="D594" s="53"/>
      <c r="E594" s="53"/>
      <c r="F594" s="53" t="str">
        <f t="shared" si="235"/>
        <v/>
      </c>
      <c r="G594" s="53"/>
      <c r="H594" s="53"/>
      <c r="I594" s="53" t="str">
        <f t="shared" si="236"/>
        <v/>
      </c>
      <c r="J594" s="53" t="str">
        <f t="shared" si="237"/>
        <v/>
      </c>
      <c r="K594" s="53" t="str">
        <f t="shared" si="232"/>
        <v/>
      </c>
      <c r="L594" s="130" t="str">
        <f t="shared" si="238"/>
        <v/>
      </c>
      <c r="M594" s="62" t="str">
        <f t="shared" si="239"/>
        <v/>
      </c>
      <c r="N594" s="133" t="str">
        <f>IF(AND(L594="",[1]Übersicht!L594=""),"",IF(AND(L594="NEGATIV EV",[1]Übersicht!L594="NO BET"),"NO BET",IF(AND(NOT(L594="NEGATIV EV"),L594&gt;[1]Übersicht!L594),"BET365",IF([1]Übersicht!L594="NO BET","BET365","PINNACLE"))))</f>
        <v>BET365</v>
      </c>
      <c r="O594" s="138" t="e">
        <f>IF(OR(N594="",N594="NO BET"),"",IF(N594="PINNACLE",IF([1]Übersicht!K594="T1",[1]Übersicht!G594*[1]Übersicht!M594-[1]Übersicht!M594,[1]Übersicht!H594*[1]Übersicht!M594-[1]Übersicht!M594),IF(K594="T1",G594*M594*0.95-M594,H594*M594*0.95-M594)))</f>
        <v>#VALUE!</v>
      </c>
      <c r="P594" s="136"/>
      <c r="Q594" s="69"/>
      <c r="R594" s="52">
        <f>IF(OR(P594="",N594="NO BET"),0,IF(K594=P594,O594,IF(N594="PINNACLE",-[1]Übersicht!M594,-M594)))</f>
        <v>0</v>
      </c>
      <c r="S594" s="69"/>
      <c r="T594" s="248" t="e">
        <f>IF(AND(NOT(N587=0)),T587/N587,0)</f>
        <v>#VALUE!</v>
      </c>
      <c r="U594" s="9"/>
    </row>
    <row r="595" spans="1:21" ht="15.75" customHeight="1" thickBot="1" x14ac:dyDescent="0.25">
      <c r="A595" s="257"/>
      <c r="B595" s="246"/>
      <c r="C595" s="167"/>
      <c r="D595" s="7"/>
      <c r="E595" s="7"/>
      <c r="F595" s="7" t="str">
        <f t="shared" si="235"/>
        <v/>
      </c>
      <c r="G595" s="7"/>
      <c r="H595" s="7"/>
      <c r="I595" s="7" t="str">
        <f t="shared" si="236"/>
        <v/>
      </c>
      <c r="J595" s="7" t="str">
        <f t="shared" si="237"/>
        <v/>
      </c>
      <c r="K595" s="7" t="str">
        <f t="shared" si="232"/>
        <v/>
      </c>
      <c r="L595" s="131" t="str">
        <f t="shared" si="238"/>
        <v/>
      </c>
      <c r="M595" s="60" t="str">
        <f t="shared" si="239"/>
        <v/>
      </c>
      <c r="N595" s="133" t="str">
        <f>IF(AND(L595="",[1]Übersicht!L595=""),"",IF(AND(L595="NEGATIV EV",[1]Übersicht!L595="NO BET"),"NO BET",IF(AND(NOT(L595="NEGATIV EV"),L595&gt;[1]Übersicht!L595),"BET365",IF([1]Übersicht!L595="NO BET","BET365","PINNACLE"))))</f>
        <v>BET365</v>
      </c>
      <c r="O595" s="139" t="e">
        <f>IF(OR(N595="",N595="NO BET"),"",IF(N595="PINNACLE",IF([1]Übersicht!K595="T1",[1]Übersicht!G595*[1]Übersicht!M595-[1]Übersicht!M595,[1]Übersicht!H595*[1]Übersicht!M595-[1]Übersicht!M595),IF(K595="T1",G595*M595*0.95-M595,H595*M595*0.95-M595)))</f>
        <v>#VALUE!</v>
      </c>
      <c r="P595" s="136"/>
      <c r="Q595" s="69"/>
      <c r="R595" s="52">
        <f>IF(OR(P595="",N595="NO BET"),0,IF(K595=P595,O595,IF(N595="PINNACLE",-[1]Übersicht!M595,-M595)))</f>
        <v>0</v>
      </c>
      <c r="S595" s="69"/>
      <c r="T595" s="249"/>
      <c r="U595" s="9"/>
    </row>
    <row r="596" spans="1:21" ht="15.75" customHeight="1" thickBot="1" x14ac:dyDescent="0.25">
      <c r="A596" s="258"/>
      <c r="B596" s="247"/>
      <c r="C596" s="168"/>
      <c r="D596" s="63"/>
      <c r="E596" s="63"/>
      <c r="F596" s="63" t="str">
        <f t="shared" si="235"/>
        <v/>
      </c>
      <c r="G596" s="63"/>
      <c r="H596" s="63"/>
      <c r="I596" s="63" t="str">
        <f t="shared" si="236"/>
        <v/>
      </c>
      <c r="J596" s="63" t="str">
        <f t="shared" si="237"/>
        <v/>
      </c>
      <c r="K596" s="63" t="str">
        <f t="shared" si="232"/>
        <v/>
      </c>
      <c r="L596" s="132" t="str">
        <f t="shared" si="238"/>
        <v/>
      </c>
      <c r="M596" s="65" t="str">
        <f t="shared" si="239"/>
        <v/>
      </c>
      <c r="N596" s="133" t="str">
        <f>IF(AND(L596="",[1]Übersicht!L596=""),"",IF(AND(L596="NEGATIV EV",[1]Übersicht!L596="NO BET"),"NO BET",IF(AND(NOT(L596="NEGATIV EV"),L596&gt;[1]Übersicht!L596),"BET365",IF([1]Übersicht!L596="NO BET","BET365","PINNACLE"))))</f>
        <v>BET365</v>
      </c>
      <c r="O596" s="138" t="e">
        <f>IF(OR(N596="",N596="NO BET"),"",IF(N596="PINNACLE",IF([1]Übersicht!K596="T1",[1]Übersicht!G596*[1]Übersicht!M596-[1]Übersicht!M596,[1]Übersicht!H596*[1]Übersicht!M596-[1]Übersicht!M596),IF(K596="T1",G596*M596*0.95-M596,H596*M596*0.95-M596)))</f>
        <v>#VALUE!</v>
      </c>
      <c r="P596" s="66"/>
      <c r="Q596" s="9"/>
      <c r="R596" s="135">
        <f>IF(OR(P596="",N596="NO BET"),0,IF(K596=P596,O596,IF(N596="PINNACLE",-[1]Übersicht!M596,-M596)))</f>
        <v>0</v>
      </c>
      <c r="S596" s="9"/>
      <c r="T596" s="250"/>
      <c r="U596" s="9"/>
    </row>
    <row r="597" spans="1:21" ht="15.75" customHeight="1" x14ac:dyDescent="0.2">
      <c r="A597" s="9"/>
      <c r="B597" s="9"/>
      <c r="C597" s="11"/>
      <c r="D597" s="9"/>
      <c r="E597" s="9"/>
      <c r="F597" s="9"/>
      <c r="G597" s="9"/>
      <c r="H597" s="9"/>
      <c r="I597" s="9"/>
      <c r="J597" s="9"/>
      <c r="K597" s="9"/>
      <c r="L597" s="9"/>
      <c r="M597" s="9"/>
      <c r="N597" s="9"/>
      <c r="O597" s="69"/>
      <c r="P597" s="69"/>
      <c r="Q597" s="69"/>
      <c r="R597" s="84"/>
      <c r="S597" s="69"/>
      <c r="T597" s="85"/>
      <c r="U597" s="9"/>
    </row>
    <row r="598" spans="1:21" ht="15.75" customHeight="1" x14ac:dyDescent="0.2">
      <c r="A598" s="76"/>
      <c r="B598" s="76"/>
      <c r="C598" s="78"/>
      <c r="D598" s="76"/>
      <c r="E598" s="76"/>
      <c r="F598" s="76"/>
      <c r="G598" s="76"/>
      <c r="H598" s="76"/>
      <c r="I598" s="76"/>
      <c r="J598" s="76"/>
      <c r="K598" s="76"/>
      <c r="L598" s="76"/>
      <c r="M598" s="76"/>
      <c r="N598" s="76"/>
      <c r="O598" s="76"/>
      <c r="P598" s="76"/>
      <c r="Q598" s="76"/>
      <c r="R598" s="77"/>
      <c r="S598" s="76"/>
      <c r="T598" s="78"/>
      <c r="U598" s="9"/>
    </row>
    <row r="599" spans="1:21" x14ac:dyDescent="0.2">
      <c r="A599" s="76"/>
      <c r="B599" s="76"/>
      <c r="C599" s="78"/>
      <c r="D599" s="76"/>
      <c r="E599" s="76"/>
      <c r="F599" s="76"/>
      <c r="G599" s="76"/>
      <c r="H599" s="76"/>
      <c r="I599" s="76"/>
      <c r="J599" s="76"/>
      <c r="K599" s="76"/>
      <c r="L599" s="76"/>
      <c r="M599" s="76"/>
      <c r="N599" s="76"/>
      <c r="O599" s="76"/>
      <c r="P599" s="76"/>
      <c r="Q599" s="76"/>
      <c r="R599" s="77"/>
      <c r="S599" s="76"/>
      <c r="T599" s="78"/>
      <c r="U599" s="9"/>
    </row>
    <row r="600" spans="1:21" x14ac:dyDescent="0.2">
      <c r="A600" s="76"/>
      <c r="B600" s="76"/>
      <c r="C600" s="78"/>
      <c r="D600" s="76"/>
      <c r="E600" s="76"/>
      <c r="F600" s="76"/>
      <c r="G600" s="76"/>
      <c r="H600" s="76"/>
      <c r="I600" s="76"/>
      <c r="J600" s="76"/>
      <c r="K600" s="76"/>
      <c r="L600" s="76"/>
      <c r="M600" s="76"/>
      <c r="N600" s="76"/>
      <c r="O600" s="76"/>
      <c r="P600" s="76"/>
      <c r="Q600" s="76"/>
      <c r="R600" s="77"/>
      <c r="S600" s="76"/>
      <c r="T600" s="78"/>
      <c r="U600" s="9"/>
    </row>
    <row r="601" spans="1:21" x14ac:dyDescent="0.2">
      <c r="A601" s="76"/>
      <c r="B601" s="76"/>
      <c r="C601" s="78"/>
      <c r="D601" s="76"/>
      <c r="E601" s="76"/>
      <c r="F601" s="76"/>
      <c r="G601" s="76"/>
      <c r="H601" s="76"/>
      <c r="I601" s="76"/>
      <c r="J601" s="76"/>
      <c r="K601" s="76"/>
      <c r="L601" s="76"/>
      <c r="M601" s="76"/>
      <c r="N601" s="76"/>
      <c r="O601" s="76"/>
      <c r="P601" s="76"/>
      <c r="Q601" s="76"/>
      <c r="R601" s="77"/>
      <c r="S601" s="76"/>
      <c r="T601" s="78"/>
      <c r="U601" s="9"/>
    </row>
    <row r="602" spans="1:21" x14ac:dyDescent="0.2">
      <c r="A602" s="76"/>
      <c r="B602" s="76"/>
      <c r="C602" s="78"/>
      <c r="D602" s="76"/>
      <c r="E602" s="76"/>
      <c r="F602" s="76"/>
      <c r="G602" s="76"/>
      <c r="H602" s="76"/>
      <c r="I602" s="76"/>
      <c r="J602" s="76"/>
      <c r="K602" s="76"/>
      <c r="L602" s="76"/>
      <c r="M602" s="76"/>
      <c r="N602" s="76"/>
      <c r="O602" s="76"/>
      <c r="P602" s="76"/>
      <c r="Q602" s="76"/>
      <c r="R602" s="77"/>
      <c r="S602" s="76"/>
      <c r="T602" s="78"/>
      <c r="U602" s="9"/>
    </row>
    <row r="603" spans="1:21" ht="15.75" customHeight="1" x14ac:dyDescent="0.2">
      <c r="A603" s="76"/>
      <c r="B603" s="76"/>
      <c r="C603" s="78"/>
      <c r="D603" s="76"/>
      <c r="E603" s="76"/>
      <c r="F603" s="76"/>
      <c r="G603" s="76"/>
      <c r="H603" s="76"/>
      <c r="I603" s="76"/>
      <c r="J603" s="76"/>
      <c r="K603" s="76"/>
      <c r="L603" s="76"/>
      <c r="M603" s="76"/>
      <c r="N603" s="76"/>
      <c r="O603" s="76"/>
      <c r="P603" s="76"/>
      <c r="Q603" s="76"/>
      <c r="R603" s="77"/>
      <c r="S603" s="76"/>
      <c r="T603" s="78"/>
      <c r="U603" s="9"/>
    </row>
    <row r="604" spans="1:21" ht="15.75" customHeight="1" x14ac:dyDescent="0.2">
      <c r="A604" s="76"/>
      <c r="B604" s="76"/>
      <c r="C604" s="78"/>
      <c r="D604" s="76"/>
      <c r="E604" s="76"/>
      <c r="F604" s="76"/>
      <c r="G604" s="76"/>
      <c r="H604" s="76"/>
      <c r="I604" s="76"/>
      <c r="J604" s="76"/>
      <c r="K604" s="76"/>
      <c r="L604" s="76"/>
      <c r="M604" s="76"/>
      <c r="N604" s="76"/>
      <c r="O604" s="76"/>
      <c r="P604" s="76"/>
      <c r="Q604" s="76"/>
      <c r="R604" s="77"/>
      <c r="S604" s="76"/>
      <c r="T604" s="78"/>
      <c r="U604" s="9"/>
    </row>
    <row r="605" spans="1:21" ht="15.75" customHeight="1" x14ac:dyDescent="0.2">
      <c r="A605" s="76"/>
      <c r="B605" s="76"/>
      <c r="C605" s="78"/>
      <c r="D605" s="76"/>
      <c r="E605" s="76"/>
      <c r="F605" s="76"/>
      <c r="G605" s="76"/>
      <c r="H605" s="76"/>
      <c r="I605" s="76"/>
      <c r="J605" s="76"/>
      <c r="K605" s="76"/>
      <c r="L605" s="76"/>
      <c r="M605" s="76"/>
      <c r="N605" s="76"/>
      <c r="O605" s="76"/>
      <c r="P605" s="76"/>
      <c r="Q605" s="76"/>
      <c r="R605" s="77"/>
      <c r="S605" s="76"/>
      <c r="T605" s="78"/>
      <c r="U605" s="9"/>
    </row>
    <row r="606" spans="1:21" ht="15.75" customHeight="1" x14ac:dyDescent="0.2">
      <c r="A606" s="76"/>
      <c r="B606" s="76"/>
      <c r="C606" s="78"/>
      <c r="D606" s="76"/>
      <c r="E606" s="76"/>
      <c r="F606" s="76"/>
      <c r="G606" s="76"/>
      <c r="H606" s="76"/>
      <c r="I606" s="76"/>
      <c r="J606" s="76"/>
      <c r="K606" s="76"/>
      <c r="L606" s="76"/>
      <c r="M606" s="76"/>
      <c r="N606" s="76"/>
      <c r="O606" s="76"/>
      <c r="P606" s="76"/>
      <c r="Q606" s="76"/>
      <c r="R606" s="77"/>
      <c r="S606" s="76"/>
      <c r="T606" s="78"/>
      <c r="U606" s="9"/>
    </row>
    <row r="607" spans="1:21" ht="15.75" customHeight="1" x14ac:dyDescent="0.2">
      <c r="A607" s="76"/>
      <c r="B607" s="76"/>
      <c r="C607" s="78"/>
      <c r="D607" s="76"/>
      <c r="E607" s="76"/>
      <c r="F607" s="76"/>
      <c r="G607" s="76"/>
      <c r="H607" s="76"/>
      <c r="I607" s="76"/>
      <c r="J607" s="76"/>
      <c r="K607" s="76"/>
      <c r="L607" s="76"/>
      <c r="M607" s="76"/>
      <c r="N607" s="76"/>
      <c r="O607" s="76"/>
      <c r="P607" s="76"/>
      <c r="Q607" s="76"/>
      <c r="R607" s="77"/>
      <c r="S607" s="76"/>
      <c r="T607" s="78"/>
      <c r="U607" s="9"/>
    </row>
    <row r="608" spans="1:21" ht="15.75" customHeight="1" x14ac:dyDescent="0.2">
      <c r="A608" s="76"/>
      <c r="B608" s="76"/>
      <c r="C608" s="78"/>
      <c r="D608" s="76"/>
      <c r="E608" s="76"/>
      <c r="F608" s="76"/>
      <c r="G608" s="76"/>
      <c r="H608" s="76"/>
      <c r="I608" s="76"/>
      <c r="J608" s="76"/>
      <c r="K608" s="76"/>
      <c r="L608" s="76"/>
      <c r="M608" s="76"/>
      <c r="N608" s="76"/>
      <c r="O608" s="76"/>
      <c r="P608" s="76"/>
      <c r="Q608" s="76"/>
      <c r="R608" s="77"/>
      <c r="S608" s="76"/>
      <c r="T608" s="78"/>
      <c r="U608" s="9"/>
    </row>
    <row r="609" spans="1:21" x14ac:dyDescent="0.2">
      <c r="A609" s="76"/>
      <c r="B609" s="76"/>
      <c r="C609" s="78"/>
      <c r="D609" s="76"/>
      <c r="E609" s="76"/>
      <c r="F609" s="76"/>
      <c r="G609" s="76"/>
      <c r="H609" s="76"/>
      <c r="I609" s="76"/>
      <c r="J609" s="76"/>
      <c r="K609" s="76"/>
      <c r="L609" s="76"/>
      <c r="M609" s="76"/>
      <c r="N609" s="76"/>
      <c r="O609" s="76"/>
      <c r="P609" s="76"/>
      <c r="Q609" s="76"/>
      <c r="R609" s="77"/>
      <c r="S609" s="76"/>
      <c r="T609" s="78"/>
      <c r="U609" s="9"/>
    </row>
    <row r="610" spans="1:21" ht="15.75" customHeight="1" x14ac:dyDescent="0.2">
      <c r="A610" s="76"/>
      <c r="B610" s="76"/>
      <c r="C610" s="78"/>
      <c r="D610" s="76"/>
      <c r="E610" s="76"/>
      <c r="F610" s="76"/>
      <c r="G610" s="76"/>
      <c r="H610" s="76"/>
      <c r="I610" s="76"/>
      <c r="J610" s="76"/>
      <c r="K610" s="76"/>
      <c r="L610" s="76"/>
      <c r="M610" s="76"/>
      <c r="N610" s="76"/>
      <c r="O610" s="76"/>
      <c r="P610" s="76"/>
      <c r="Q610" s="76"/>
      <c r="R610" s="77"/>
      <c r="S610" s="76"/>
      <c r="T610" s="78"/>
      <c r="U610" s="9"/>
    </row>
    <row r="611" spans="1:21" ht="15.75" customHeight="1" x14ac:dyDescent="0.2">
      <c r="A611" s="76"/>
      <c r="B611" s="76"/>
      <c r="C611" s="78"/>
      <c r="D611" s="76"/>
      <c r="E611" s="76"/>
      <c r="F611" s="76"/>
      <c r="G611" s="76"/>
      <c r="H611" s="76"/>
      <c r="I611" s="76"/>
      <c r="J611" s="76"/>
      <c r="K611" s="76"/>
      <c r="L611" s="76"/>
      <c r="M611" s="76"/>
      <c r="N611" s="76"/>
      <c r="O611" s="76"/>
      <c r="P611" s="76"/>
      <c r="Q611" s="76"/>
      <c r="R611" s="77"/>
      <c r="S611" s="76"/>
      <c r="T611" s="78"/>
      <c r="U611" s="9"/>
    </row>
    <row r="612" spans="1:21" ht="15.75" customHeight="1" x14ac:dyDescent="0.2">
      <c r="A612" s="76"/>
      <c r="B612" s="76"/>
      <c r="C612" s="78"/>
      <c r="D612" s="76"/>
      <c r="E612" s="76"/>
      <c r="F612" s="76"/>
      <c r="G612" s="76"/>
      <c r="H612" s="76"/>
      <c r="I612" s="76"/>
      <c r="J612" s="76"/>
      <c r="K612" s="76"/>
      <c r="L612" s="76"/>
      <c r="M612" s="76"/>
      <c r="N612" s="76"/>
      <c r="O612" s="76"/>
      <c r="P612" s="76"/>
      <c r="Q612" s="76"/>
      <c r="R612" s="77"/>
      <c r="S612" s="76"/>
      <c r="T612" s="78"/>
      <c r="U612" s="9"/>
    </row>
    <row r="613" spans="1:21" x14ac:dyDescent="0.2">
      <c r="A613" s="76"/>
      <c r="B613" s="76"/>
      <c r="C613" s="78"/>
      <c r="D613" s="76"/>
      <c r="E613" s="76"/>
      <c r="F613" s="76"/>
      <c r="G613" s="76"/>
      <c r="H613" s="76"/>
      <c r="I613" s="76"/>
      <c r="J613" s="76"/>
      <c r="K613" s="76"/>
      <c r="L613" s="76"/>
      <c r="M613" s="76"/>
      <c r="N613" s="76"/>
      <c r="O613" s="76"/>
      <c r="P613" s="76"/>
      <c r="Q613" s="76"/>
      <c r="R613" s="77"/>
      <c r="S613" s="76"/>
      <c r="T613" s="78"/>
      <c r="U613" s="9"/>
    </row>
    <row r="614" spans="1:21" x14ac:dyDescent="0.2">
      <c r="A614" s="76"/>
      <c r="B614" s="76"/>
      <c r="C614" s="78"/>
      <c r="D614" s="76"/>
      <c r="E614" s="76"/>
      <c r="F614" s="76"/>
      <c r="G614" s="76"/>
      <c r="H614" s="76"/>
      <c r="I614" s="76"/>
      <c r="J614" s="76"/>
      <c r="K614" s="76"/>
      <c r="L614" s="76"/>
      <c r="M614" s="76"/>
      <c r="N614" s="76"/>
      <c r="O614" s="76"/>
      <c r="P614" s="76"/>
      <c r="Q614" s="76"/>
      <c r="R614" s="77"/>
      <c r="S614" s="76"/>
      <c r="T614" s="78"/>
      <c r="U614" s="9"/>
    </row>
    <row r="615" spans="1:21" ht="15.75" customHeight="1" thickBot="1" x14ac:dyDescent="0.25">
      <c r="A615" s="9"/>
      <c r="B615" s="9"/>
      <c r="C615" s="11"/>
      <c r="D615" s="9"/>
      <c r="E615" s="9"/>
      <c r="F615" s="9"/>
      <c r="G615" s="9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10"/>
      <c r="S615" s="9"/>
      <c r="T615" s="11"/>
      <c r="U615" s="9"/>
    </row>
    <row r="616" spans="1:21" ht="15.75" customHeight="1" thickBot="1" x14ac:dyDescent="0.25">
      <c r="A616" s="79" t="s">
        <v>6</v>
      </c>
      <c r="B616" s="245" t="s">
        <v>8</v>
      </c>
      <c r="C616" s="160"/>
      <c r="D616" s="43" t="s">
        <v>9</v>
      </c>
      <c r="E616" s="43" t="s">
        <v>10</v>
      </c>
      <c r="F616" s="43" t="s">
        <v>11</v>
      </c>
      <c r="G616" s="43" t="s">
        <v>12</v>
      </c>
      <c r="H616" s="43" t="s">
        <v>13</v>
      </c>
      <c r="I616" s="43" t="s">
        <v>14</v>
      </c>
      <c r="J616" s="43" t="s">
        <v>15</v>
      </c>
      <c r="K616" s="43" t="s">
        <v>33</v>
      </c>
      <c r="L616" s="43" t="s">
        <v>16</v>
      </c>
      <c r="M616" s="43" t="s">
        <v>38</v>
      </c>
      <c r="N616" s="128" t="s">
        <v>87</v>
      </c>
      <c r="O616" s="128" t="s">
        <v>89</v>
      </c>
      <c r="P616" s="137" t="s">
        <v>18</v>
      </c>
      <c r="Q616" s="69"/>
      <c r="R616" s="134" t="s">
        <v>34</v>
      </c>
      <c r="S616" s="69"/>
      <c r="T616" s="47" t="s">
        <v>29</v>
      </c>
      <c r="U616" s="9"/>
    </row>
    <row r="617" spans="1:21" ht="15.75" customHeight="1" thickBot="1" x14ac:dyDescent="0.25">
      <c r="A617" s="80"/>
      <c r="B617" s="246"/>
      <c r="C617" s="165"/>
      <c r="D617" s="48"/>
      <c r="E617" s="48"/>
      <c r="F617" s="48" t="str">
        <f>IF(AND(C617=""),"",1-C617)</f>
        <v/>
      </c>
      <c r="G617" s="48"/>
      <c r="H617" s="48"/>
      <c r="I617" s="48" t="str">
        <f>IF(AND(C617=""),"",G617*C617)</f>
        <v/>
      </c>
      <c r="J617" s="48" t="str">
        <f>IF(AND(C617=""),"",H617*F617)</f>
        <v/>
      </c>
      <c r="K617" s="48" t="str">
        <f t="shared" ref="K617:K626" si="240">IF(AND(I617=""),"",IF(AND(I617&gt;J617),"T1","T2"))</f>
        <v/>
      </c>
      <c r="L617" s="129" t="str">
        <f t="shared" ref="L617:L621" si="241">IF(AND(K617=""),"",IF(AND((J617*0.95-1)&lt;0,(I617*0.95-1)&lt;0),"NEGATIV EV", IF(AND(K617="T1"),I617*0.95 - 1,J617*0.95 - 1)))</f>
        <v/>
      </c>
      <c r="M617" s="50" t="str">
        <f t="shared" ref="M617:M621" si="242">IF(L617="","",IF(L617&lt;0.5,K$2*M$2,IF(L617&lt;0.75,K$2*M$3,IF(L617&lt;1,K$2*M$4,IF(L617&lt;1.25,K$2*M$5,IF(L617&lt;1.5,K$2*M$6,IF(L617&lt;2,K$2*M$7,IF(L617&lt;2.5,K$2*M$8,IF(L617="NEGATIV EV","NEGATIV EV",K$2*M$9)))))))))</f>
        <v/>
      </c>
      <c r="N617" s="133" t="str">
        <f>IF(AND(L617="",[1]Übersicht!L617=""),"",IF(AND(L617="NEGATIV EV",[1]Übersicht!L617="NO BET"),"NO BET",IF(AND(NOT(L617="NEGATIV EV"),L617&gt;[1]Übersicht!L617),"BET365","PINNACLE")))</f>
        <v/>
      </c>
      <c r="O617" s="140" t="str">
        <f>IF(OR(N617="",N617="NO BET"),"",IF(N617="PINNACLE",IF([1]Übersicht!K617="T1",[1]Übersicht!G617*[1]Übersicht!M617-[1]Übersicht!M617,[1]Übersicht!H617*[1]Übersicht!M617-[1]Übersicht!M617),IF(K617="T1",G617*M617*0.95-M617,H617*M617*0.95-M617)))</f>
        <v/>
      </c>
      <c r="P617" s="136"/>
      <c r="Q617" s="70"/>
      <c r="R617" s="52">
        <f>IF(OR(P617="",N617="NO BET"),0,IF(K617=P617,O617,IF(N617="PINNACLE",-[1]Übersicht!M617,-M617)))</f>
        <v>0</v>
      </c>
      <c r="S617" s="69"/>
      <c r="T617" s="241">
        <f>SUM(R617:R626)</f>
        <v>0</v>
      </c>
      <c r="U617" s="9"/>
    </row>
    <row r="618" spans="1:21" ht="15.75" customHeight="1" thickBot="1" x14ac:dyDescent="0.25">
      <c r="A618" s="257" t="s">
        <v>35</v>
      </c>
      <c r="B618" s="246"/>
      <c r="C618" s="166"/>
      <c r="D618" s="53"/>
      <c r="E618" s="53"/>
      <c r="F618" s="53" t="str">
        <f t="shared" ref="F618:F626" si="243">IF(AND(C618=""),"",1-C618)</f>
        <v/>
      </c>
      <c r="G618" s="53"/>
      <c r="H618" s="53"/>
      <c r="I618" s="53" t="str">
        <f t="shared" ref="I618:I626" si="244">IF(AND(C618=""),"",G618*C618)</f>
        <v/>
      </c>
      <c r="J618" s="53" t="str">
        <f t="shared" ref="J618:J626" si="245">IF(AND(C618=""),"",H618*F618)</f>
        <v/>
      </c>
      <c r="K618" s="53" t="str">
        <f t="shared" si="240"/>
        <v/>
      </c>
      <c r="L618" s="130" t="str">
        <f t="shared" si="241"/>
        <v/>
      </c>
      <c r="M618" s="55" t="str">
        <f t="shared" si="242"/>
        <v/>
      </c>
      <c r="N618" s="133" t="str">
        <f>IF(AND(L618="",[1]Übersicht!L618=""),"",IF(AND(L618="NEGATIV EV",[1]Übersicht!L618="NO BET"),"NO BET",IF(AND(NOT(L618="NEGATIV EV"),L618&gt;[1]Übersicht!L618),"BET365","PINNACLE")))</f>
        <v/>
      </c>
      <c r="O618" s="138" t="str">
        <f>IF(OR(N618="",N618="NO BET"),"",IF(N618="PINNACLE",IF([1]Übersicht!K618="T1",[1]Übersicht!G618*[1]Übersicht!M618-[1]Übersicht!M618,[1]Übersicht!H618*[1]Übersicht!M618-[1]Übersicht!M618),IF(K618="T1",G618*M618*0.95-M618,H618*M618*0.95-M618)))</f>
        <v/>
      </c>
      <c r="P618" s="136"/>
      <c r="Q618" s="69"/>
      <c r="R618" s="52">
        <f>IF(OR(P618="",N618="NO BET"),0,IF(K618=P618,O618,IF(N618="PINNACLE",-[1]Übersicht!M618,-M618)))</f>
        <v>0</v>
      </c>
      <c r="S618" s="69"/>
      <c r="T618" s="241"/>
      <c r="U618" s="9"/>
    </row>
    <row r="619" spans="1:21" ht="15.75" customHeight="1" thickBot="1" x14ac:dyDescent="0.25">
      <c r="A619" s="257"/>
      <c r="B619" s="246"/>
      <c r="C619" s="167"/>
      <c r="D619" s="7"/>
      <c r="E619" s="7"/>
      <c r="F619" s="7" t="str">
        <f t="shared" si="243"/>
        <v/>
      </c>
      <c r="G619" s="7"/>
      <c r="H619" s="7"/>
      <c r="I619" s="7" t="str">
        <f t="shared" si="244"/>
        <v/>
      </c>
      <c r="J619" s="7" t="str">
        <f t="shared" si="245"/>
        <v/>
      </c>
      <c r="K619" s="7" t="str">
        <f t="shared" si="240"/>
        <v/>
      </c>
      <c r="L619" s="131" t="str">
        <f t="shared" si="241"/>
        <v/>
      </c>
      <c r="M619" s="59" t="str">
        <f t="shared" si="242"/>
        <v/>
      </c>
      <c r="N619" s="133" t="str">
        <f>IF(AND(L619="",[1]Übersicht!L619=""),"",IF(AND(L619="NEGATIV EV",[1]Übersicht!L619="NO BET"),"NO BET",IF(AND(NOT(L619="NEGATIV EV"),L619&gt;[1]Übersicht!L619),"BET365","PINNACLE")))</f>
        <v/>
      </c>
      <c r="O619" s="140" t="str">
        <f>IF(OR(N619="",N619="NO BET"),"",IF(N619="PINNACLE",IF([1]Übersicht!K619="T1",[1]Übersicht!G619*[1]Übersicht!M619-[1]Übersicht!M619,[1]Übersicht!H619*[1]Übersicht!M619-[1]Übersicht!M619),IF(K619="T1",G619*M619*0.95-M619,H619*M619*0.95-M619)))</f>
        <v/>
      </c>
      <c r="P619" s="136"/>
      <c r="Q619" s="69"/>
      <c r="R619" s="52">
        <f>IF(OR(P619="",N619="NO BET"),0,IF(K619=P619,O619,IF(N619="PINNACLE",-[1]Übersicht!M619,-M619)))</f>
        <v>0</v>
      </c>
      <c r="S619" s="69"/>
      <c r="T619" s="241"/>
      <c r="U619" s="9"/>
    </row>
    <row r="620" spans="1:21" ht="15.75" customHeight="1" thickBot="1" x14ac:dyDescent="0.25">
      <c r="A620" s="257"/>
      <c r="B620" s="246"/>
      <c r="C620" s="166"/>
      <c r="D620" s="53"/>
      <c r="E620" s="53"/>
      <c r="F620" s="53" t="str">
        <f t="shared" si="243"/>
        <v/>
      </c>
      <c r="G620" s="53"/>
      <c r="H620" s="53"/>
      <c r="I620" s="53" t="str">
        <f t="shared" si="244"/>
        <v/>
      </c>
      <c r="J620" s="53" t="str">
        <f t="shared" si="245"/>
        <v/>
      </c>
      <c r="K620" s="53" t="str">
        <f t="shared" si="240"/>
        <v/>
      </c>
      <c r="L620" s="130" t="str">
        <f t="shared" si="241"/>
        <v/>
      </c>
      <c r="M620" s="55" t="str">
        <f t="shared" si="242"/>
        <v/>
      </c>
      <c r="N620" s="133" t="str">
        <f>IF(AND(L620="",[1]Übersicht!L620=""),"",IF(AND(L620="NEGATIV EV",[1]Übersicht!L620="NO BET"),"NO BET",IF(AND(NOT(L620="NEGATIV EV"),L620&gt;[1]Übersicht!L620),"BET365","PINNACLE")))</f>
        <v/>
      </c>
      <c r="O620" s="138" t="str">
        <f>IF(OR(N620="",N620="NO BET"),"",IF(N620="PINNACLE",IF([1]Übersicht!K620="T1",[1]Übersicht!G620*[1]Übersicht!M620-[1]Übersicht!M620,[1]Übersicht!H620*[1]Übersicht!M620-[1]Übersicht!M620),IF(K620="T1",G620*M620*0.95-M620,H620*M620*0.95-M620)))</f>
        <v/>
      </c>
      <c r="P620" s="136"/>
      <c r="Q620" s="69"/>
      <c r="R620" s="52">
        <f>IF(OR(P620="",N620="NO BET"),0,IF(K620=P620,O620,IF(N620="PINNACLE",-[1]Übersicht!M620,-M620)))</f>
        <v>0</v>
      </c>
      <c r="S620" s="69"/>
      <c r="T620" s="241"/>
      <c r="U620" s="9"/>
    </row>
    <row r="621" spans="1:21" ht="15.75" customHeight="1" thickBot="1" x14ac:dyDescent="0.25">
      <c r="A621" s="257"/>
      <c r="B621" s="246"/>
      <c r="C621" s="167"/>
      <c r="D621" s="7"/>
      <c r="E621" s="7"/>
      <c r="F621" s="7" t="str">
        <f t="shared" si="243"/>
        <v/>
      </c>
      <c r="G621" s="7"/>
      <c r="H621" s="7"/>
      <c r="I621" s="7" t="str">
        <f t="shared" si="244"/>
        <v/>
      </c>
      <c r="J621" s="7" t="str">
        <f t="shared" si="245"/>
        <v/>
      </c>
      <c r="K621" s="7" t="str">
        <f t="shared" si="240"/>
        <v/>
      </c>
      <c r="L621" s="131" t="str">
        <f t="shared" si="241"/>
        <v/>
      </c>
      <c r="M621" s="60" t="str">
        <f t="shared" si="242"/>
        <v/>
      </c>
      <c r="N621" s="133" t="str">
        <f>IF(AND(L621="",[1]Übersicht!L621=""),"",IF(AND(L621="NEGATIV EV",[1]Übersicht!L621="NO BET"),"NO BET",IF(AND(NOT(L621="NEGATIV EV"),L621&gt;[1]Übersicht!L621),"BET365","PINNACLE")))</f>
        <v/>
      </c>
      <c r="O621" s="140" t="str">
        <f>IF(OR(N621="",N621="NO BET"),"",IF(N621="PINNACLE",IF([1]Übersicht!K621="T1",[1]Übersicht!G621*[1]Übersicht!M621-[1]Übersicht!M621,[1]Übersicht!H621*[1]Übersicht!M621-[1]Übersicht!M621),IF(K621="T1",G621*M621*0.95-M621,H621*M621*0.95-M621)))</f>
        <v/>
      </c>
      <c r="P621" s="136"/>
      <c r="Q621" s="69"/>
      <c r="R621" s="52">
        <f>IF(OR(P621="",N621="NO BET"),0,IF(K621=P621,O621,IF(N621="PINNACLE",-[1]Übersicht!M621,-M621)))</f>
        <v>0</v>
      </c>
      <c r="S621" s="69"/>
      <c r="T621" s="241"/>
      <c r="U621" s="9"/>
    </row>
    <row r="622" spans="1:21" ht="15.75" customHeight="1" thickBot="1" x14ac:dyDescent="0.25">
      <c r="A622" s="257"/>
      <c r="B622" s="246"/>
      <c r="C622" s="166"/>
      <c r="D622" s="53"/>
      <c r="E622" s="53"/>
      <c r="F622" s="53" t="str">
        <f t="shared" si="243"/>
        <v/>
      </c>
      <c r="G622" s="53"/>
      <c r="H622" s="53"/>
      <c r="I622" s="53" t="str">
        <f t="shared" si="244"/>
        <v/>
      </c>
      <c r="J622" s="53" t="str">
        <f t="shared" si="245"/>
        <v/>
      </c>
      <c r="K622" s="53" t="str">
        <f t="shared" si="240"/>
        <v/>
      </c>
      <c r="L622" s="130" t="str">
        <f>IF(AND(K622=""),"",IF(AND((J622*0.95-1)&lt;0,(I622*0.95-1)&lt;0),"NEGATIV EV", IF(AND(K622="T1"),I622*0.95 - 1,J622*0.95 - 1)))</f>
        <v/>
      </c>
      <c r="M622" s="55" t="str">
        <f>IF(L622="","",IF(L622&lt;0.5,K$2*M$2,IF(L622&lt;0.75,K$2*M$3,IF(L622&lt;1,K$2*M$4,IF(L622&lt;1.25,K$2*M$5,IF(L622&lt;1.5,K$2*M$6,IF(L622&lt;2,K$2*M$7,IF(L622&lt;2.5,K$2*M$8,IF(L622="NEGATIV EV","NEGATIV EV",K$2*M$9)))))))))</f>
        <v/>
      </c>
      <c r="N622" s="133" t="str">
        <f>IF(AND(L622="",[1]Übersicht!L622=""),"",IF(AND(L622="NEGATIV EV",[1]Übersicht!L622="NO BET"),"NO BET",IF(AND(NOT(L622="NEGATIV EV"),L622&gt;[1]Übersicht!L622),"BET365","PINNACLE")))</f>
        <v/>
      </c>
      <c r="O622" s="138" t="str">
        <f>IF(OR(N622="",N622="NO BET"),"",IF(N622="PINNACLE",IF([1]Übersicht!K622="T1",[1]Übersicht!G622*[1]Übersicht!M622-[1]Übersicht!M622,[1]Übersicht!H622*[1]Übersicht!M622-[1]Übersicht!M622),IF(K622="T1",G622*M622*0.95-M622,H622*M622*0.95-M622)))</f>
        <v/>
      </c>
      <c r="P622" s="136"/>
      <c r="Q622" s="69"/>
      <c r="R622" s="52">
        <f>IF(OR(P622="",N622="NO BET"),0,IF(K622=P622,O622,IF(N622="PINNACLE",-[1]Übersicht!M622,-M622)))</f>
        <v>0</v>
      </c>
      <c r="S622" s="69"/>
      <c r="T622" s="241"/>
      <c r="U622" s="9"/>
    </row>
    <row r="623" spans="1:21" ht="15.75" customHeight="1" thickBot="1" x14ac:dyDescent="0.25">
      <c r="A623" s="257"/>
      <c r="B623" s="246"/>
      <c r="C623" s="167"/>
      <c r="D623" s="7"/>
      <c r="E623" s="7"/>
      <c r="F623" s="7" t="str">
        <f t="shared" si="243"/>
        <v/>
      </c>
      <c r="G623" s="7"/>
      <c r="H623" s="7"/>
      <c r="I623" s="7" t="str">
        <f t="shared" si="244"/>
        <v/>
      </c>
      <c r="J623" s="7" t="str">
        <f t="shared" si="245"/>
        <v/>
      </c>
      <c r="K623" s="7" t="str">
        <f t="shared" si="240"/>
        <v/>
      </c>
      <c r="L623" s="131" t="str">
        <f t="shared" ref="L623:L626" si="246">IF(AND(K623=""),"",IF(AND((J623*0.95-1)&lt;0,(I623*0.95-1)&lt;0),"NEGATIV EV", IF(AND(K623="T1"),I623*0.95 - 1,J623*0.95 - 1)))</f>
        <v/>
      </c>
      <c r="M623" s="59" t="str">
        <f t="shared" ref="M623:M626" si="247">IF(L623="","",IF(L623&lt;0.5,K$2*M$2,IF(L623&lt;0.75,K$2*M$3,IF(L623&lt;1,K$2*M$4,IF(L623&lt;1.25,K$2*M$5,IF(L623&lt;1.5,K$2*M$6,IF(L623&lt;2,K$2*M$7,IF(L623&lt;2.5,K$2*M$8,IF(L623="NEGATIV EV","NEGATIV EV",K$2*M$9)))))))))</f>
        <v/>
      </c>
      <c r="N623" s="133" t="str">
        <f>IF(AND(L623="",[1]Übersicht!L623=""),"",IF(AND(L623="NEGATIV EV",[1]Übersicht!L623="NO BET"),"NO BET",IF(AND(NOT(L623="NEGATIV EV"),L623&gt;[1]Übersicht!L623),"BET365","PINNACLE")))</f>
        <v/>
      </c>
      <c r="O623" s="140" t="str">
        <f>IF(OR(N623="",N623="NO BET"),"",IF(N623="PINNACLE",IF([1]Übersicht!K623="T1",[1]Übersicht!G623*[1]Übersicht!M623-[1]Übersicht!M623,[1]Übersicht!H623*[1]Übersicht!M623-[1]Übersicht!M623),IF(K623="T1",G623*M623*0.95-M623,H623*M623*0.95-M623)))</f>
        <v/>
      </c>
      <c r="P623" s="56"/>
      <c r="Q623" s="69"/>
      <c r="R623" s="52">
        <f>IF(OR(P623="",N623="NO BET"),0,IF(K623=P623,O623,IF(N623="PINNACLE",-[1]Übersicht!M623,-M623)))</f>
        <v>0</v>
      </c>
      <c r="S623" s="69"/>
      <c r="T623" s="61" t="s">
        <v>31</v>
      </c>
      <c r="U623" s="9"/>
    </row>
    <row r="624" spans="1:21" ht="15.75" customHeight="1" thickBot="1" x14ac:dyDescent="0.25">
      <c r="A624" s="257"/>
      <c r="B624" s="246"/>
      <c r="C624" s="166"/>
      <c r="D624" s="53"/>
      <c r="E624" s="53"/>
      <c r="F624" s="53" t="str">
        <f t="shared" si="243"/>
        <v/>
      </c>
      <c r="G624" s="53"/>
      <c r="H624" s="53"/>
      <c r="I624" s="53" t="str">
        <f t="shared" si="244"/>
        <v/>
      </c>
      <c r="J624" s="53" t="str">
        <f t="shared" si="245"/>
        <v/>
      </c>
      <c r="K624" s="53" t="str">
        <f t="shared" si="240"/>
        <v/>
      </c>
      <c r="L624" s="130" t="str">
        <f t="shared" si="246"/>
        <v/>
      </c>
      <c r="M624" s="62" t="str">
        <f t="shared" si="247"/>
        <v/>
      </c>
      <c r="N624" s="133" t="str">
        <f>IF(AND(L624="",[1]Übersicht!L624=""),"",IF(AND(L624="NEGATIV EV",[1]Übersicht!L624="NO BET"),"NO BET",IF(AND(NOT(L624="NEGATIV EV"),L624&gt;[1]Übersicht!L624),"BET365","PINNACLE")))</f>
        <v/>
      </c>
      <c r="O624" s="138" t="str">
        <f>IF(OR(N624="",N624="NO BET"),"",IF(N624="PINNACLE",IF([1]Übersicht!K624="T1",[1]Übersicht!G624*[1]Übersicht!M624-[1]Übersicht!M624,[1]Übersicht!H624*[1]Übersicht!M624-[1]Übersicht!M624),IF(K624="T1",G624*M624*0.95-M624,H624*M624*0.95-M624)))</f>
        <v/>
      </c>
      <c r="P624" s="136"/>
      <c r="Q624" s="69"/>
      <c r="R624" s="52">
        <f>IF(OR(P624="",N624="NO BET"),0,IF(K624=P624,O624,IF(N624="PINNACLE",-[1]Übersicht!M624,-M624)))</f>
        <v>0</v>
      </c>
      <c r="S624" s="69"/>
      <c r="T624" s="248" t="e">
        <f>IF(AND(NOT(N617=0)),T617/N617,0)</f>
        <v>#VALUE!</v>
      </c>
      <c r="U624" s="9"/>
    </row>
    <row r="625" spans="1:21" ht="15.75" customHeight="1" thickBot="1" x14ac:dyDescent="0.25">
      <c r="A625" s="257"/>
      <c r="B625" s="246"/>
      <c r="C625" s="167"/>
      <c r="D625" s="7"/>
      <c r="E625" s="7"/>
      <c r="F625" s="7" t="str">
        <f t="shared" si="243"/>
        <v/>
      </c>
      <c r="G625" s="7"/>
      <c r="H625" s="7"/>
      <c r="I625" s="7" t="str">
        <f t="shared" si="244"/>
        <v/>
      </c>
      <c r="J625" s="7" t="str">
        <f t="shared" si="245"/>
        <v/>
      </c>
      <c r="K625" s="7" t="str">
        <f t="shared" si="240"/>
        <v/>
      </c>
      <c r="L625" s="131" t="str">
        <f t="shared" si="246"/>
        <v/>
      </c>
      <c r="M625" s="60" t="str">
        <f t="shared" si="247"/>
        <v/>
      </c>
      <c r="N625" s="133" t="str">
        <f>IF(AND(L625="",[1]Übersicht!L625=""),"",IF(AND(L625="NEGATIV EV",[1]Übersicht!L625="NO BET"),"NO BET",IF(AND(NOT(L625="NEGATIV EV"),L625&gt;[1]Übersicht!L625),"BET365","PINNACLE")))</f>
        <v/>
      </c>
      <c r="O625" s="139" t="str">
        <f>IF(OR(N625="",N625="NO BET"),"",IF(N625="PINNACLE",IF([1]Übersicht!K625="T1",[1]Übersicht!G625*[1]Übersicht!M625-[1]Übersicht!M625,[1]Übersicht!H625*[1]Übersicht!M625-[1]Übersicht!M625),IF(K625="T1",G625*M625*0.95-M625,H625*M625*0.95-M625)))</f>
        <v/>
      </c>
      <c r="P625" s="136"/>
      <c r="Q625" s="69"/>
      <c r="R625" s="52">
        <f>IF(OR(P625="",N625="NO BET"),0,IF(K625=P625,O625,IF(N625="PINNACLE",-[1]Übersicht!M625,-M625)))</f>
        <v>0</v>
      </c>
      <c r="S625" s="69"/>
      <c r="T625" s="249"/>
      <c r="U625" s="9"/>
    </row>
    <row r="626" spans="1:21" ht="15.75" customHeight="1" thickBot="1" x14ac:dyDescent="0.25">
      <c r="A626" s="258"/>
      <c r="B626" s="247"/>
      <c r="C626" s="168"/>
      <c r="D626" s="63"/>
      <c r="E626" s="63"/>
      <c r="F626" s="63" t="str">
        <f t="shared" si="243"/>
        <v/>
      </c>
      <c r="G626" s="63"/>
      <c r="H626" s="63"/>
      <c r="I626" s="63" t="str">
        <f t="shared" si="244"/>
        <v/>
      </c>
      <c r="J626" s="63" t="str">
        <f t="shared" si="245"/>
        <v/>
      </c>
      <c r="K626" s="63" t="str">
        <f t="shared" si="240"/>
        <v/>
      </c>
      <c r="L626" s="132" t="str">
        <f t="shared" si="246"/>
        <v/>
      </c>
      <c r="M626" s="65" t="str">
        <f t="shared" si="247"/>
        <v/>
      </c>
      <c r="N626" s="133" t="str">
        <f>IF(AND(L626="",[1]Übersicht!L626=""),"",IF(AND(L626="NEGATIV EV",[1]Übersicht!L626="NO BET"),"NO BET",IF(AND(NOT(L626="NEGATIV EV"),L626&gt;[1]Übersicht!L626),"BET365","PINNACLE")))</f>
        <v/>
      </c>
      <c r="O626" s="138" t="str">
        <f>IF(OR(N626="",N626="NO BET"),"",IF(N626="PINNACLE",IF([1]Übersicht!K626="T1",[1]Übersicht!G626*[1]Übersicht!M626-[1]Übersicht!M626,[1]Übersicht!H626*[1]Übersicht!M626-[1]Übersicht!M626),IF(K626="T1",G626*M626*0.95-M626,H626*M626*0.95-M626)))</f>
        <v/>
      </c>
      <c r="P626" s="66"/>
      <c r="Q626" s="9"/>
      <c r="R626" s="135">
        <f>IF(OR(P626="",N626="NO BET"),0,IF(K626=P626,O626,IF(N626="PINNACLE",-[1]Übersicht!M626,-M626)))</f>
        <v>0</v>
      </c>
      <c r="S626" s="9"/>
      <c r="T626" s="250"/>
      <c r="U626" s="9"/>
    </row>
    <row r="627" spans="1:21" ht="15.75" customHeight="1" x14ac:dyDescent="0.2">
      <c r="A627" s="9"/>
      <c r="B627" s="9"/>
      <c r="C627" s="11"/>
      <c r="D627" s="9"/>
      <c r="E627" s="9"/>
      <c r="F627" s="9"/>
      <c r="G627" s="9"/>
      <c r="H627" s="9"/>
      <c r="I627" s="9"/>
      <c r="J627" s="9"/>
      <c r="K627" s="9"/>
      <c r="L627" s="9"/>
      <c r="M627" s="9"/>
      <c r="N627" s="9"/>
      <c r="O627" s="69"/>
      <c r="P627" s="69"/>
      <c r="Q627" s="69"/>
      <c r="R627" s="82"/>
      <c r="S627" s="69"/>
      <c r="T627" s="83"/>
      <c r="U627" s="9"/>
    </row>
    <row r="628" spans="1:21" ht="15.75" customHeight="1" x14ac:dyDescent="0.2">
      <c r="A628" s="9"/>
      <c r="B628" s="9"/>
      <c r="C628" s="11"/>
      <c r="D628" s="9"/>
      <c r="E628" s="9"/>
      <c r="F628" s="9"/>
      <c r="G628" s="9"/>
      <c r="H628" s="9"/>
      <c r="I628" s="9"/>
      <c r="J628" s="9"/>
      <c r="K628" s="9"/>
      <c r="L628" s="9"/>
      <c r="M628" s="9"/>
      <c r="N628" s="9"/>
      <c r="O628" s="69"/>
      <c r="P628" s="69"/>
      <c r="Q628" s="69"/>
      <c r="R628" s="82"/>
      <c r="S628" s="69"/>
      <c r="T628" s="83"/>
      <c r="U628" s="9"/>
    </row>
    <row r="629" spans="1:21" ht="15.75" customHeight="1" thickBot="1" x14ac:dyDescent="0.25">
      <c r="A629" s="9"/>
      <c r="B629" s="9"/>
      <c r="C629" s="11"/>
      <c r="D629" s="9"/>
      <c r="E629" s="9"/>
      <c r="F629" s="9"/>
      <c r="G629" s="9"/>
      <c r="H629" s="9"/>
      <c r="I629" s="9"/>
      <c r="J629" s="9"/>
      <c r="K629" s="9"/>
      <c r="L629" s="9"/>
      <c r="M629" s="9"/>
      <c r="N629" s="9"/>
      <c r="O629" s="69"/>
      <c r="P629" s="69"/>
      <c r="Q629" s="69"/>
      <c r="R629" s="82"/>
      <c r="S629" s="69"/>
      <c r="T629" s="83"/>
      <c r="U629" s="9"/>
    </row>
    <row r="630" spans="1:21" ht="15.75" customHeight="1" thickBot="1" x14ac:dyDescent="0.3">
      <c r="A630" s="79" t="s">
        <v>6</v>
      </c>
      <c r="B630" s="277" t="s">
        <v>20</v>
      </c>
      <c r="C630" s="160"/>
      <c r="D630" s="43" t="s">
        <v>9</v>
      </c>
      <c r="E630" s="43" t="s">
        <v>10</v>
      </c>
      <c r="F630" s="43" t="s">
        <v>11</v>
      </c>
      <c r="G630" s="43" t="s">
        <v>12</v>
      </c>
      <c r="H630" s="43" t="s">
        <v>13</v>
      </c>
      <c r="I630" s="43" t="s">
        <v>14</v>
      </c>
      <c r="J630" s="43" t="s">
        <v>15</v>
      </c>
      <c r="K630" s="43" t="s">
        <v>33</v>
      </c>
      <c r="L630" s="43" t="s">
        <v>16</v>
      </c>
      <c r="M630" s="43"/>
      <c r="N630" s="44" t="s">
        <v>17</v>
      </c>
      <c r="O630" s="70"/>
      <c r="P630" s="45" t="s">
        <v>18</v>
      </c>
      <c r="Q630" s="69"/>
      <c r="R630" s="46" t="s">
        <v>34</v>
      </c>
      <c r="S630" s="69"/>
      <c r="T630" s="47" t="s">
        <v>29</v>
      </c>
      <c r="U630" s="9"/>
    </row>
    <row r="631" spans="1:21" ht="15.75" customHeight="1" x14ac:dyDescent="0.2">
      <c r="A631" s="80"/>
      <c r="B631" s="278"/>
      <c r="C631" s="165"/>
      <c r="D631" s="71"/>
      <c r="E631" s="71"/>
      <c r="F631" s="48" t="str">
        <f>IF(AND(C631=""),"",1-C631)</f>
        <v/>
      </c>
      <c r="G631" s="48"/>
      <c r="H631" s="48"/>
      <c r="I631" s="48" t="str">
        <f>IF(AND(C631=""),"",G631*C631)</f>
        <v/>
      </c>
      <c r="J631" s="48" t="str">
        <f>IF(AND(C631=""),"",H631*F631)</f>
        <v/>
      </c>
      <c r="K631" s="48" t="str">
        <f t="shared" ref="K631:K640" si="248">IF(AND(I631=""),"",IF(AND(I631&gt;J631),"T1","T2"))</f>
        <v/>
      </c>
      <c r="L631" s="50" t="str">
        <f t="shared" ref="L631:L640" si="249">IF(AND(K631=""),"",IF(AND((J631*0.95-1)&lt;0,(I631*0.95-1)&lt;0),"NO BET", IF(AND(K631="T1"),I631*0.95 - 1,J631*0.95 - 1)))</f>
        <v/>
      </c>
      <c r="M631" s="50"/>
      <c r="N631" s="280">
        <f>SUMIF(L631:L640,"&gt;0")</f>
        <v>0</v>
      </c>
      <c r="O631" s="70"/>
      <c r="P631" s="51"/>
      <c r="Q631" s="70"/>
      <c r="R631" s="52">
        <f t="shared" ref="R631:R640" si="250">IF(OR(P631="",L631="NO BET"),0,IF(AND(K631=P631),IF(AND(K631="T2"),ROUNDUP(H631*0.95,2)-1,ROUNDUP(G631*0.95,2)-1),-1))</f>
        <v>0</v>
      </c>
      <c r="S631" s="69"/>
      <c r="T631" s="241">
        <f>SUM(R631:R640)</f>
        <v>0</v>
      </c>
      <c r="U631" s="9"/>
    </row>
    <row r="632" spans="1:21" ht="15.75" customHeight="1" x14ac:dyDescent="0.2">
      <c r="A632" s="257" t="s">
        <v>35</v>
      </c>
      <c r="B632" s="278"/>
      <c r="C632" s="166"/>
      <c r="D632" s="72"/>
      <c r="E632" s="72"/>
      <c r="F632" s="53" t="str">
        <f t="shared" ref="F632:F640" si="251">IF(AND(C632=""),"",1-C632)</f>
        <v/>
      </c>
      <c r="G632" s="53"/>
      <c r="H632" s="53"/>
      <c r="I632" s="53" t="str">
        <f t="shared" ref="I632:I640" si="252">IF(AND(C632=""),"",G632*C632)</f>
        <v/>
      </c>
      <c r="J632" s="53" t="str">
        <f t="shared" ref="J632:J640" si="253">IF(AND(C632=""),"",H632*F632)</f>
        <v/>
      </c>
      <c r="K632" s="53" t="str">
        <f t="shared" si="248"/>
        <v/>
      </c>
      <c r="L632" s="55" t="str">
        <f t="shared" si="249"/>
        <v/>
      </c>
      <c r="M632" s="55"/>
      <c r="N632" s="281"/>
      <c r="O632" s="9"/>
      <c r="P632" s="56"/>
      <c r="Q632" s="69"/>
      <c r="R632" s="57">
        <f t="shared" si="250"/>
        <v>0</v>
      </c>
      <c r="S632" s="69"/>
      <c r="T632" s="241"/>
      <c r="U632" s="9"/>
    </row>
    <row r="633" spans="1:21" ht="15.75" customHeight="1" x14ac:dyDescent="0.2">
      <c r="A633" s="257"/>
      <c r="B633" s="278"/>
      <c r="C633" s="167"/>
      <c r="D633" s="73"/>
      <c r="E633" s="73"/>
      <c r="F633" s="7" t="str">
        <f t="shared" si="251"/>
        <v/>
      </c>
      <c r="G633" s="7"/>
      <c r="H633" s="7"/>
      <c r="I633" s="7" t="str">
        <f t="shared" si="252"/>
        <v/>
      </c>
      <c r="J633" s="7" t="str">
        <f t="shared" si="253"/>
        <v/>
      </c>
      <c r="K633" s="7" t="str">
        <f t="shared" si="248"/>
        <v/>
      </c>
      <c r="L633" s="59" t="str">
        <f t="shared" si="249"/>
        <v/>
      </c>
      <c r="M633" s="59"/>
      <c r="N633" s="281"/>
      <c r="O633" s="70"/>
      <c r="P633" s="56"/>
      <c r="Q633" s="69"/>
      <c r="R633" s="57">
        <f t="shared" si="250"/>
        <v>0</v>
      </c>
      <c r="S633" s="69"/>
      <c r="T633" s="241"/>
      <c r="U633" s="9"/>
    </row>
    <row r="634" spans="1:21" ht="15.75" customHeight="1" x14ac:dyDescent="0.2">
      <c r="A634" s="257"/>
      <c r="B634" s="278"/>
      <c r="C634" s="166"/>
      <c r="D634" s="72"/>
      <c r="E634" s="72"/>
      <c r="F634" s="53" t="str">
        <f t="shared" si="251"/>
        <v/>
      </c>
      <c r="G634" s="53"/>
      <c r="H634" s="53"/>
      <c r="I634" s="53" t="str">
        <f t="shared" si="252"/>
        <v/>
      </c>
      <c r="J634" s="53" t="str">
        <f t="shared" si="253"/>
        <v/>
      </c>
      <c r="K634" s="53" t="str">
        <f t="shared" si="248"/>
        <v/>
      </c>
      <c r="L634" s="55" t="str">
        <f t="shared" si="249"/>
        <v/>
      </c>
      <c r="M634" s="55"/>
      <c r="N634" s="281"/>
      <c r="O634" s="74"/>
      <c r="P634" s="56"/>
      <c r="Q634" s="69"/>
      <c r="R634" s="57">
        <f t="shared" si="250"/>
        <v>0</v>
      </c>
      <c r="S634" s="69"/>
      <c r="T634" s="241"/>
      <c r="U634" s="9"/>
    </row>
    <row r="635" spans="1:21" ht="15.75" customHeight="1" x14ac:dyDescent="0.2">
      <c r="A635" s="257"/>
      <c r="B635" s="278"/>
      <c r="C635" s="167"/>
      <c r="D635" s="73"/>
      <c r="E635" s="73"/>
      <c r="F635" s="7" t="str">
        <f t="shared" si="251"/>
        <v/>
      </c>
      <c r="G635" s="7"/>
      <c r="H635" s="7"/>
      <c r="I635" s="7" t="str">
        <f t="shared" si="252"/>
        <v/>
      </c>
      <c r="J635" s="7" t="str">
        <f t="shared" si="253"/>
        <v/>
      </c>
      <c r="K635" s="7" t="str">
        <f t="shared" si="248"/>
        <v/>
      </c>
      <c r="L635" s="60" t="str">
        <f t="shared" si="249"/>
        <v/>
      </c>
      <c r="M635" s="60"/>
      <c r="N635" s="281"/>
      <c r="O635" s="74"/>
      <c r="P635" s="56"/>
      <c r="Q635" s="69"/>
      <c r="R635" s="57">
        <f t="shared" si="250"/>
        <v>0</v>
      </c>
      <c r="S635" s="69"/>
      <c r="T635" s="241"/>
      <c r="U635" s="9"/>
    </row>
    <row r="636" spans="1:21" ht="15.75" customHeight="1" x14ac:dyDescent="0.2">
      <c r="A636" s="257"/>
      <c r="B636" s="278"/>
      <c r="C636" s="166"/>
      <c r="D636" s="72"/>
      <c r="E636" s="72"/>
      <c r="F636" s="53" t="str">
        <f t="shared" si="251"/>
        <v/>
      </c>
      <c r="G636" s="53"/>
      <c r="H636" s="53"/>
      <c r="I636" s="53" t="str">
        <f t="shared" si="252"/>
        <v/>
      </c>
      <c r="J636" s="53" t="str">
        <f t="shared" si="253"/>
        <v/>
      </c>
      <c r="K636" s="53" t="str">
        <f t="shared" si="248"/>
        <v/>
      </c>
      <c r="L636" s="55" t="str">
        <f t="shared" si="249"/>
        <v/>
      </c>
      <c r="M636" s="55"/>
      <c r="N636" s="281"/>
      <c r="O636" s="74"/>
      <c r="P636" s="56"/>
      <c r="Q636" s="69"/>
      <c r="R636" s="57">
        <f t="shared" si="250"/>
        <v>0</v>
      </c>
      <c r="S636" s="69"/>
      <c r="T636" s="241"/>
      <c r="U636" s="9"/>
    </row>
    <row r="637" spans="1:21" ht="15.75" customHeight="1" thickBot="1" x14ac:dyDescent="0.25">
      <c r="A637" s="257"/>
      <c r="B637" s="278"/>
      <c r="C637" s="167"/>
      <c r="D637" s="73"/>
      <c r="E637" s="73"/>
      <c r="F637" s="7" t="str">
        <f t="shared" si="251"/>
        <v/>
      </c>
      <c r="G637" s="7"/>
      <c r="H637" s="7"/>
      <c r="I637" s="7" t="str">
        <f t="shared" si="252"/>
        <v/>
      </c>
      <c r="J637" s="7" t="str">
        <f t="shared" si="253"/>
        <v/>
      </c>
      <c r="K637" s="7" t="str">
        <f t="shared" si="248"/>
        <v/>
      </c>
      <c r="L637" s="59" t="str">
        <f t="shared" si="249"/>
        <v/>
      </c>
      <c r="M637" s="59"/>
      <c r="N637" s="281"/>
      <c r="O637" s="9"/>
      <c r="P637" s="56"/>
      <c r="Q637" s="69"/>
      <c r="R637" s="57">
        <f t="shared" si="250"/>
        <v>0</v>
      </c>
      <c r="S637" s="69"/>
      <c r="T637" s="61" t="s">
        <v>31</v>
      </c>
      <c r="U637" s="9"/>
    </row>
    <row r="638" spans="1:21" ht="15.75" customHeight="1" x14ac:dyDescent="0.2">
      <c r="A638" s="257"/>
      <c r="B638" s="278"/>
      <c r="C638" s="166"/>
      <c r="D638" s="72"/>
      <c r="E638" s="72"/>
      <c r="F638" s="53" t="str">
        <f t="shared" si="251"/>
        <v/>
      </c>
      <c r="G638" s="53"/>
      <c r="H638" s="53"/>
      <c r="I638" s="53" t="str">
        <f t="shared" si="252"/>
        <v/>
      </c>
      <c r="J638" s="53" t="str">
        <f t="shared" si="253"/>
        <v/>
      </c>
      <c r="K638" s="53" t="str">
        <f t="shared" si="248"/>
        <v/>
      </c>
      <c r="L638" s="62" t="str">
        <f t="shared" si="249"/>
        <v/>
      </c>
      <c r="M638" s="62"/>
      <c r="N638" s="281"/>
      <c r="O638" s="9"/>
      <c r="P638" s="56"/>
      <c r="Q638" s="69"/>
      <c r="R638" s="57">
        <f t="shared" si="250"/>
        <v>0</v>
      </c>
      <c r="S638" s="69"/>
      <c r="T638" s="248">
        <f>IF(AND(NOT(N631=0)),T631/N631,0)</f>
        <v>0</v>
      </c>
      <c r="U638" s="9"/>
    </row>
    <row r="639" spans="1:21" ht="15.75" customHeight="1" x14ac:dyDescent="0.2">
      <c r="A639" s="257"/>
      <c r="B639" s="278"/>
      <c r="C639" s="167"/>
      <c r="D639" s="73"/>
      <c r="E639" s="73"/>
      <c r="F639" s="7" t="str">
        <f t="shared" si="251"/>
        <v/>
      </c>
      <c r="G639" s="7"/>
      <c r="H639" s="7"/>
      <c r="I639" s="7" t="str">
        <f t="shared" si="252"/>
        <v/>
      </c>
      <c r="J639" s="7" t="str">
        <f t="shared" si="253"/>
        <v/>
      </c>
      <c r="K639" s="7" t="str">
        <f t="shared" si="248"/>
        <v/>
      </c>
      <c r="L639" s="60" t="str">
        <f t="shared" si="249"/>
        <v/>
      </c>
      <c r="M639" s="60"/>
      <c r="N639" s="281"/>
      <c r="O639" s="9"/>
      <c r="P639" s="56"/>
      <c r="Q639" s="69"/>
      <c r="R639" s="57">
        <f t="shared" si="250"/>
        <v>0</v>
      </c>
      <c r="S639" s="69"/>
      <c r="T639" s="249"/>
      <c r="U639" s="9"/>
    </row>
    <row r="640" spans="1:21" ht="15.75" customHeight="1" thickBot="1" x14ac:dyDescent="0.25">
      <c r="A640" s="258"/>
      <c r="B640" s="279"/>
      <c r="C640" s="168"/>
      <c r="D640" s="75"/>
      <c r="E640" s="75"/>
      <c r="F640" s="63" t="str">
        <f t="shared" si="251"/>
        <v/>
      </c>
      <c r="G640" s="63"/>
      <c r="H640" s="63"/>
      <c r="I640" s="63" t="str">
        <f t="shared" si="252"/>
        <v/>
      </c>
      <c r="J640" s="63" t="str">
        <f t="shared" si="253"/>
        <v/>
      </c>
      <c r="K640" s="63" t="str">
        <f t="shared" si="248"/>
        <v/>
      </c>
      <c r="L640" s="65" t="str">
        <f t="shared" si="249"/>
        <v/>
      </c>
      <c r="M640" s="65"/>
      <c r="N640" s="282"/>
      <c r="O640" s="9"/>
      <c r="P640" s="66"/>
      <c r="Q640" s="9"/>
      <c r="R640" s="67">
        <f t="shared" si="250"/>
        <v>0</v>
      </c>
      <c r="S640" s="9"/>
      <c r="T640" s="250"/>
      <c r="U640" s="9"/>
    </row>
    <row r="641" spans="1:21" ht="15.75" customHeight="1" x14ac:dyDescent="0.2">
      <c r="A641" s="9"/>
      <c r="B641" s="9"/>
      <c r="C641" s="11"/>
      <c r="D641" s="9"/>
      <c r="E641" s="9"/>
      <c r="F641" s="9"/>
      <c r="G641" s="9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10"/>
      <c r="S641" s="9"/>
      <c r="T641" s="11"/>
      <c r="U641" s="9"/>
    </row>
    <row r="642" spans="1:21" ht="15.75" customHeight="1" x14ac:dyDescent="0.2">
      <c r="A642" s="9"/>
      <c r="B642" s="9"/>
      <c r="C642" s="11"/>
      <c r="D642" s="9"/>
      <c r="E642" s="9"/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10"/>
      <c r="S642" s="9"/>
      <c r="T642" s="11"/>
      <c r="U642" s="9"/>
    </row>
    <row r="643" spans="1:21" ht="15.75" customHeight="1" thickBot="1" x14ac:dyDescent="0.25">
      <c r="A643" s="9"/>
      <c r="B643" s="9"/>
      <c r="C643" s="11"/>
      <c r="D643" s="9"/>
      <c r="E643" s="9"/>
      <c r="F643" s="9"/>
      <c r="G643" s="9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10"/>
      <c r="S643" s="9"/>
      <c r="T643" s="11"/>
      <c r="U643" s="9"/>
    </row>
    <row r="644" spans="1:21" ht="15.75" customHeight="1" thickBot="1" x14ac:dyDescent="0.3">
      <c r="A644" s="79" t="s">
        <v>6</v>
      </c>
      <c r="B644" s="245" t="s">
        <v>21</v>
      </c>
      <c r="C644" s="160"/>
      <c r="D644" s="43" t="s">
        <v>9</v>
      </c>
      <c r="E644" s="43" t="s">
        <v>10</v>
      </c>
      <c r="F644" s="43" t="s">
        <v>11</v>
      </c>
      <c r="G644" s="43" t="s">
        <v>12</v>
      </c>
      <c r="H644" s="43" t="s">
        <v>13</v>
      </c>
      <c r="I644" s="43" t="s">
        <v>14</v>
      </c>
      <c r="J644" s="43" t="s">
        <v>15</v>
      </c>
      <c r="K644" s="43" t="s">
        <v>33</v>
      </c>
      <c r="L644" s="43" t="s">
        <v>16</v>
      </c>
      <c r="M644" s="43"/>
      <c r="N644" s="44" t="s">
        <v>17</v>
      </c>
      <c r="O644" s="70"/>
      <c r="P644" s="45" t="s">
        <v>18</v>
      </c>
      <c r="Q644" s="69"/>
      <c r="R644" s="46" t="s">
        <v>34</v>
      </c>
      <c r="S644" s="69"/>
      <c r="T644" s="47" t="s">
        <v>29</v>
      </c>
      <c r="U644" s="9"/>
    </row>
    <row r="645" spans="1:21" ht="15.75" customHeight="1" x14ac:dyDescent="0.2">
      <c r="A645" s="80"/>
      <c r="B645" s="246"/>
      <c r="C645" s="165"/>
      <c r="D645" s="48"/>
      <c r="E645" s="48"/>
      <c r="F645" s="48" t="str">
        <f>IF(AND(C645=""),"",1-C645)</f>
        <v/>
      </c>
      <c r="G645" s="48"/>
      <c r="H645" s="48"/>
      <c r="I645" s="48" t="str">
        <f>IF(AND(C645=""),"",G645*C645)</f>
        <v/>
      </c>
      <c r="J645" s="48" t="str">
        <f>IF(AND(C645=""),"",H645*F645)</f>
        <v/>
      </c>
      <c r="K645" s="48" t="str">
        <f t="shared" ref="K645:K654" si="254">IF(AND(I645=""),"",IF(AND(I645&gt;J645),"T1","T2"))</f>
        <v/>
      </c>
      <c r="L645" s="50" t="str">
        <f t="shared" ref="L645:L654" si="255">IF(AND(K645=""),"",IF(AND((J645*0.95-1)&lt;0,(I645*0.95-1)&lt;0),"NO BET", IF(AND(K645="T1"),I645*0.95 - 1,J645*0.95 - 1)))</f>
        <v/>
      </c>
      <c r="M645" s="50"/>
      <c r="N645" s="280">
        <f>SUMIF(L645:L654,"&gt;0")</f>
        <v>0</v>
      </c>
      <c r="O645" s="70"/>
      <c r="P645" s="51"/>
      <c r="Q645" s="70"/>
      <c r="R645" s="52">
        <f t="shared" ref="R645:R654" si="256">IF(OR(P645="",L645="NO BET"),0,IF(AND(K645=P645),IF(AND(K645="T2"),ROUNDUP(H645*0.95,2)-1,ROUNDUP(G645*0.95,2)-1),-1))</f>
        <v>0</v>
      </c>
      <c r="S645" s="69"/>
      <c r="T645" s="241">
        <f>SUM(R645:R654)</f>
        <v>0</v>
      </c>
      <c r="U645" s="9"/>
    </row>
    <row r="646" spans="1:21" ht="15.75" customHeight="1" x14ac:dyDescent="0.2">
      <c r="A646" s="257" t="s">
        <v>35</v>
      </c>
      <c r="B646" s="246"/>
      <c r="C646" s="166"/>
      <c r="D646" s="53"/>
      <c r="E646" s="86"/>
      <c r="F646" s="53" t="str">
        <f t="shared" ref="F646:F654" si="257">IF(AND(C646=""),"",1-C646)</f>
        <v/>
      </c>
      <c r="G646" s="53"/>
      <c r="H646" s="53"/>
      <c r="I646" s="53" t="str">
        <f t="shared" ref="I646:I654" si="258">IF(AND(C646=""),"",G646*C646)</f>
        <v/>
      </c>
      <c r="J646" s="53" t="str">
        <f t="shared" ref="J646:J654" si="259">IF(AND(C646=""),"",H646*F646)</f>
        <v/>
      </c>
      <c r="K646" s="53" t="str">
        <f t="shared" si="254"/>
        <v/>
      </c>
      <c r="L646" s="55" t="str">
        <f t="shared" si="255"/>
        <v/>
      </c>
      <c r="M646" s="55"/>
      <c r="N646" s="281"/>
      <c r="O646" s="9"/>
      <c r="P646" s="56"/>
      <c r="Q646" s="69"/>
      <c r="R646" s="57">
        <f t="shared" si="256"/>
        <v>0</v>
      </c>
      <c r="S646" s="69"/>
      <c r="T646" s="241"/>
      <c r="U646" s="9"/>
    </row>
    <row r="647" spans="1:21" ht="15.75" customHeight="1" x14ac:dyDescent="0.2">
      <c r="A647" s="257"/>
      <c r="B647" s="246"/>
      <c r="C647" s="167"/>
      <c r="D647" s="7"/>
      <c r="E647" s="7"/>
      <c r="F647" s="7" t="str">
        <f t="shared" si="257"/>
        <v/>
      </c>
      <c r="G647" s="7"/>
      <c r="H647" s="7"/>
      <c r="I647" s="7" t="str">
        <f t="shared" si="258"/>
        <v/>
      </c>
      <c r="J647" s="7" t="str">
        <f t="shared" si="259"/>
        <v/>
      </c>
      <c r="K647" s="7" t="str">
        <f t="shared" si="254"/>
        <v/>
      </c>
      <c r="L647" s="59" t="str">
        <f t="shared" si="255"/>
        <v/>
      </c>
      <c r="M647" s="59"/>
      <c r="N647" s="281"/>
      <c r="O647" s="70"/>
      <c r="P647" s="56"/>
      <c r="Q647" s="69"/>
      <c r="R647" s="57">
        <f t="shared" si="256"/>
        <v>0</v>
      </c>
      <c r="S647" s="69"/>
      <c r="T647" s="241"/>
      <c r="U647" s="9"/>
    </row>
    <row r="648" spans="1:21" ht="15.75" customHeight="1" x14ac:dyDescent="0.2">
      <c r="A648" s="257"/>
      <c r="B648" s="246"/>
      <c r="C648" s="166"/>
      <c r="D648" s="72"/>
      <c r="E648" s="86"/>
      <c r="F648" s="53" t="str">
        <f t="shared" si="257"/>
        <v/>
      </c>
      <c r="G648" s="53"/>
      <c r="H648" s="53"/>
      <c r="I648" s="53" t="str">
        <f t="shared" si="258"/>
        <v/>
      </c>
      <c r="J648" s="53" t="str">
        <f t="shared" si="259"/>
        <v/>
      </c>
      <c r="K648" s="53" t="str">
        <f t="shared" si="254"/>
        <v/>
      </c>
      <c r="L648" s="55" t="str">
        <f t="shared" si="255"/>
        <v/>
      </c>
      <c r="M648" s="55"/>
      <c r="N648" s="281"/>
      <c r="O648" s="74"/>
      <c r="P648" s="56"/>
      <c r="Q648" s="69"/>
      <c r="R648" s="57">
        <f t="shared" si="256"/>
        <v>0</v>
      </c>
      <c r="S648" s="69"/>
      <c r="T648" s="241"/>
      <c r="U648" s="9"/>
    </row>
    <row r="649" spans="1:21" ht="15.75" customHeight="1" x14ac:dyDescent="0.2">
      <c r="A649" s="257"/>
      <c r="B649" s="246"/>
      <c r="C649" s="167"/>
      <c r="D649" s="7"/>
      <c r="E649" s="73"/>
      <c r="F649" s="7" t="str">
        <f t="shared" si="257"/>
        <v/>
      </c>
      <c r="G649" s="7"/>
      <c r="H649" s="7"/>
      <c r="I649" s="7" t="str">
        <f t="shared" si="258"/>
        <v/>
      </c>
      <c r="J649" s="7" t="str">
        <f t="shared" si="259"/>
        <v/>
      </c>
      <c r="K649" s="7" t="str">
        <f t="shared" si="254"/>
        <v/>
      </c>
      <c r="L649" s="60" t="str">
        <f t="shared" si="255"/>
        <v/>
      </c>
      <c r="M649" s="60"/>
      <c r="N649" s="281"/>
      <c r="O649" s="74"/>
      <c r="P649" s="56"/>
      <c r="Q649" s="69"/>
      <c r="R649" s="57">
        <f t="shared" si="256"/>
        <v>0</v>
      </c>
      <c r="S649" s="69"/>
      <c r="T649" s="241"/>
      <c r="U649" s="9"/>
    </row>
    <row r="650" spans="1:21" ht="15.75" customHeight="1" x14ac:dyDescent="0.2">
      <c r="A650" s="257"/>
      <c r="B650" s="246"/>
      <c r="C650" s="166"/>
      <c r="D650" s="86"/>
      <c r="E650" s="53"/>
      <c r="F650" s="53" t="str">
        <f t="shared" si="257"/>
        <v/>
      </c>
      <c r="G650" s="53"/>
      <c r="H650" s="53"/>
      <c r="I650" s="53" t="str">
        <f t="shared" si="258"/>
        <v/>
      </c>
      <c r="J650" s="53" t="str">
        <f t="shared" si="259"/>
        <v/>
      </c>
      <c r="K650" s="53" t="str">
        <f t="shared" si="254"/>
        <v/>
      </c>
      <c r="L650" s="55" t="str">
        <f t="shared" si="255"/>
        <v/>
      </c>
      <c r="M650" s="55"/>
      <c r="N650" s="281"/>
      <c r="O650" s="74"/>
      <c r="P650" s="56"/>
      <c r="Q650" s="69"/>
      <c r="R650" s="57">
        <f t="shared" si="256"/>
        <v>0</v>
      </c>
      <c r="S650" s="69"/>
      <c r="T650" s="241"/>
      <c r="U650" s="9"/>
    </row>
    <row r="651" spans="1:21" ht="15.75" customHeight="1" thickBot="1" x14ac:dyDescent="0.25">
      <c r="A651" s="257"/>
      <c r="B651" s="246"/>
      <c r="C651" s="167"/>
      <c r="D651" s="7"/>
      <c r="E651" s="7"/>
      <c r="F651" s="7" t="str">
        <f t="shared" si="257"/>
        <v/>
      </c>
      <c r="G651" s="7"/>
      <c r="H651" s="7"/>
      <c r="I651" s="7" t="str">
        <f t="shared" si="258"/>
        <v/>
      </c>
      <c r="J651" s="7" t="str">
        <f t="shared" si="259"/>
        <v/>
      </c>
      <c r="K651" s="7" t="str">
        <f t="shared" si="254"/>
        <v/>
      </c>
      <c r="L651" s="59" t="str">
        <f t="shared" si="255"/>
        <v/>
      </c>
      <c r="M651" s="59"/>
      <c r="N651" s="281"/>
      <c r="O651" s="9"/>
      <c r="P651" s="56"/>
      <c r="Q651" s="69"/>
      <c r="R651" s="57">
        <f t="shared" si="256"/>
        <v>0</v>
      </c>
      <c r="S651" s="69"/>
      <c r="T651" s="61" t="s">
        <v>31</v>
      </c>
      <c r="U651" s="9"/>
    </row>
    <row r="652" spans="1:21" ht="15.75" customHeight="1" x14ac:dyDescent="0.2">
      <c r="A652" s="257"/>
      <c r="B652" s="246"/>
      <c r="C652" s="166"/>
      <c r="D652" s="53"/>
      <c r="E652" s="53"/>
      <c r="F652" s="53" t="str">
        <f t="shared" si="257"/>
        <v/>
      </c>
      <c r="G652" s="53"/>
      <c r="H652" s="53"/>
      <c r="I652" s="53" t="str">
        <f t="shared" si="258"/>
        <v/>
      </c>
      <c r="J652" s="53" t="str">
        <f t="shared" si="259"/>
        <v/>
      </c>
      <c r="K652" s="53" t="str">
        <f t="shared" si="254"/>
        <v/>
      </c>
      <c r="L652" s="62" t="str">
        <f t="shared" si="255"/>
        <v/>
      </c>
      <c r="M652" s="62"/>
      <c r="N652" s="281"/>
      <c r="O652" s="9"/>
      <c r="P652" s="56"/>
      <c r="Q652" s="69"/>
      <c r="R652" s="57">
        <f t="shared" si="256"/>
        <v>0</v>
      </c>
      <c r="S652" s="69"/>
      <c r="T652" s="248">
        <f>IF(AND(NOT(N645=0)),T645/N645,0)</f>
        <v>0</v>
      </c>
      <c r="U652" s="9"/>
    </row>
    <row r="653" spans="1:21" ht="15.75" customHeight="1" x14ac:dyDescent="0.2">
      <c r="A653" s="257"/>
      <c r="B653" s="246"/>
      <c r="C653" s="167"/>
      <c r="D653" s="7"/>
      <c r="E653" s="7"/>
      <c r="F653" s="7" t="str">
        <f t="shared" si="257"/>
        <v/>
      </c>
      <c r="G653" s="7"/>
      <c r="H653" s="7"/>
      <c r="I653" s="7" t="str">
        <f t="shared" si="258"/>
        <v/>
      </c>
      <c r="J653" s="7" t="str">
        <f t="shared" si="259"/>
        <v/>
      </c>
      <c r="K653" s="7" t="str">
        <f t="shared" si="254"/>
        <v/>
      </c>
      <c r="L653" s="60" t="str">
        <f t="shared" si="255"/>
        <v/>
      </c>
      <c r="M653" s="60"/>
      <c r="N653" s="281"/>
      <c r="O653" s="9"/>
      <c r="P653" s="56"/>
      <c r="Q653" s="69"/>
      <c r="R653" s="57">
        <f t="shared" si="256"/>
        <v>0</v>
      </c>
      <c r="S653" s="69"/>
      <c r="T653" s="249"/>
      <c r="U653" s="9"/>
    </row>
    <row r="654" spans="1:21" ht="15.75" customHeight="1" thickBot="1" x14ac:dyDescent="0.25">
      <c r="A654" s="258"/>
      <c r="B654" s="247"/>
      <c r="C654" s="168"/>
      <c r="D654" s="63"/>
      <c r="E654" s="63"/>
      <c r="F654" s="63" t="str">
        <f t="shared" si="257"/>
        <v/>
      </c>
      <c r="G654" s="63"/>
      <c r="H654" s="63"/>
      <c r="I654" s="63" t="str">
        <f t="shared" si="258"/>
        <v/>
      </c>
      <c r="J654" s="63" t="str">
        <f t="shared" si="259"/>
        <v/>
      </c>
      <c r="K654" s="63" t="str">
        <f t="shared" si="254"/>
        <v/>
      </c>
      <c r="L654" s="65" t="str">
        <f t="shared" si="255"/>
        <v/>
      </c>
      <c r="M654" s="65"/>
      <c r="N654" s="282"/>
      <c r="O654" s="9"/>
      <c r="P654" s="66"/>
      <c r="Q654" s="9"/>
      <c r="R654" s="67">
        <f t="shared" si="256"/>
        <v>0</v>
      </c>
      <c r="S654" s="9"/>
      <c r="T654" s="250"/>
      <c r="U654" s="9"/>
    </row>
    <row r="655" spans="1:21" ht="15.75" customHeight="1" x14ac:dyDescent="0.2">
      <c r="A655" s="9"/>
      <c r="B655" s="9"/>
      <c r="C655" s="11"/>
      <c r="D655" s="9"/>
      <c r="E655" s="9"/>
      <c r="F655" s="9"/>
      <c r="G655" s="9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10"/>
      <c r="S655" s="9"/>
      <c r="T655" s="11"/>
      <c r="U655" s="9"/>
    </row>
    <row r="656" spans="1:21" ht="15.75" customHeight="1" x14ac:dyDescent="0.2">
      <c r="A656" s="9"/>
      <c r="B656" s="9"/>
      <c r="C656" s="11"/>
      <c r="D656" s="9"/>
      <c r="E656" s="9"/>
      <c r="F656" s="9"/>
      <c r="G656" s="9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10"/>
      <c r="S656" s="9"/>
      <c r="T656" s="11"/>
      <c r="U656" s="9"/>
    </row>
    <row r="657" spans="1:21" ht="15.75" customHeight="1" thickBot="1" x14ac:dyDescent="0.25">
      <c r="A657" s="9"/>
      <c r="B657" s="9"/>
      <c r="C657" s="11"/>
      <c r="D657" s="9"/>
      <c r="E657" s="9"/>
      <c r="F657" s="9"/>
      <c r="G657" s="9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10"/>
      <c r="S657" s="9"/>
      <c r="T657" s="11"/>
      <c r="U657" s="9"/>
    </row>
    <row r="658" spans="1:21" ht="15.75" customHeight="1" thickBot="1" x14ac:dyDescent="0.3">
      <c r="A658" s="79" t="s">
        <v>6</v>
      </c>
      <c r="B658" s="245" t="s">
        <v>22</v>
      </c>
      <c r="C658" s="160"/>
      <c r="D658" s="43" t="s">
        <v>9</v>
      </c>
      <c r="E658" s="43" t="s">
        <v>10</v>
      </c>
      <c r="F658" s="43" t="s">
        <v>11</v>
      </c>
      <c r="G658" s="43" t="s">
        <v>12</v>
      </c>
      <c r="H658" s="43" t="s">
        <v>13</v>
      </c>
      <c r="I658" s="43" t="s">
        <v>14</v>
      </c>
      <c r="J658" s="43" t="s">
        <v>15</v>
      </c>
      <c r="K658" s="43" t="s">
        <v>33</v>
      </c>
      <c r="L658" s="43" t="s">
        <v>16</v>
      </c>
      <c r="M658" s="43"/>
      <c r="N658" s="44" t="s">
        <v>17</v>
      </c>
      <c r="O658" s="70"/>
      <c r="P658" s="45" t="s">
        <v>18</v>
      </c>
      <c r="Q658" s="69"/>
      <c r="R658" s="46" t="s">
        <v>34</v>
      </c>
      <c r="S658" s="69"/>
      <c r="T658" s="47" t="s">
        <v>29</v>
      </c>
      <c r="U658" s="9"/>
    </row>
    <row r="659" spans="1:21" ht="15.75" customHeight="1" x14ac:dyDescent="0.2">
      <c r="A659" s="80"/>
      <c r="B659" s="246"/>
      <c r="C659" s="165"/>
      <c r="D659" s="48"/>
      <c r="E659" s="48"/>
      <c r="F659" s="48" t="str">
        <f>IF(AND(C659=""),"",1-C659)</f>
        <v/>
      </c>
      <c r="G659" s="48"/>
      <c r="H659" s="48"/>
      <c r="I659" s="48" t="str">
        <f>IF(AND(C659=""),"",G659*C659)</f>
        <v/>
      </c>
      <c r="J659" s="48" t="str">
        <f>IF(AND(C659=""),"",H659*F659)</f>
        <v/>
      </c>
      <c r="K659" s="48" t="str">
        <f t="shared" ref="K659:K668" si="260">IF(AND(I659=""),"",IF(AND(I659&gt;J659),"T1","T2"))</f>
        <v/>
      </c>
      <c r="L659" s="50" t="str">
        <f t="shared" ref="L659:L668" si="261">IF(AND(K659=""),"",IF(AND((J659*0.95-1)&lt;0,(I659*0.95-1)&lt;0),"NO BET", IF(AND(K659="T1"),I659*0.95 - 1,J659*0.95 - 1)))</f>
        <v/>
      </c>
      <c r="M659" s="50"/>
      <c r="N659" s="280">
        <f>SUMIF(L659:L668,"&gt;0")</f>
        <v>0</v>
      </c>
      <c r="O659" s="70"/>
      <c r="P659" s="51"/>
      <c r="Q659" s="70"/>
      <c r="R659" s="52">
        <f t="shared" ref="R659:R668" si="262">IF(OR(P659="",L659="NO BET"),0,IF(AND(K659=P659),IF(AND(K659="T2"),ROUNDUP(H659*0.95,2)-1,ROUNDUP(G659*0.95,2)-1),-1))</f>
        <v>0</v>
      </c>
      <c r="S659" s="69"/>
      <c r="T659" s="241">
        <f>SUM(R659:R668)</f>
        <v>0</v>
      </c>
      <c r="U659" s="9"/>
    </row>
    <row r="660" spans="1:21" ht="15.75" customHeight="1" x14ac:dyDescent="0.2">
      <c r="A660" s="257" t="s">
        <v>35</v>
      </c>
      <c r="B660" s="246"/>
      <c r="C660" s="166"/>
      <c r="D660" s="53"/>
      <c r="E660" s="53"/>
      <c r="F660" s="53" t="str">
        <f t="shared" ref="F660:F668" si="263">IF(AND(C660=""),"",1-C660)</f>
        <v/>
      </c>
      <c r="G660" s="53"/>
      <c r="H660" s="53"/>
      <c r="I660" s="53" t="str">
        <f t="shared" ref="I660:I668" si="264">IF(AND(C660=""),"",G660*C660)</f>
        <v/>
      </c>
      <c r="J660" s="53" t="str">
        <f t="shared" ref="J660:J668" si="265">IF(AND(C660=""),"",H660*F660)</f>
        <v/>
      </c>
      <c r="K660" s="53" t="str">
        <f t="shared" si="260"/>
        <v/>
      </c>
      <c r="L660" s="55" t="str">
        <f t="shared" si="261"/>
        <v/>
      </c>
      <c r="M660" s="55"/>
      <c r="N660" s="281"/>
      <c r="O660" s="9"/>
      <c r="P660" s="56"/>
      <c r="Q660" s="69"/>
      <c r="R660" s="57">
        <f t="shared" si="262"/>
        <v>0</v>
      </c>
      <c r="S660" s="69"/>
      <c r="T660" s="241"/>
      <c r="U660" s="9"/>
    </row>
    <row r="661" spans="1:21" ht="15.75" customHeight="1" x14ac:dyDescent="0.2">
      <c r="A661" s="257"/>
      <c r="B661" s="246"/>
      <c r="C661" s="167"/>
      <c r="D661" s="7"/>
      <c r="E661" s="7"/>
      <c r="F661" s="7" t="str">
        <f t="shared" si="263"/>
        <v/>
      </c>
      <c r="G661" s="7"/>
      <c r="H661" s="7"/>
      <c r="I661" s="7" t="str">
        <f t="shared" si="264"/>
        <v/>
      </c>
      <c r="J661" s="7" t="str">
        <f t="shared" si="265"/>
        <v/>
      </c>
      <c r="K661" s="7" t="str">
        <f t="shared" si="260"/>
        <v/>
      </c>
      <c r="L661" s="59" t="str">
        <f t="shared" si="261"/>
        <v/>
      </c>
      <c r="M661" s="59"/>
      <c r="N661" s="281"/>
      <c r="O661" s="70"/>
      <c r="P661" s="56"/>
      <c r="Q661" s="69"/>
      <c r="R661" s="57">
        <f t="shared" si="262"/>
        <v>0</v>
      </c>
      <c r="S661" s="69"/>
      <c r="T661" s="241"/>
      <c r="U661" s="9"/>
    </row>
    <row r="662" spans="1:21" ht="15.75" customHeight="1" x14ac:dyDescent="0.2">
      <c r="A662" s="257"/>
      <c r="B662" s="246"/>
      <c r="C662" s="166"/>
      <c r="D662" s="53"/>
      <c r="E662" s="53"/>
      <c r="F662" s="53" t="str">
        <f t="shared" si="263"/>
        <v/>
      </c>
      <c r="G662" s="53"/>
      <c r="H662" s="53"/>
      <c r="I662" s="53" t="str">
        <f t="shared" si="264"/>
        <v/>
      </c>
      <c r="J662" s="53" t="str">
        <f t="shared" si="265"/>
        <v/>
      </c>
      <c r="K662" s="53" t="str">
        <f t="shared" si="260"/>
        <v/>
      </c>
      <c r="L662" s="55" t="str">
        <f t="shared" si="261"/>
        <v/>
      </c>
      <c r="M662" s="55"/>
      <c r="N662" s="281"/>
      <c r="O662" s="74"/>
      <c r="P662" s="56"/>
      <c r="Q662" s="69"/>
      <c r="R662" s="57">
        <f t="shared" si="262"/>
        <v>0</v>
      </c>
      <c r="S662" s="69"/>
      <c r="T662" s="241"/>
      <c r="U662" s="9"/>
    </row>
    <row r="663" spans="1:21" ht="15.75" customHeight="1" x14ac:dyDescent="0.2">
      <c r="A663" s="257"/>
      <c r="B663" s="246"/>
      <c r="C663" s="167"/>
      <c r="D663" s="7"/>
      <c r="E663" s="7"/>
      <c r="F663" s="7" t="str">
        <f t="shared" si="263"/>
        <v/>
      </c>
      <c r="G663" s="7"/>
      <c r="H663" s="7"/>
      <c r="I663" s="7" t="str">
        <f t="shared" si="264"/>
        <v/>
      </c>
      <c r="J663" s="7" t="str">
        <f t="shared" si="265"/>
        <v/>
      </c>
      <c r="K663" s="7" t="str">
        <f t="shared" si="260"/>
        <v/>
      </c>
      <c r="L663" s="60" t="str">
        <f t="shared" si="261"/>
        <v/>
      </c>
      <c r="M663" s="60"/>
      <c r="N663" s="281"/>
      <c r="O663" s="74"/>
      <c r="P663" s="56"/>
      <c r="Q663" s="69"/>
      <c r="R663" s="57">
        <f t="shared" si="262"/>
        <v>0</v>
      </c>
      <c r="S663" s="69"/>
      <c r="T663" s="241"/>
      <c r="U663" s="9"/>
    </row>
    <row r="664" spans="1:21" ht="15.75" customHeight="1" x14ac:dyDescent="0.2">
      <c r="A664" s="257"/>
      <c r="B664" s="246"/>
      <c r="C664" s="166"/>
      <c r="D664" s="53"/>
      <c r="E664" s="53"/>
      <c r="F664" s="53" t="str">
        <f t="shared" si="263"/>
        <v/>
      </c>
      <c r="G664" s="53"/>
      <c r="H664" s="53"/>
      <c r="I664" s="53" t="str">
        <f t="shared" si="264"/>
        <v/>
      </c>
      <c r="J664" s="53" t="str">
        <f t="shared" si="265"/>
        <v/>
      </c>
      <c r="K664" s="53" t="str">
        <f t="shared" si="260"/>
        <v/>
      </c>
      <c r="L664" s="55" t="str">
        <f t="shared" si="261"/>
        <v/>
      </c>
      <c r="M664" s="55"/>
      <c r="N664" s="281"/>
      <c r="O664" s="74"/>
      <c r="P664" s="56"/>
      <c r="Q664" s="69"/>
      <c r="R664" s="57">
        <f t="shared" si="262"/>
        <v>0</v>
      </c>
      <c r="S664" s="69"/>
      <c r="T664" s="241"/>
      <c r="U664" s="9"/>
    </row>
    <row r="665" spans="1:21" ht="15.75" customHeight="1" thickBot="1" x14ac:dyDescent="0.25">
      <c r="A665" s="257"/>
      <c r="B665" s="246"/>
      <c r="C665" s="167"/>
      <c r="D665" s="7"/>
      <c r="E665" s="7"/>
      <c r="F665" s="7" t="str">
        <f t="shared" si="263"/>
        <v/>
      </c>
      <c r="G665" s="7"/>
      <c r="H665" s="7"/>
      <c r="I665" s="7" t="str">
        <f t="shared" si="264"/>
        <v/>
      </c>
      <c r="J665" s="7" t="str">
        <f t="shared" si="265"/>
        <v/>
      </c>
      <c r="K665" s="7" t="str">
        <f t="shared" si="260"/>
        <v/>
      </c>
      <c r="L665" s="59" t="str">
        <f t="shared" si="261"/>
        <v/>
      </c>
      <c r="M665" s="59"/>
      <c r="N665" s="281"/>
      <c r="O665" s="9"/>
      <c r="P665" s="56"/>
      <c r="Q665" s="69"/>
      <c r="R665" s="57">
        <f t="shared" si="262"/>
        <v>0</v>
      </c>
      <c r="S665" s="69"/>
      <c r="T665" s="61" t="s">
        <v>31</v>
      </c>
      <c r="U665" s="9"/>
    </row>
    <row r="666" spans="1:21" ht="15.75" customHeight="1" x14ac:dyDescent="0.2">
      <c r="A666" s="257"/>
      <c r="B666" s="246"/>
      <c r="C666" s="166"/>
      <c r="D666" s="53"/>
      <c r="E666" s="53"/>
      <c r="F666" s="53" t="str">
        <f t="shared" si="263"/>
        <v/>
      </c>
      <c r="G666" s="53"/>
      <c r="H666" s="53"/>
      <c r="I666" s="53" t="str">
        <f t="shared" si="264"/>
        <v/>
      </c>
      <c r="J666" s="53" t="str">
        <f t="shared" si="265"/>
        <v/>
      </c>
      <c r="K666" s="53" t="str">
        <f t="shared" si="260"/>
        <v/>
      </c>
      <c r="L666" s="62" t="str">
        <f t="shared" si="261"/>
        <v/>
      </c>
      <c r="M666" s="62"/>
      <c r="N666" s="281"/>
      <c r="O666" s="9"/>
      <c r="P666" s="56"/>
      <c r="Q666" s="69"/>
      <c r="R666" s="57">
        <f t="shared" si="262"/>
        <v>0</v>
      </c>
      <c r="S666" s="69"/>
      <c r="T666" s="248">
        <f>IF(AND(NOT(N659=0)),T659/N659,0)</f>
        <v>0</v>
      </c>
      <c r="U666" s="9"/>
    </row>
    <row r="667" spans="1:21" ht="15.75" customHeight="1" x14ac:dyDescent="0.2">
      <c r="A667" s="257"/>
      <c r="B667" s="246"/>
      <c r="C667" s="167"/>
      <c r="D667" s="7"/>
      <c r="E667" s="7"/>
      <c r="F667" s="7" t="str">
        <f t="shared" si="263"/>
        <v/>
      </c>
      <c r="G667" s="7"/>
      <c r="H667" s="7"/>
      <c r="I667" s="7" t="str">
        <f t="shared" si="264"/>
        <v/>
      </c>
      <c r="J667" s="7" t="str">
        <f t="shared" si="265"/>
        <v/>
      </c>
      <c r="K667" s="7" t="str">
        <f t="shared" si="260"/>
        <v/>
      </c>
      <c r="L667" s="60" t="str">
        <f t="shared" si="261"/>
        <v/>
      </c>
      <c r="M667" s="60"/>
      <c r="N667" s="281"/>
      <c r="O667" s="9"/>
      <c r="P667" s="56"/>
      <c r="Q667" s="69"/>
      <c r="R667" s="57">
        <f t="shared" si="262"/>
        <v>0</v>
      </c>
      <c r="S667" s="69"/>
      <c r="T667" s="249"/>
      <c r="U667" s="9"/>
    </row>
    <row r="668" spans="1:21" ht="15.75" customHeight="1" thickBot="1" x14ac:dyDescent="0.25">
      <c r="A668" s="258"/>
      <c r="B668" s="247"/>
      <c r="C668" s="168"/>
      <c r="D668" s="63"/>
      <c r="E668" s="63"/>
      <c r="F668" s="63" t="str">
        <f t="shared" si="263"/>
        <v/>
      </c>
      <c r="G668" s="63"/>
      <c r="H668" s="63"/>
      <c r="I668" s="63" t="str">
        <f t="shared" si="264"/>
        <v/>
      </c>
      <c r="J668" s="63" t="str">
        <f t="shared" si="265"/>
        <v/>
      </c>
      <c r="K668" s="63" t="str">
        <f t="shared" si="260"/>
        <v/>
      </c>
      <c r="L668" s="65" t="str">
        <f t="shared" si="261"/>
        <v/>
      </c>
      <c r="M668" s="65"/>
      <c r="N668" s="282"/>
      <c r="O668" s="9"/>
      <c r="P668" s="66"/>
      <c r="Q668" s="9"/>
      <c r="R668" s="67">
        <f t="shared" si="262"/>
        <v>0</v>
      </c>
      <c r="S668" s="9"/>
      <c r="T668" s="250"/>
      <c r="U668" s="9"/>
    </row>
    <row r="669" spans="1:21" ht="15.75" customHeight="1" x14ac:dyDescent="0.2">
      <c r="A669" s="9"/>
      <c r="B669" s="9"/>
      <c r="C669" s="11"/>
      <c r="D669" s="9"/>
      <c r="E669" s="9"/>
      <c r="F669" s="9"/>
      <c r="G669" s="9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10"/>
      <c r="S669" s="9"/>
      <c r="T669" s="11"/>
      <c r="U669" s="9"/>
    </row>
    <row r="670" spans="1:21" ht="15.75" customHeight="1" x14ac:dyDescent="0.2">
      <c r="A670" s="9"/>
      <c r="B670" s="9"/>
      <c r="C670" s="11"/>
      <c r="D670" s="9"/>
      <c r="E670" s="9"/>
      <c r="F670" s="9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10"/>
      <c r="S670" s="9"/>
      <c r="T670" s="11"/>
      <c r="U670" s="9"/>
    </row>
    <row r="671" spans="1:21" ht="15.75" customHeight="1" thickBot="1" x14ac:dyDescent="0.25">
      <c r="A671" s="9"/>
      <c r="B671" s="9"/>
      <c r="C671" s="11"/>
      <c r="D671" s="9"/>
      <c r="E671" s="9"/>
      <c r="F671" s="9"/>
      <c r="G671" s="9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10"/>
      <c r="S671" s="9"/>
      <c r="T671" s="11"/>
      <c r="U671" s="9"/>
    </row>
    <row r="672" spans="1:21" ht="15.75" customHeight="1" thickBot="1" x14ac:dyDescent="0.3">
      <c r="A672" s="79" t="s">
        <v>6</v>
      </c>
      <c r="B672" s="245" t="s">
        <v>23</v>
      </c>
      <c r="C672" s="160"/>
      <c r="D672" s="43" t="s">
        <v>9</v>
      </c>
      <c r="E672" s="43" t="s">
        <v>10</v>
      </c>
      <c r="F672" s="43" t="s">
        <v>11</v>
      </c>
      <c r="G672" s="43" t="s">
        <v>12</v>
      </c>
      <c r="H672" s="43" t="s">
        <v>13</v>
      </c>
      <c r="I672" s="43" t="s">
        <v>14</v>
      </c>
      <c r="J672" s="43" t="s">
        <v>15</v>
      </c>
      <c r="K672" s="43" t="s">
        <v>33</v>
      </c>
      <c r="L672" s="43" t="s">
        <v>16</v>
      </c>
      <c r="M672" s="43"/>
      <c r="N672" s="44" t="s">
        <v>17</v>
      </c>
      <c r="O672" s="70"/>
      <c r="P672" s="45" t="s">
        <v>18</v>
      </c>
      <c r="Q672" s="69"/>
      <c r="R672" s="46" t="s">
        <v>34</v>
      </c>
      <c r="S672" s="69"/>
      <c r="T672" s="47" t="s">
        <v>29</v>
      </c>
      <c r="U672" s="9"/>
    </row>
    <row r="673" spans="1:21" ht="15.75" customHeight="1" x14ac:dyDescent="0.2">
      <c r="A673" s="80"/>
      <c r="B673" s="246"/>
      <c r="C673" s="165"/>
      <c r="D673" s="48"/>
      <c r="E673" s="48"/>
      <c r="F673" s="48"/>
      <c r="G673" s="48"/>
      <c r="H673" s="48"/>
      <c r="I673" s="48"/>
      <c r="J673" s="48"/>
      <c r="K673" s="48"/>
      <c r="L673" s="50"/>
      <c r="M673" s="50"/>
      <c r="N673" s="280">
        <f>SUMIF(L687:L696,"&gt;0")</f>
        <v>0</v>
      </c>
      <c r="O673" s="70"/>
      <c r="P673" s="51"/>
      <c r="Q673" s="70"/>
      <c r="R673" s="52">
        <f t="shared" ref="R673:R682" si="266">IF(OR(P673="",L687="NO BET"),0,IF(AND(K687=P673),IF(AND(K687="T2"),ROUNDUP(H687*0.95,2)-1,ROUNDUP(G687*0.95,2)-1),-1))</f>
        <v>0</v>
      </c>
      <c r="S673" s="69"/>
      <c r="T673" s="241">
        <f>SUM(R673:R682)</f>
        <v>0</v>
      </c>
      <c r="U673" s="9"/>
    </row>
    <row r="674" spans="1:21" ht="15.75" customHeight="1" x14ac:dyDescent="0.2">
      <c r="A674" s="257" t="s">
        <v>35</v>
      </c>
      <c r="B674" s="246"/>
      <c r="C674" s="166"/>
      <c r="D674" s="53"/>
      <c r="E674" s="53"/>
      <c r="F674" s="53"/>
      <c r="G674" s="53"/>
      <c r="H674" s="53"/>
      <c r="I674" s="53"/>
      <c r="J674" s="53"/>
      <c r="K674" s="53"/>
      <c r="L674" s="55"/>
      <c r="M674" s="55"/>
      <c r="N674" s="281"/>
      <c r="O674" s="9"/>
      <c r="P674" s="56"/>
      <c r="Q674" s="69"/>
      <c r="R674" s="57">
        <f t="shared" si="266"/>
        <v>0</v>
      </c>
      <c r="S674" s="69"/>
      <c r="T674" s="241"/>
      <c r="U674" s="9"/>
    </row>
    <row r="675" spans="1:21" ht="15.75" customHeight="1" x14ac:dyDescent="0.2">
      <c r="A675" s="257"/>
      <c r="B675" s="246"/>
      <c r="C675" s="167"/>
      <c r="D675" s="7"/>
      <c r="E675" s="7"/>
      <c r="F675" s="7"/>
      <c r="G675" s="7"/>
      <c r="H675" s="7"/>
      <c r="I675" s="7"/>
      <c r="J675" s="7"/>
      <c r="K675" s="7"/>
      <c r="L675" s="59"/>
      <c r="M675" s="59"/>
      <c r="N675" s="281"/>
      <c r="O675" s="70"/>
      <c r="P675" s="56"/>
      <c r="Q675" s="69"/>
      <c r="R675" s="57">
        <f t="shared" si="266"/>
        <v>0</v>
      </c>
      <c r="S675" s="69"/>
      <c r="T675" s="241"/>
      <c r="U675" s="9"/>
    </row>
    <row r="676" spans="1:21" ht="15.75" customHeight="1" x14ac:dyDescent="0.2">
      <c r="A676" s="257"/>
      <c r="B676" s="246"/>
      <c r="C676" s="166"/>
      <c r="D676" s="53"/>
      <c r="E676" s="53"/>
      <c r="F676" s="53"/>
      <c r="G676" s="53"/>
      <c r="H676" s="53"/>
      <c r="I676" s="53"/>
      <c r="J676" s="53"/>
      <c r="K676" s="53"/>
      <c r="L676" s="55"/>
      <c r="M676" s="55"/>
      <c r="N676" s="281"/>
      <c r="O676" s="74"/>
      <c r="P676" s="56"/>
      <c r="Q676" s="69"/>
      <c r="R676" s="57">
        <f t="shared" si="266"/>
        <v>0</v>
      </c>
      <c r="S676" s="69"/>
      <c r="T676" s="241"/>
      <c r="U676" s="9"/>
    </row>
    <row r="677" spans="1:21" ht="15.75" customHeight="1" x14ac:dyDescent="0.2">
      <c r="A677" s="257"/>
      <c r="B677" s="246"/>
      <c r="C677" s="167"/>
      <c r="D677" s="7"/>
      <c r="E677" s="7"/>
      <c r="F677" s="7"/>
      <c r="G677" s="7"/>
      <c r="H677" s="7"/>
      <c r="I677" s="7"/>
      <c r="J677" s="7"/>
      <c r="K677" s="7"/>
      <c r="L677" s="60"/>
      <c r="M677" s="60"/>
      <c r="N677" s="281"/>
      <c r="O677" s="74"/>
      <c r="P677" s="56"/>
      <c r="Q677" s="69"/>
      <c r="R677" s="57">
        <f t="shared" si="266"/>
        <v>0</v>
      </c>
      <c r="S677" s="69"/>
      <c r="T677" s="241"/>
      <c r="U677" s="9"/>
    </row>
    <row r="678" spans="1:21" ht="15.75" customHeight="1" x14ac:dyDescent="0.2">
      <c r="A678" s="257"/>
      <c r="B678" s="246"/>
      <c r="C678" s="166"/>
      <c r="D678" s="53"/>
      <c r="E678" s="53"/>
      <c r="F678" s="53"/>
      <c r="G678" s="53"/>
      <c r="H678" s="53"/>
      <c r="I678" s="53"/>
      <c r="J678" s="53"/>
      <c r="K678" s="53"/>
      <c r="L678" s="55"/>
      <c r="M678" s="55"/>
      <c r="N678" s="281"/>
      <c r="O678" s="74"/>
      <c r="P678" s="56"/>
      <c r="Q678" s="69"/>
      <c r="R678" s="57">
        <f t="shared" si="266"/>
        <v>0</v>
      </c>
      <c r="S678" s="69"/>
      <c r="T678" s="241"/>
      <c r="U678" s="9"/>
    </row>
    <row r="679" spans="1:21" ht="15.75" customHeight="1" thickBot="1" x14ac:dyDescent="0.25">
      <c r="A679" s="257"/>
      <c r="B679" s="246"/>
      <c r="C679" s="167"/>
      <c r="D679" s="7"/>
      <c r="E679" s="7"/>
      <c r="F679" s="7"/>
      <c r="G679" s="7"/>
      <c r="H679" s="7"/>
      <c r="I679" s="7"/>
      <c r="J679" s="7"/>
      <c r="K679" s="7"/>
      <c r="L679" s="59"/>
      <c r="M679" s="59"/>
      <c r="N679" s="281"/>
      <c r="O679" s="9"/>
      <c r="P679" s="56"/>
      <c r="Q679" s="69"/>
      <c r="R679" s="57">
        <f t="shared" si="266"/>
        <v>0</v>
      </c>
      <c r="S679" s="69"/>
      <c r="T679" s="61" t="s">
        <v>31</v>
      </c>
      <c r="U679" s="9"/>
    </row>
    <row r="680" spans="1:21" ht="15.75" customHeight="1" x14ac:dyDescent="0.2">
      <c r="A680" s="257"/>
      <c r="B680" s="246"/>
      <c r="C680" s="166"/>
      <c r="D680" s="53"/>
      <c r="E680" s="53"/>
      <c r="F680" s="53"/>
      <c r="G680" s="53"/>
      <c r="H680" s="53"/>
      <c r="I680" s="53"/>
      <c r="J680" s="53"/>
      <c r="K680" s="53"/>
      <c r="L680" s="62"/>
      <c r="M680" s="62"/>
      <c r="N680" s="281"/>
      <c r="O680" s="9"/>
      <c r="P680" s="56"/>
      <c r="Q680" s="69"/>
      <c r="R680" s="57">
        <f t="shared" si="266"/>
        <v>0</v>
      </c>
      <c r="S680" s="69"/>
      <c r="T680" s="248">
        <f>IF(AND(NOT(N673=0)),T673/N673,0)</f>
        <v>0</v>
      </c>
      <c r="U680" s="9"/>
    </row>
    <row r="681" spans="1:21" ht="15.75" customHeight="1" x14ac:dyDescent="0.2">
      <c r="A681" s="257"/>
      <c r="B681" s="246"/>
      <c r="C681" s="167"/>
      <c r="D681" s="7"/>
      <c r="E681" s="7"/>
      <c r="F681" s="7"/>
      <c r="G681" s="7"/>
      <c r="H681" s="7"/>
      <c r="I681" s="7"/>
      <c r="J681" s="7"/>
      <c r="K681" s="7"/>
      <c r="L681" s="60"/>
      <c r="M681" s="60"/>
      <c r="N681" s="281"/>
      <c r="O681" s="9"/>
      <c r="P681" s="56"/>
      <c r="Q681" s="69"/>
      <c r="R681" s="57">
        <f t="shared" si="266"/>
        <v>0</v>
      </c>
      <c r="S681" s="69"/>
      <c r="T681" s="249"/>
      <c r="U681" s="9"/>
    </row>
    <row r="682" spans="1:21" ht="15.75" customHeight="1" thickBot="1" x14ac:dyDescent="0.25">
      <c r="A682" s="258"/>
      <c r="B682" s="247"/>
      <c r="C682" s="168"/>
      <c r="D682" s="63"/>
      <c r="E682" s="63"/>
      <c r="F682" s="63"/>
      <c r="G682" s="63"/>
      <c r="H682" s="63"/>
      <c r="I682" s="63"/>
      <c r="J682" s="63"/>
      <c r="K682" s="63"/>
      <c r="L682" s="65"/>
      <c r="M682" s="65"/>
      <c r="N682" s="282"/>
      <c r="O682" s="9"/>
      <c r="P682" s="66"/>
      <c r="Q682" s="9"/>
      <c r="R682" s="67">
        <f t="shared" si="266"/>
        <v>0</v>
      </c>
      <c r="S682" s="9"/>
      <c r="T682" s="250"/>
      <c r="U682" s="9"/>
    </row>
    <row r="683" spans="1:21" ht="15.75" customHeight="1" x14ac:dyDescent="0.2">
      <c r="A683" s="9"/>
      <c r="B683" s="9"/>
      <c r="C683" s="11"/>
      <c r="D683" s="9"/>
      <c r="E683" s="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10"/>
      <c r="S683" s="9"/>
      <c r="T683" s="11"/>
      <c r="U683" s="9"/>
    </row>
    <row r="684" spans="1:21" ht="15.75" customHeight="1" x14ac:dyDescent="0.2">
      <c r="A684" s="9"/>
      <c r="B684" s="9"/>
      <c r="C684" s="11"/>
      <c r="D684" s="9"/>
      <c r="E684" s="9"/>
      <c r="F684" s="9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10"/>
      <c r="S684" s="9"/>
      <c r="T684" s="11"/>
      <c r="U684" s="9"/>
    </row>
    <row r="685" spans="1:21" ht="15.75" customHeight="1" thickBot="1" x14ac:dyDescent="0.25">
      <c r="A685" s="9"/>
      <c r="B685" s="9"/>
      <c r="C685" s="11"/>
      <c r="D685" s="9"/>
      <c r="E685" s="9"/>
      <c r="F685" s="9"/>
      <c r="G685" s="9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10"/>
      <c r="S685" s="9"/>
      <c r="T685" s="11"/>
      <c r="U685" s="9"/>
    </row>
    <row r="686" spans="1:21" ht="15.75" customHeight="1" thickBot="1" x14ac:dyDescent="0.3">
      <c r="A686" s="79" t="s">
        <v>6</v>
      </c>
      <c r="B686" s="245" t="s">
        <v>24</v>
      </c>
      <c r="C686" s="160"/>
      <c r="D686" s="43" t="s">
        <v>9</v>
      </c>
      <c r="E686" s="43" t="s">
        <v>10</v>
      </c>
      <c r="F686" s="43" t="s">
        <v>11</v>
      </c>
      <c r="G686" s="43" t="s">
        <v>12</v>
      </c>
      <c r="H686" s="43" t="s">
        <v>13</v>
      </c>
      <c r="I686" s="43" t="s">
        <v>14</v>
      </c>
      <c r="J686" s="43" t="s">
        <v>15</v>
      </c>
      <c r="K686" s="43" t="s">
        <v>33</v>
      </c>
      <c r="L686" s="43" t="s">
        <v>16</v>
      </c>
      <c r="M686" s="43"/>
      <c r="N686" s="44" t="s">
        <v>17</v>
      </c>
      <c r="O686" s="70"/>
      <c r="P686" s="45" t="s">
        <v>18</v>
      </c>
      <c r="Q686" s="69"/>
      <c r="R686" s="46" t="s">
        <v>34</v>
      </c>
      <c r="S686" s="69"/>
      <c r="T686" s="47" t="s">
        <v>29</v>
      </c>
      <c r="U686" s="9"/>
    </row>
    <row r="687" spans="1:21" ht="15.75" customHeight="1" x14ac:dyDescent="0.2">
      <c r="A687" s="80"/>
      <c r="B687" s="246"/>
      <c r="C687" s="165"/>
      <c r="D687" s="48"/>
      <c r="E687" s="48"/>
      <c r="F687" s="48" t="str">
        <f>IF(AND(C687=""),"",1-C687)</f>
        <v/>
      </c>
      <c r="G687" s="48"/>
      <c r="H687" s="48"/>
      <c r="I687" s="48" t="str">
        <f>IF(AND(C687=""),"",G687*C687)</f>
        <v/>
      </c>
      <c r="J687" s="48" t="str">
        <f>IF(AND(C687=""),"",H687*F687)</f>
        <v/>
      </c>
      <c r="K687" s="48" t="str">
        <f t="shared" ref="K687:K696" si="267">IF(AND(I687=""),"",IF(AND(I687&gt;J687),"T1","T2"))</f>
        <v/>
      </c>
      <c r="L687" s="50" t="str">
        <f t="shared" ref="L687:L696" si="268">IF(AND(K687=""),"",IF(AND((J687*0.95-1)&lt;0,(I687*0.95-1)&lt;0),"NO BET", IF(AND(K687="T1"),I687*0.95 - 1,J687*0.95 - 1)))</f>
        <v/>
      </c>
      <c r="M687" s="50"/>
      <c r="N687" s="280">
        <f>SUMIF(L701:L710,"&gt;0")</f>
        <v>0</v>
      </c>
      <c r="O687" s="70"/>
      <c r="P687" s="51"/>
      <c r="Q687" s="70"/>
      <c r="R687" s="52">
        <f t="shared" ref="R687:R696" si="269">IF(OR(P687="",L687="NO BET"),0,IF(AND(K687=P687),IF(AND(K687="T2"),ROUNDUP(H687*0.95,2)-1,ROUNDUP(G687*0.95,2)-1),-1))</f>
        <v>0</v>
      </c>
      <c r="S687" s="69"/>
      <c r="T687" s="241">
        <f>SUM(R687:R696)</f>
        <v>0</v>
      </c>
      <c r="U687" s="9"/>
    </row>
    <row r="688" spans="1:21" ht="15.75" customHeight="1" x14ac:dyDescent="0.2">
      <c r="A688" s="257" t="s">
        <v>35</v>
      </c>
      <c r="B688" s="246"/>
      <c r="C688" s="166"/>
      <c r="D688" s="53"/>
      <c r="E688" s="53"/>
      <c r="F688" s="53" t="str">
        <f t="shared" ref="F688:F696" si="270">IF(AND(C688=""),"",1-C688)</f>
        <v/>
      </c>
      <c r="G688" s="53"/>
      <c r="H688" s="53"/>
      <c r="I688" s="53" t="str">
        <f t="shared" ref="I688:I696" si="271">IF(AND(C688=""),"",G688*C688)</f>
        <v/>
      </c>
      <c r="J688" s="53" t="str">
        <f t="shared" ref="J688:J696" si="272">IF(AND(C688=""),"",H688*F688)</f>
        <v/>
      </c>
      <c r="K688" s="53" t="str">
        <f t="shared" si="267"/>
        <v/>
      </c>
      <c r="L688" s="55" t="str">
        <f t="shared" si="268"/>
        <v/>
      </c>
      <c r="M688" s="55"/>
      <c r="N688" s="281"/>
      <c r="O688" s="9"/>
      <c r="P688" s="56"/>
      <c r="Q688" s="69"/>
      <c r="R688" s="57">
        <f t="shared" si="269"/>
        <v>0</v>
      </c>
      <c r="S688" s="69"/>
      <c r="T688" s="241"/>
      <c r="U688" s="9"/>
    </row>
    <row r="689" spans="1:21" ht="15.75" customHeight="1" x14ac:dyDescent="0.2">
      <c r="A689" s="257"/>
      <c r="B689" s="246"/>
      <c r="C689" s="167"/>
      <c r="D689" s="7"/>
      <c r="E689" s="7"/>
      <c r="F689" s="7" t="str">
        <f t="shared" si="270"/>
        <v/>
      </c>
      <c r="G689" s="7"/>
      <c r="H689" s="7"/>
      <c r="I689" s="7" t="str">
        <f t="shared" si="271"/>
        <v/>
      </c>
      <c r="J689" s="7" t="str">
        <f t="shared" si="272"/>
        <v/>
      </c>
      <c r="K689" s="7" t="str">
        <f t="shared" si="267"/>
        <v/>
      </c>
      <c r="L689" s="59" t="str">
        <f t="shared" si="268"/>
        <v/>
      </c>
      <c r="M689" s="59"/>
      <c r="N689" s="281"/>
      <c r="O689" s="70"/>
      <c r="P689" s="56"/>
      <c r="Q689" s="69"/>
      <c r="R689" s="57">
        <f t="shared" si="269"/>
        <v>0</v>
      </c>
      <c r="S689" s="69"/>
      <c r="T689" s="241"/>
      <c r="U689" s="9"/>
    </row>
    <row r="690" spans="1:21" ht="15.75" customHeight="1" x14ac:dyDescent="0.2">
      <c r="A690" s="257"/>
      <c r="B690" s="246"/>
      <c r="C690" s="166"/>
      <c r="D690" s="53"/>
      <c r="E690" s="53"/>
      <c r="F690" s="53" t="str">
        <f t="shared" si="270"/>
        <v/>
      </c>
      <c r="G690" s="53"/>
      <c r="H690" s="53"/>
      <c r="I690" s="53" t="str">
        <f t="shared" si="271"/>
        <v/>
      </c>
      <c r="J690" s="53" t="str">
        <f t="shared" si="272"/>
        <v/>
      </c>
      <c r="K690" s="53" t="str">
        <f t="shared" si="267"/>
        <v/>
      </c>
      <c r="L690" s="55" t="str">
        <f t="shared" si="268"/>
        <v/>
      </c>
      <c r="M690" s="55"/>
      <c r="N690" s="281"/>
      <c r="O690" s="74"/>
      <c r="P690" s="56"/>
      <c r="Q690" s="69"/>
      <c r="R690" s="57">
        <f t="shared" si="269"/>
        <v>0</v>
      </c>
      <c r="S690" s="69"/>
      <c r="T690" s="241"/>
      <c r="U690" s="9"/>
    </row>
    <row r="691" spans="1:21" ht="15.75" customHeight="1" x14ac:dyDescent="0.2">
      <c r="A691" s="257"/>
      <c r="B691" s="246"/>
      <c r="C691" s="167"/>
      <c r="D691" s="7"/>
      <c r="E691" s="7"/>
      <c r="F691" s="7" t="str">
        <f t="shared" si="270"/>
        <v/>
      </c>
      <c r="G691" s="7"/>
      <c r="H691" s="7"/>
      <c r="I691" s="7" t="str">
        <f t="shared" si="271"/>
        <v/>
      </c>
      <c r="J691" s="7" t="str">
        <f t="shared" si="272"/>
        <v/>
      </c>
      <c r="K691" s="7" t="str">
        <f t="shared" si="267"/>
        <v/>
      </c>
      <c r="L691" s="60" t="str">
        <f t="shared" si="268"/>
        <v/>
      </c>
      <c r="M691" s="60"/>
      <c r="N691" s="281"/>
      <c r="O691" s="74"/>
      <c r="P691" s="56"/>
      <c r="Q691" s="69"/>
      <c r="R691" s="57">
        <f t="shared" si="269"/>
        <v>0</v>
      </c>
      <c r="S691" s="69"/>
      <c r="T691" s="241"/>
      <c r="U691" s="9"/>
    </row>
    <row r="692" spans="1:21" ht="15.75" customHeight="1" x14ac:dyDescent="0.2">
      <c r="A692" s="257"/>
      <c r="B692" s="246"/>
      <c r="C692" s="166"/>
      <c r="D692" s="53"/>
      <c r="E692" s="53"/>
      <c r="F692" s="53" t="str">
        <f t="shared" si="270"/>
        <v/>
      </c>
      <c r="G692" s="53"/>
      <c r="H692" s="53"/>
      <c r="I692" s="53" t="str">
        <f t="shared" si="271"/>
        <v/>
      </c>
      <c r="J692" s="53" t="str">
        <f t="shared" si="272"/>
        <v/>
      </c>
      <c r="K692" s="53" t="str">
        <f t="shared" si="267"/>
        <v/>
      </c>
      <c r="L692" s="55" t="str">
        <f t="shared" si="268"/>
        <v/>
      </c>
      <c r="M692" s="55"/>
      <c r="N692" s="281"/>
      <c r="O692" s="74"/>
      <c r="P692" s="56"/>
      <c r="Q692" s="69"/>
      <c r="R692" s="57">
        <f t="shared" si="269"/>
        <v>0</v>
      </c>
      <c r="S692" s="69"/>
      <c r="T692" s="241"/>
      <c r="U692" s="9"/>
    </row>
    <row r="693" spans="1:21" ht="15.75" customHeight="1" thickBot="1" x14ac:dyDescent="0.25">
      <c r="A693" s="257"/>
      <c r="B693" s="246"/>
      <c r="C693" s="167"/>
      <c r="D693" s="7"/>
      <c r="E693" s="7"/>
      <c r="F693" s="7" t="str">
        <f t="shared" si="270"/>
        <v/>
      </c>
      <c r="G693" s="7"/>
      <c r="H693" s="7"/>
      <c r="I693" s="7" t="str">
        <f t="shared" si="271"/>
        <v/>
      </c>
      <c r="J693" s="7" t="str">
        <f t="shared" si="272"/>
        <v/>
      </c>
      <c r="K693" s="7" t="str">
        <f t="shared" si="267"/>
        <v/>
      </c>
      <c r="L693" s="59" t="str">
        <f t="shared" si="268"/>
        <v/>
      </c>
      <c r="M693" s="59"/>
      <c r="N693" s="281"/>
      <c r="O693" s="9"/>
      <c r="P693" s="56"/>
      <c r="Q693" s="69"/>
      <c r="R693" s="57">
        <f t="shared" si="269"/>
        <v>0</v>
      </c>
      <c r="S693" s="69"/>
      <c r="T693" s="61" t="s">
        <v>31</v>
      </c>
      <c r="U693" s="9"/>
    </row>
    <row r="694" spans="1:21" ht="15.75" customHeight="1" x14ac:dyDescent="0.2">
      <c r="A694" s="257"/>
      <c r="B694" s="246"/>
      <c r="C694" s="166"/>
      <c r="D694" s="53"/>
      <c r="E694" s="53"/>
      <c r="F694" s="53" t="str">
        <f t="shared" si="270"/>
        <v/>
      </c>
      <c r="G694" s="53"/>
      <c r="H694" s="53"/>
      <c r="I694" s="53" t="str">
        <f t="shared" si="271"/>
        <v/>
      </c>
      <c r="J694" s="53" t="str">
        <f t="shared" si="272"/>
        <v/>
      </c>
      <c r="K694" s="53" t="str">
        <f t="shared" si="267"/>
        <v/>
      </c>
      <c r="L694" s="62" t="str">
        <f t="shared" si="268"/>
        <v/>
      </c>
      <c r="M694" s="62"/>
      <c r="N694" s="281"/>
      <c r="O694" s="9"/>
      <c r="P694" s="56"/>
      <c r="Q694" s="69"/>
      <c r="R694" s="57">
        <f t="shared" si="269"/>
        <v>0</v>
      </c>
      <c r="S694" s="69"/>
      <c r="T694" s="248">
        <f>IF(AND(NOT(N687=0)),T687/N687,0)</f>
        <v>0</v>
      </c>
      <c r="U694" s="9"/>
    </row>
    <row r="695" spans="1:21" ht="15.75" customHeight="1" x14ac:dyDescent="0.2">
      <c r="A695" s="257"/>
      <c r="B695" s="246"/>
      <c r="C695" s="167"/>
      <c r="D695" s="7"/>
      <c r="E695" s="7"/>
      <c r="F695" s="7" t="str">
        <f t="shared" si="270"/>
        <v/>
      </c>
      <c r="G695" s="7"/>
      <c r="H695" s="7"/>
      <c r="I695" s="7" t="str">
        <f t="shared" si="271"/>
        <v/>
      </c>
      <c r="J695" s="7" t="str">
        <f t="shared" si="272"/>
        <v/>
      </c>
      <c r="K695" s="7" t="str">
        <f t="shared" si="267"/>
        <v/>
      </c>
      <c r="L695" s="60" t="str">
        <f t="shared" si="268"/>
        <v/>
      </c>
      <c r="M695" s="60"/>
      <c r="N695" s="281"/>
      <c r="O695" s="9"/>
      <c r="P695" s="56"/>
      <c r="Q695" s="69"/>
      <c r="R695" s="57">
        <f t="shared" si="269"/>
        <v>0</v>
      </c>
      <c r="S695" s="69"/>
      <c r="T695" s="249"/>
      <c r="U695" s="9"/>
    </row>
    <row r="696" spans="1:21" ht="15.75" customHeight="1" thickBot="1" x14ac:dyDescent="0.25">
      <c r="A696" s="258"/>
      <c r="B696" s="247"/>
      <c r="C696" s="168"/>
      <c r="D696" s="63"/>
      <c r="E696" s="63"/>
      <c r="F696" s="63" t="str">
        <f t="shared" si="270"/>
        <v/>
      </c>
      <c r="G696" s="63"/>
      <c r="H696" s="63"/>
      <c r="I696" s="63" t="str">
        <f t="shared" si="271"/>
        <v/>
      </c>
      <c r="J696" s="63" t="str">
        <f t="shared" si="272"/>
        <v/>
      </c>
      <c r="K696" s="63" t="str">
        <f t="shared" si="267"/>
        <v/>
      </c>
      <c r="L696" s="65" t="str">
        <f t="shared" si="268"/>
        <v/>
      </c>
      <c r="M696" s="65"/>
      <c r="N696" s="282"/>
      <c r="O696" s="9"/>
      <c r="P696" s="66"/>
      <c r="Q696" s="9"/>
      <c r="R696" s="67">
        <f t="shared" si="269"/>
        <v>0</v>
      </c>
      <c r="S696" s="9"/>
      <c r="T696" s="250"/>
      <c r="U696" s="9"/>
    </row>
    <row r="697" spans="1:21" ht="15.75" customHeight="1" x14ac:dyDescent="0.2">
      <c r="A697" s="9"/>
      <c r="B697" s="9"/>
      <c r="C697" s="11"/>
      <c r="D697" s="9"/>
      <c r="E697" s="9"/>
      <c r="F697" s="9"/>
      <c r="G697" s="9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10"/>
      <c r="S697" s="9"/>
      <c r="T697" s="11"/>
      <c r="U697" s="9"/>
    </row>
    <row r="698" spans="1:21" ht="15.75" customHeight="1" x14ac:dyDescent="0.2">
      <c r="A698" s="9"/>
      <c r="B698" s="9"/>
      <c r="C698" s="11"/>
      <c r="D698" s="9"/>
      <c r="E698" s="9"/>
      <c r="F698" s="9"/>
      <c r="G698" s="9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10"/>
      <c r="S698" s="9"/>
      <c r="T698" s="11"/>
      <c r="U698" s="9"/>
    </row>
    <row r="699" spans="1:21" ht="15.75" customHeight="1" thickBot="1" x14ac:dyDescent="0.25">
      <c r="A699" s="9"/>
      <c r="B699" s="9"/>
      <c r="C699" s="11"/>
      <c r="D699" s="9"/>
      <c r="E699" s="9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10"/>
      <c r="S699" s="9"/>
      <c r="T699" s="11"/>
      <c r="U699" s="9"/>
    </row>
    <row r="700" spans="1:21" ht="15.75" customHeight="1" thickBot="1" x14ac:dyDescent="0.3">
      <c r="A700" s="79" t="s">
        <v>6</v>
      </c>
      <c r="B700" s="245" t="s">
        <v>25</v>
      </c>
      <c r="C700" s="160"/>
      <c r="D700" s="43" t="s">
        <v>9</v>
      </c>
      <c r="E700" s="43" t="s">
        <v>10</v>
      </c>
      <c r="F700" s="43" t="s">
        <v>11</v>
      </c>
      <c r="G700" s="43" t="s">
        <v>12</v>
      </c>
      <c r="H700" s="43" t="s">
        <v>13</v>
      </c>
      <c r="I700" s="43" t="s">
        <v>14</v>
      </c>
      <c r="J700" s="43" t="s">
        <v>15</v>
      </c>
      <c r="K700" s="43" t="s">
        <v>33</v>
      </c>
      <c r="L700" s="43" t="s">
        <v>16</v>
      </c>
      <c r="M700" s="43"/>
      <c r="N700" s="44" t="s">
        <v>17</v>
      </c>
      <c r="O700" s="70"/>
      <c r="P700" s="45" t="s">
        <v>18</v>
      </c>
      <c r="Q700" s="69"/>
      <c r="R700" s="46" t="s">
        <v>34</v>
      </c>
      <c r="S700" s="69"/>
      <c r="T700" s="47" t="s">
        <v>29</v>
      </c>
      <c r="U700" s="9"/>
    </row>
    <row r="701" spans="1:21" ht="15.75" customHeight="1" x14ac:dyDescent="0.2">
      <c r="A701" s="80"/>
      <c r="B701" s="246"/>
      <c r="C701" s="165"/>
      <c r="D701" s="48"/>
      <c r="E701" s="48"/>
      <c r="F701" s="48" t="str">
        <f>IF(AND(C701=""),"",1-C701)</f>
        <v/>
      </c>
      <c r="G701" s="48"/>
      <c r="H701" s="48"/>
      <c r="I701" s="48" t="str">
        <f>IF(AND(C701=""),"",G701*C701)</f>
        <v/>
      </c>
      <c r="J701" s="48" t="str">
        <f>IF(AND(C701=""),"",H701*F701)</f>
        <v/>
      </c>
      <c r="K701" s="48" t="str">
        <f t="shared" ref="K701:K710" si="273">IF(AND(I701=""),"",IF(AND(I701&gt;J701),"T1","T2"))</f>
        <v/>
      </c>
      <c r="L701" s="50" t="str">
        <f t="shared" ref="L701:L710" si="274">IF(AND(K701=""),"",IF(AND((J701*0.95-1)&lt;0,(I701*0.95-1)&lt;0),"NO BET", IF(AND(K701="T1"),I701*0.95 - 1,J701*0.95 - 1)))</f>
        <v/>
      </c>
      <c r="M701" s="50"/>
      <c r="N701" s="280">
        <f>SUMIF(L701:L710,"&gt;0")</f>
        <v>0</v>
      </c>
      <c r="O701" s="70"/>
      <c r="P701" s="51"/>
      <c r="Q701" s="70"/>
      <c r="R701" s="52">
        <f t="shared" ref="R701:R710" si="275">IF(OR(P701="",L701="NO BET"),0,IF(AND(K701=P701),IF(AND(K701="T2"),ROUNDUP(H701*0.95,2)-1,ROUNDUP(G701*0.95,2)-1),-1))</f>
        <v>0</v>
      </c>
      <c r="S701" s="69"/>
      <c r="T701" s="241">
        <f>SUM(R701:R710)</f>
        <v>0</v>
      </c>
      <c r="U701" s="9"/>
    </row>
    <row r="702" spans="1:21" ht="15.75" customHeight="1" x14ac:dyDescent="0.2">
      <c r="A702" s="257" t="s">
        <v>35</v>
      </c>
      <c r="B702" s="246"/>
      <c r="C702" s="166"/>
      <c r="D702" s="53"/>
      <c r="E702" s="53"/>
      <c r="F702" s="53" t="str">
        <f t="shared" ref="F702:F710" si="276">IF(AND(C702=""),"",1-C702)</f>
        <v/>
      </c>
      <c r="G702" s="53"/>
      <c r="H702" s="53"/>
      <c r="I702" s="53" t="str">
        <f t="shared" ref="I702:I710" si="277">IF(AND(C702=""),"",G702*C702)</f>
        <v/>
      </c>
      <c r="J702" s="53" t="str">
        <f t="shared" ref="J702:J710" si="278">IF(AND(C702=""),"",H702*F702)</f>
        <v/>
      </c>
      <c r="K702" s="53" t="str">
        <f t="shared" si="273"/>
        <v/>
      </c>
      <c r="L702" s="55" t="str">
        <f t="shared" si="274"/>
        <v/>
      </c>
      <c r="M702" s="55"/>
      <c r="N702" s="281"/>
      <c r="O702" s="9"/>
      <c r="P702" s="56"/>
      <c r="Q702" s="69"/>
      <c r="R702" s="57">
        <f t="shared" si="275"/>
        <v>0</v>
      </c>
      <c r="S702" s="69"/>
      <c r="T702" s="241"/>
      <c r="U702" s="9"/>
    </row>
    <row r="703" spans="1:21" ht="15.75" customHeight="1" x14ac:dyDescent="0.2">
      <c r="A703" s="257"/>
      <c r="B703" s="246"/>
      <c r="C703" s="167"/>
      <c r="D703" s="7"/>
      <c r="E703" s="7"/>
      <c r="F703" s="7" t="str">
        <f t="shared" si="276"/>
        <v/>
      </c>
      <c r="G703" s="7"/>
      <c r="H703" s="7"/>
      <c r="I703" s="7" t="str">
        <f t="shared" si="277"/>
        <v/>
      </c>
      <c r="J703" s="7" t="str">
        <f t="shared" si="278"/>
        <v/>
      </c>
      <c r="K703" s="7" t="str">
        <f t="shared" si="273"/>
        <v/>
      </c>
      <c r="L703" s="59" t="str">
        <f t="shared" si="274"/>
        <v/>
      </c>
      <c r="M703" s="59"/>
      <c r="N703" s="281"/>
      <c r="O703" s="70"/>
      <c r="P703" s="56"/>
      <c r="Q703" s="69"/>
      <c r="R703" s="57">
        <f t="shared" si="275"/>
        <v>0</v>
      </c>
      <c r="S703" s="69"/>
      <c r="T703" s="241"/>
      <c r="U703" s="9"/>
    </row>
    <row r="704" spans="1:21" ht="15.75" customHeight="1" x14ac:dyDescent="0.2">
      <c r="A704" s="257"/>
      <c r="B704" s="246"/>
      <c r="C704" s="166"/>
      <c r="D704" s="53"/>
      <c r="E704" s="53"/>
      <c r="F704" s="53" t="str">
        <f t="shared" si="276"/>
        <v/>
      </c>
      <c r="G704" s="53"/>
      <c r="H704" s="53"/>
      <c r="I704" s="53" t="str">
        <f t="shared" si="277"/>
        <v/>
      </c>
      <c r="J704" s="53" t="str">
        <f t="shared" si="278"/>
        <v/>
      </c>
      <c r="K704" s="53" t="str">
        <f t="shared" si="273"/>
        <v/>
      </c>
      <c r="L704" s="55" t="str">
        <f t="shared" si="274"/>
        <v/>
      </c>
      <c r="M704" s="55"/>
      <c r="N704" s="281"/>
      <c r="O704" s="74"/>
      <c r="P704" s="56"/>
      <c r="Q704" s="69"/>
      <c r="R704" s="57">
        <f t="shared" si="275"/>
        <v>0</v>
      </c>
      <c r="S704" s="69"/>
      <c r="T704" s="241"/>
      <c r="U704" s="9"/>
    </row>
    <row r="705" spans="1:21" ht="15.75" customHeight="1" x14ac:dyDescent="0.2">
      <c r="A705" s="257"/>
      <c r="B705" s="246"/>
      <c r="C705" s="167"/>
      <c r="D705" s="7"/>
      <c r="E705" s="7"/>
      <c r="F705" s="7" t="str">
        <f t="shared" si="276"/>
        <v/>
      </c>
      <c r="G705" s="7"/>
      <c r="H705" s="7"/>
      <c r="I705" s="7" t="str">
        <f t="shared" si="277"/>
        <v/>
      </c>
      <c r="J705" s="7" t="str">
        <f t="shared" si="278"/>
        <v/>
      </c>
      <c r="K705" s="7" t="str">
        <f t="shared" si="273"/>
        <v/>
      </c>
      <c r="L705" s="60" t="str">
        <f t="shared" si="274"/>
        <v/>
      </c>
      <c r="M705" s="60"/>
      <c r="N705" s="281"/>
      <c r="O705" s="74"/>
      <c r="P705" s="56"/>
      <c r="Q705" s="69"/>
      <c r="R705" s="57">
        <f t="shared" si="275"/>
        <v>0</v>
      </c>
      <c r="S705" s="69"/>
      <c r="T705" s="241"/>
      <c r="U705" s="9"/>
    </row>
    <row r="706" spans="1:21" ht="15.75" customHeight="1" x14ac:dyDescent="0.2">
      <c r="A706" s="257"/>
      <c r="B706" s="246"/>
      <c r="C706" s="166"/>
      <c r="D706" s="53"/>
      <c r="E706" s="53"/>
      <c r="F706" s="53" t="str">
        <f t="shared" si="276"/>
        <v/>
      </c>
      <c r="G706" s="53"/>
      <c r="H706" s="53"/>
      <c r="I706" s="53" t="str">
        <f t="shared" si="277"/>
        <v/>
      </c>
      <c r="J706" s="53" t="str">
        <f t="shared" si="278"/>
        <v/>
      </c>
      <c r="K706" s="53" t="str">
        <f t="shared" si="273"/>
        <v/>
      </c>
      <c r="L706" s="55" t="str">
        <f t="shared" si="274"/>
        <v/>
      </c>
      <c r="M706" s="55"/>
      <c r="N706" s="281"/>
      <c r="O706" s="74"/>
      <c r="P706" s="56"/>
      <c r="Q706" s="69"/>
      <c r="R706" s="57">
        <f t="shared" si="275"/>
        <v>0</v>
      </c>
      <c r="S706" s="69"/>
      <c r="T706" s="241"/>
      <c r="U706" s="9"/>
    </row>
    <row r="707" spans="1:21" ht="15.75" customHeight="1" thickBot="1" x14ac:dyDescent="0.25">
      <c r="A707" s="257"/>
      <c r="B707" s="246"/>
      <c r="C707" s="167"/>
      <c r="D707" s="7"/>
      <c r="E707" s="7"/>
      <c r="F707" s="7" t="str">
        <f t="shared" si="276"/>
        <v/>
      </c>
      <c r="G707" s="7"/>
      <c r="H707" s="7"/>
      <c r="I707" s="7" t="str">
        <f t="shared" si="277"/>
        <v/>
      </c>
      <c r="J707" s="7" t="str">
        <f t="shared" si="278"/>
        <v/>
      </c>
      <c r="K707" s="7" t="str">
        <f t="shared" si="273"/>
        <v/>
      </c>
      <c r="L707" s="59" t="str">
        <f t="shared" si="274"/>
        <v/>
      </c>
      <c r="M707" s="59"/>
      <c r="N707" s="281"/>
      <c r="O707" s="9"/>
      <c r="P707" s="56"/>
      <c r="Q707" s="69"/>
      <c r="R707" s="57">
        <f t="shared" si="275"/>
        <v>0</v>
      </c>
      <c r="S707" s="69"/>
      <c r="T707" s="61" t="s">
        <v>31</v>
      </c>
      <c r="U707" s="9"/>
    </row>
    <row r="708" spans="1:21" ht="15.75" customHeight="1" x14ac:dyDescent="0.2">
      <c r="A708" s="257"/>
      <c r="B708" s="246"/>
      <c r="C708" s="166"/>
      <c r="D708" s="53"/>
      <c r="E708" s="53"/>
      <c r="F708" s="53" t="str">
        <f t="shared" si="276"/>
        <v/>
      </c>
      <c r="G708" s="53"/>
      <c r="H708" s="53"/>
      <c r="I708" s="53" t="str">
        <f t="shared" si="277"/>
        <v/>
      </c>
      <c r="J708" s="53" t="str">
        <f t="shared" si="278"/>
        <v/>
      </c>
      <c r="K708" s="53" t="str">
        <f t="shared" si="273"/>
        <v/>
      </c>
      <c r="L708" s="62" t="str">
        <f t="shared" si="274"/>
        <v/>
      </c>
      <c r="M708" s="62"/>
      <c r="N708" s="281"/>
      <c r="O708" s="9"/>
      <c r="P708" s="56"/>
      <c r="Q708" s="69"/>
      <c r="R708" s="57">
        <f t="shared" si="275"/>
        <v>0</v>
      </c>
      <c r="S708" s="69"/>
      <c r="T708" s="248">
        <f>IF(AND(NOT(N701=0)),T701/N701,0)</f>
        <v>0</v>
      </c>
      <c r="U708" s="9"/>
    </row>
    <row r="709" spans="1:21" ht="15.75" customHeight="1" x14ac:dyDescent="0.2">
      <c r="A709" s="257"/>
      <c r="B709" s="246"/>
      <c r="C709" s="167"/>
      <c r="D709" s="7"/>
      <c r="E709" s="7"/>
      <c r="F709" s="7" t="str">
        <f t="shared" si="276"/>
        <v/>
      </c>
      <c r="G709" s="7"/>
      <c r="H709" s="7"/>
      <c r="I709" s="7" t="str">
        <f t="shared" si="277"/>
        <v/>
      </c>
      <c r="J709" s="7" t="str">
        <f t="shared" si="278"/>
        <v/>
      </c>
      <c r="K709" s="7" t="str">
        <f t="shared" si="273"/>
        <v/>
      </c>
      <c r="L709" s="60" t="str">
        <f t="shared" si="274"/>
        <v/>
      </c>
      <c r="M709" s="60"/>
      <c r="N709" s="281"/>
      <c r="O709" s="9"/>
      <c r="P709" s="56"/>
      <c r="Q709" s="69"/>
      <c r="R709" s="57">
        <f t="shared" si="275"/>
        <v>0</v>
      </c>
      <c r="S709" s="69"/>
      <c r="T709" s="249"/>
      <c r="U709" s="9"/>
    </row>
    <row r="710" spans="1:21" ht="15.75" customHeight="1" thickBot="1" x14ac:dyDescent="0.25">
      <c r="A710" s="258"/>
      <c r="B710" s="247"/>
      <c r="C710" s="168"/>
      <c r="D710" s="63"/>
      <c r="E710" s="63"/>
      <c r="F710" s="63" t="str">
        <f t="shared" si="276"/>
        <v/>
      </c>
      <c r="G710" s="63"/>
      <c r="H710" s="63"/>
      <c r="I710" s="63" t="str">
        <f t="shared" si="277"/>
        <v/>
      </c>
      <c r="J710" s="63" t="str">
        <f t="shared" si="278"/>
        <v/>
      </c>
      <c r="K710" s="63" t="str">
        <f t="shared" si="273"/>
        <v/>
      </c>
      <c r="L710" s="65" t="str">
        <f t="shared" si="274"/>
        <v/>
      </c>
      <c r="M710" s="65"/>
      <c r="N710" s="282"/>
      <c r="O710" s="9"/>
      <c r="P710" s="66"/>
      <c r="Q710" s="9"/>
      <c r="R710" s="67">
        <f t="shared" si="275"/>
        <v>0</v>
      </c>
      <c r="S710" s="9"/>
      <c r="T710" s="250"/>
      <c r="U710" s="9"/>
    </row>
    <row r="711" spans="1:21" ht="15.75" customHeight="1" x14ac:dyDescent="0.2">
      <c r="A711" s="9"/>
      <c r="B711" s="9"/>
      <c r="C711" s="11"/>
      <c r="D711" s="9"/>
      <c r="E711" s="9"/>
      <c r="F711" s="9"/>
      <c r="G711" s="9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10"/>
      <c r="S711" s="9"/>
      <c r="T711" s="11"/>
      <c r="U711" s="9"/>
    </row>
    <row r="712" spans="1:21" ht="15.75" customHeight="1" x14ac:dyDescent="0.2">
      <c r="A712" s="9"/>
      <c r="B712" s="9"/>
      <c r="C712" s="11"/>
      <c r="D712" s="9"/>
      <c r="E712" s="9"/>
      <c r="F712" s="9"/>
      <c r="G712" s="9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10"/>
      <c r="S712" s="9"/>
      <c r="T712" s="11"/>
      <c r="U712" s="9"/>
    </row>
    <row r="713" spans="1:21" ht="15.75" customHeight="1" thickBot="1" x14ac:dyDescent="0.25">
      <c r="A713" s="9"/>
      <c r="B713" s="9"/>
      <c r="C713" s="11"/>
      <c r="D713" s="9"/>
      <c r="E713" s="9"/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10"/>
      <c r="S713" s="9"/>
      <c r="T713" s="11"/>
      <c r="U713" s="9"/>
    </row>
    <row r="714" spans="1:21" ht="15.75" customHeight="1" thickBot="1" x14ac:dyDescent="0.3">
      <c r="A714" s="79" t="s">
        <v>6</v>
      </c>
      <c r="B714" s="245" t="s">
        <v>26</v>
      </c>
      <c r="C714" s="171"/>
      <c r="D714" s="43" t="s">
        <v>9</v>
      </c>
      <c r="E714" s="43" t="s">
        <v>10</v>
      </c>
      <c r="F714" s="43" t="s">
        <v>11</v>
      </c>
      <c r="G714" s="43" t="s">
        <v>12</v>
      </c>
      <c r="H714" s="43" t="s">
        <v>13</v>
      </c>
      <c r="I714" s="43" t="s">
        <v>14</v>
      </c>
      <c r="J714" s="43" t="s">
        <v>15</v>
      </c>
      <c r="K714" s="43" t="s">
        <v>33</v>
      </c>
      <c r="L714" s="43" t="s">
        <v>16</v>
      </c>
      <c r="M714" s="43"/>
      <c r="N714" s="44" t="s">
        <v>17</v>
      </c>
      <c r="O714" s="70"/>
      <c r="P714" s="45" t="s">
        <v>18</v>
      </c>
      <c r="Q714" s="69"/>
      <c r="R714" s="46" t="s">
        <v>34</v>
      </c>
      <c r="S714" s="69"/>
      <c r="T714" s="47" t="s">
        <v>29</v>
      </c>
      <c r="U714" s="9"/>
    </row>
    <row r="715" spans="1:21" ht="15.75" customHeight="1" x14ac:dyDescent="0.2">
      <c r="A715" s="80"/>
      <c r="B715" s="246"/>
      <c r="C715" s="161"/>
      <c r="D715" s="48"/>
      <c r="E715" s="48"/>
      <c r="F715" s="48" t="str">
        <f>IF(AND(C715=""),"",1-C715)</f>
        <v/>
      </c>
      <c r="G715" s="48"/>
      <c r="H715" s="48"/>
      <c r="I715" s="48" t="str">
        <f>IF(AND(C715=""),"",G715*C715)</f>
        <v/>
      </c>
      <c r="J715" s="48" t="str">
        <f>IF(AND(C715=""),"",H715*F715)</f>
        <v/>
      </c>
      <c r="K715" s="48" t="str">
        <f>IF(AND(I715=""),"",IF(AND(I715&gt;J715),"T1","T2"))</f>
        <v/>
      </c>
      <c r="L715" s="50" t="str">
        <f>IF(AND(K715=""),"",IF(AND((J715*0.95-1)&lt;0,(I715*0.95-1)&lt;0),"NO BET", IF(AND(K715="T1"),I715*0.95 - 1,J715*0.95 - 1)))</f>
        <v/>
      </c>
      <c r="M715" s="50"/>
      <c r="N715" s="280">
        <f>SUMIF(L715:L724,"&gt;0")</f>
        <v>0</v>
      </c>
      <c r="O715" s="70"/>
      <c r="P715" s="51"/>
      <c r="Q715" s="70"/>
      <c r="R715" s="52">
        <f t="shared" ref="R715:R724" si="279">IF(OR(P715="",L715="NO BET"),0,IF(AND(K715=P715),IF(AND(K715="T2"),ROUNDUP(H715*0.95,2)-1,ROUNDUP(G715*0.95,2)-1),-1))</f>
        <v>0</v>
      </c>
      <c r="S715" s="69"/>
      <c r="T715" s="241">
        <f>SUM(R715:R724)</f>
        <v>0</v>
      </c>
      <c r="U715" s="9"/>
    </row>
    <row r="716" spans="1:21" ht="15.75" customHeight="1" x14ac:dyDescent="0.2">
      <c r="A716" s="257" t="s">
        <v>35</v>
      </c>
      <c r="B716" s="246"/>
      <c r="C716" s="162"/>
      <c r="D716" s="53"/>
      <c r="E716" s="53"/>
      <c r="F716" s="53" t="str">
        <f t="shared" ref="F716:F724" si="280">IF(AND(C716=""),"",1-C716)</f>
        <v/>
      </c>
      <c r="G716" s="53"/>
      <c r="H716" s="53"/>
      <c r="I716" s="53" t="str">
        <f t="shared" ref="I716:I724" si="281">IF(AND(C716=""),"",G716*C716)</f>
        <v/>
      </c>
      <c r="J716" s="53" t="str">
        <f t="shared" ref="J716:J724" si="282">IF(AND(C716=""),"",H716*F716)</f>
        <v/>
      </c>
      <c r="K716" s="53" t="str">
        <f>IF(AND(I716=""),"",IF(AND(I716&gt;J716),"T1","T2"))</f>
        <v/>
      </c>
      <c r="L716" s="55" t="str">
        <f>IF(AND(K716=""),"",IF(AND((J716*0.95-1)&lt;0,(I716*0.95-1)&lt;0),"NO BET", IF(AND(K716="T1"),I716*0.95 - 1,J716*0.95 - 1)))</f>
        <v/>
      </c>
      <c r="M716" s="55"/>
      <c r="N716" s="281"/>
      <c r="O716" s="9"/>
      <c r="P716" s="56"/>
      <c r="Q716" s="69"/>
      <c r="R716" s="57">
        <f t="shared" si="279"/>
        <v>0</v>
      </c>
      <c r="S716" s="69"/>
      <c r="T716" s="241"/>
      <c r="U716" s="9"/>
    </row>
    <row r="717" spans="1:21" ht="15.75" customHeight="1" x14ac:dyDescent="0.2">
      <c r="A717" s="257"/>
      <c r="B717" s="246"/>
      <c r="C717" s="163"/>
      <c r="D717" s="7"/>
      <c r="E717" s="7"/>
      <c r="F717" s="7" t="str">
        <f t="shared" si="280"/>
        <v/>
      </c>
      <c r="G717" s="7"/>
      <c r="H717" s="7"/>
      <c r="I717" s="7" t="str">
        <f t="shared" si="281"/>
        <v/>
      </c>
      <c r="J717" s="7" t="str">
        <f t="shared" si="282"/>
        <v/>
      </c>
      <c r="K717" s="7" t="str">
        <f>IF(AND(I717=""),"",IF(AND(I717&gt;J717),"T1","T2"))</f>
        <v/>
      </c>
      <c r="L717" s="59" t="str">
        <f>IF(AND(K717=""),"",IF(AND((J717*0.95-1)&lt;0,(I717*0.95-1)&lt;0),"NO BET", IF(AND(K717="T1"),I717*0.95 - 1,J717*0.95 - 1)))</f>
        <v/>
      </c>
      <c r="M717" s="59"/>
      <c r="N717" s="281"/>
      <c r="O717" s="70"/>
      <c r="P717" s="56"/>
      <c r="Q717" s="69"/>
      <c r="R717" s="57">
        <f t="shared" si="279"/>
        <v>0</v>
      </c>
      <c r="S717" s="69"/>
      <c r="T717" s="241"/>
      <c r="U717" s="9"/>
    </row>
    <row r="718" spans="1:21" ht="15.75" customHeight="1" x14ac:dyDescent="0.2">
      <c r="A718" s="257"/>
      <c r="B718" s="246"/>
      <c r="C718" s="162"/>
      <c r="D718" s="53"/>
      <c r="E718" s="53"/>
      <c r="F718" s="53" t="str">
        <f t="shared" si="280"/>
        <v/>
      </c>
      <c r="G718" s="53"/>
      <c r="H718" s="53"/>
      <c r="I718" s="53" t="str">
        <f t="shared" si="281"/>
        <v/>
      </c>
      <c r="J718" s="53" t="str">
        <f t="shared" si="282"/>
        <v/>
      </c>
      <c r="K718" s="53" t="str">
        <f>IF(AND(I718=""),"",IF(AND(I718&gt;J718),"T1","T2"))</f>
        <v/>
      </c>
      <c r="L718" s="55" t="str">
        <f>IF(AND(K718=""),"",IF(AND((J718*0.95-1)&lt;0,(I718*0.95-1)&lt;0),"NO BET", IF(AND(K718="T1"),I718*0.95 - 1,J718*0.95 - 1)))</f>
        <v/>
      </c>
      <c r="M718" s="55"/>
      <c r="N718" s="281"/>
      <c r="O718" s="74"/>
      <c r="P718" s="56"/>
      <c r="Q718" s="69"/>
      <c r="R718" s="57">
        <f t="shared" si="279"/>
        <v>0</v>
      </c>
      <c r="S718" s="69"/>
      <c r="T718" s="241"/>
      <c r="U718" s="9"/>
    </row>
    <row r="719" spans="1:21" ht="15.75" customHeight="1" x14ac:dyDescent="0.2">
      <c r="A719" s="257"/>
      <c r="B719" s="246"/>
      <c r="C719" s="163"/>
      <c r="D719" s="7"/>
      <c r="E719" s="7"/>
      <c r="F719" s="7" t="str">
        <f t="shared" si="280"/>
        <v/>
      </c>
      <c r="G719" s="7"/>
      <c r="H719" s="7"/>
      <c r="I719" s="7" t="str">
        <f t="shared" si="281"/>
        <v/>
      </c>
      <c r="J719" s="7" t="str">
        <f t="shared" si="282"/>
        <v/>
      </c>
      <c r="K719" s="7" t="str">
        <f>IF(AND(I719=""),"",IF(AND(I719&gt;J719),"T1","T2"))</f>
        <v/>
      </c>
      <c r="L719" s="60" t="str">
        <f>IF(AND(K719=""),"",IF(AND((J719*0.95-1)&lt;0,(I719*0.95-1)&lt;0),"NO BET", IF(AND(K719="T1"),I719*0.95 - 1,J719*0.95 - 1)))</f>
        <v/>
      </c>
      <c r="M719" s="60"/>
      <c r="N719" s="281"/>
      <c r="O719" s="74"/>
      <c r="P719" s="56"/>
      <c r="Q719" s="69"/>
      <c r="R719" s="57">
        <f t="shared" si="279"/>
        <v>0</v>
      </c>
      <c r="S719" s="69"/>
      <c r="T719" s="241"/>
      <c r="U719" s="9"/>
    </row>
    <row r="720" spans="1:21" ht="15.75" customHeight="1" x14ac:dyDescent="0.2">
      <c r="A720" s="257"/>
      <c r="B720" s="246"/>
      <c r="C720" s="162"/>
      <c r="D720" s="53"/>
      <c r="E720" s="53"/>
      <c r="F720" s="53"/>
      <c r="G720" s="53"/>
      <c r="H720" s="53"/>
      <c r="I720" s="53"/>
      <c r="J720" s="53"/>
      <c r="K720" s="53"/>
      <c r="L720" s="55"/>
      <c r="M720" s="55"/>
      <c r="N720" s="281"/>
      <c r="O720" s="74"/>
      <c r="P720" s="56"/>
      <c r="Q720" s="69"/>
      <c r="R720" s="57">
        <f t="shared" si="279"/>
        <v>0</v>
      </c>
      <c r="S720" s="69"/>
      <c r="T720" s="241"/>
      <c r="U720" s="9"/>
    </row>
    <row r="721" spans="1:21" ht="15.75" customHeight="1" thickBot="1" x14ac:dyDescent="0.25">
      <c r="A721" s="257"/>
      <c r="B721" s="246"/>
      <c r="C721" s="163"/>
      <c r="D721" s="7"/>
      <c r="E721" s="7"/>
      <c r="F721" s="7" t="str">
        <f t="shared" si="280"/>
        <v/>
      </c>
      <c r="G721" s="7"/>
      <c r="H721" s="7"/>
      <c r="I721" s="7" t="str">
        <f t="shared" si="281"/>
        <v/>
      </c>
      <c r="J721" s="7" t="str">
        <f t="shared" si="282"/>
        <v/>
      </c>
      <c r="K721" s="7" t="str">
        <f>IF(AND(I721=""),"",IF(AND(I721&gt;J721),"T1","T2"))</f>
        <v/>
      </c>
      <c r="L721" s="59" t="str">
        <f>IF(AND(K721=""),"",IF(AND((J721*0.95-1)&lt;0,(I721*0.95-1)&lt;0),"NO BET", IF(AND(K721="T1"),I721*0.95 - 1,J721*0.95 - 1)))</f>
        <v/>
      </c>
      <c r="M721" s="59"/>
      <c r="N721" s="281"/>
      <c r="O721" s="9"/>
      <c r="P721" s="56"/>
      <c r="Q721" s="69"/>
      <c r="R721" s="57">
        <f t="shared" si="279"/>
        <v>0</v>
      </c>
      <c r="S721" s="69"/>
      <c r="T721" s="61" t="s">
        <v>31</v>
      </c>
      <c r="U721" s="9"/>
    </row>
    <row r="722" spans="1:21" ht="15.75" customHeight="1" x14ac:dyDescent="0.2">
      <c r="A722" s="257"/>
      <c r="B722" s="246"/>
      <c r="C722" s="162"/>
      <c r="D722" s="53"/>
      <c r="E722" s="53"/>
      <c r="F722" s="53" t="str">
        <f t="shared" si="280"/>
        <v/>
      </c>
      <c r="G722" s="53"/>
      <c r="H722" s="53"/>
      <c r="I722" s="53" t="str">
        <f t="shared" si="281"/>
        <v/>
      </c>
      <c r="J722" s="53" t="str">
        <f t="shared" si="282"/>
        <v/>
      </c>
      <c r="K722" s="53" t="str">
        <f>IF(AND(I722=""),"",IF(AND(I722&gt;J722),"T1","T2"))</f>
        <v/>
      </c>
      <c r="L722" s="62" t="str">
        <f>IF(AND(K722=""),"",IF(AND((J722*0.95-1)&lt;0,(I722*0.95-1)&lt;0),"NO BET", IF(AND(K722="T1"),I722*0.95 - 1,J722*0.95 - 1)))</f>
        <v/>
      </c>
      <c r="M722" s="62"/>
      <c r="N722" s="281"/>
      <c r="O722" s="9"/>
      <c r="P722" s="56"/>
      <c r="Q722" s="69"/>
      <c r="R722" s="57">
        <f t="shared" si="279"/>
        <v>0</v>
      </c>
      <c r="S722" s="69"/>
      <c r="T722" s="248">
        <f>IF(AND(NOT(N715=0)),T715/N715,0)</f>
        <v>0</v>
      </c>
      <c r="U722" s="9"/>
    </row>
    <row r="723" spans="1:21" ht="15.75" customHeight="1" x14ac:dyDescent="0.2">
      <c r="A723" s="257"/>
      <c r="B723" s="246"/>
      <c r="C723" s="163"/>
      <c r="D723" s="7"/>
      <c r="E723" s="7"/>
      <c r="F723" s="7" t="str">
        <f t="shared" si="280"/>
        <v/>
      </c>
      <c r="G723" s="7"/>
      <c r="H723" s="7"/>
      <c r="I723" s="7" t="str">
        <f t="shared" si="281"/>
        <v/>
      </c>
      <c r="J723" s="7" t="str">
        <f t="shared" si="282"/>
        <v/>
      </c>
      <c r="K723" s="7" t="str">
        <f>IF(AND(I723=""),"",IF(AND(I723&gt;J723),"T1","T2"))</f>
        <v/>
      </c>
      <c r="L723" s="60" t="str">
        <f>IF(AND(K723=""),"",IF(AND((J723*0.95-1)&lt;0,(I723*0.95-1)&lt;0),"NO BET", IF(AND(K723="T1"),I723*0.95 - 1,J723*0.95 - 1)))</f>
        <v/>
      </c>
      <c r="M723" s="60"/>
      <c r="N723" s="281"/>
      <c r="O723" s="9"/>
      <c r="P723" s="56"/>
      <c r="Q723" s="69"/>
      <c r="R723" s="57">
        <f t="shared" si="279"/>
        <v>0</v>
      </c>
      <c r="S723" s="69"/>
      <c r="T723" s="249"/>
      <c r="U723" s="9"/>
    </row>
    <row r="724" spans="1:21" ht="15.75" customHeight="1" thickBot="1" x14ac:dyDescent="0.25">
      <c r="A724" s="258"/>
      <c r="B724" s="247"/>
      <c r="C724" s="164"/>
      <c r="D724" s="63"/>
      <c r="E724" s="63"/>
      <c r="F724" s="63" t="str">
        <f t="shared" si="280"/>
        <v/>
      </c>
      <c r="G724" s="63"/>
      <c r="H724" s="63"/>
      <c r="I724" s="63" t="str">
        <f t="shared" si="281"/>
        <v/>
      </c>
      <c r="J724" s="63" t="str">
        <f t="shared" si="282"/>
        <v/>
      </c>
      <c r="K724" s="63" t="str">
        <f>IF(AND(I724=""),"",IF(AND(I724&gt;J724),"T1","T2"))</f>
        <v/>
      </c>
      <c r="L724" s="65" t="str">
        <f>IF(AND(K724=""),"",IF(AND((J724*0.95-1)&lt;0,(I724*0.95-1)&lt;0),"NO BET", IF(AND(K724="T1"),I724*0.95 - 1,J724*0.95 - 1)))</f>
        <v/>
      </c>
      <c r="M724" s="65"/>
      <c r="N724" s="282"/>
      <c r="O724" s="9"/>
      <c r="P724" s="66"/>
      <c r="Q724" s="9"/>
      <c r="R724" s="67">
        <f t="shared" si="279"/>
        <v>0</v>
      </c>
      <c r="S724" s="9"/>
      <c r="T724" s="250"/>
      <c r="U724" s="9"/>
    </row>
    <row r="725" spans="1:21" ht="15.75" customHeight="1" x14ac:dyDescent="0.2">
      <c r="A725" s="9"/>
      <c r="B725" s="9"/>
      <c r="C725" s="11"/>
      <c r="D725" s="9"/>
      <c r="E725" s="9"/>
      <c r="F725" s="9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10"/>
      <c r="S725" s="9"/>
      <c r="T725" s="11"/>
      <c r="U725" s="9"/>
    </row>
    <row r="726" spans="1:21" ht="15.75" customHeight="1" x14ac:dyDescent="0.2">
      <c r="A726" s="9"/>
      <c r="B726" s="9"/>
      <c r="C726" s="11"/>
      <c r="D726" s="9"/>
      <c r="E726" s="9"/>
      <c r="F726" s="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10"/>
      <c r="S726" s="9"/>
      <c r="T726" s="11"/>
      <c r="U726" s="9"/>
    </row>
    <row r="727" spans="1:21" ht="15.75" customHeight="1" thickBot="1" x14ac:dyDescent="0.25">
      <c r="A727" s="9"/>
      <c r="B727" s="9"/>
      <c r="C727" s="11"/>
      <c r="D727" s="9"/>
      <c r="E727" s="9"/>
      <c r="F727" s="9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10"/>
      <c r="S727" s="9"/>
      <c r="T727" s="11"/>
      <c r="U727" s="9"/>
    </row>
    <row r="728" spans="1:21" ht="15.75" customHeight="1" thickBot="1" x14ac:dyDescent="0.3">
      <c r="A728" s="79" t="s">
        <v>6</v>
      </c>
      <c r="B728" s="245" t="s">
        <v>27</v>
      </c>
      <c r="C728" s="171"/>
      <c r="D728" s="43" t="s">
        <v>9</v>
      </c>
      <c r="E728" s="43" t="s">
        <v>10</v>
      </c>
      <c r="F728" s="43" t="s">
        <v>11</v>
      </c>
      <c r="G728" s="43" t="s">
        <v>12</v>
      </c>
      <c r="H728" s="43" t="s">
        <v>13</v>
      </c>
      <c r="I728" s="43" t="s">
        <v>14</v>
      </c>
      <c r="J728" s="43" t="s">
        <v>15</v>
      </c>
      <c r="K728" s="43" t="s">
        <v>33</v>
      </c>
      <c r="L728" s="43" t="s">
        <v>16</v>
      </c>
      <c r="M728" s="43"/>
      <c r="N728" s="44" t="s">
        <v>17</v>
      </c>
      <c r="O728" s="70"/>
      <c r="P728" s="45" t="s">
        <v>18</v>
      </c>
      <c r="Q728" s="69"/>
      <c r="R728" s="46" t="s">
        <v>34</v>
      </c>
      <c r="S728" s="69"/>
      <c r="T728" s="47" t="s">
        <v>29</v>
      </c>
      <c r="U728" s="9"/>
    </row>
    <row r="729" spans="1:21" ht="15.75" customHeight="1" x14ac:dyDescent="0.2">
      <c r="A729" s="80"/>
      <c r="B729" s="246"/>
      <c r="C729" s="161"/>
      <c r="D729" s="48"/>
      <c r="E729" s="48"/>
      <c r="F729" s="48" t="str">
        <f>IF(AND(C729=""),"",1-C729)</f>
        <v/>
      </c>
      <c r="G729" s="48"/>
      <c r="H729" s="48"/>
      <c r="I729" s="48" t="str">
        <f>IF(AND(C729=""),"",G729*C729)</f>
        <v/>
      </c>
      <c r="J729" s="48" t="str">
        <f>IF(AND(C729=""),"",H729*F729)</f>
        <v/>
      </c>
      <c r="K729" s="48" t="str">
        <f t="shared" ref="K729:K738" si="283">IF(AND(I729=""),"",IF(AND(I729&gt;J729),"T1","T2"))</f>
        <v/>
      </c>
      <c r="L729" s="50" t="str">
        <f t="shared" ref="L729:L738" si="284">IF(AND(K729=""),"",IF(AND((J729*0.95-1)&lt;0,(I729*0.95-1)&lt;0),"NO BET", IF(AND(K729="T1"),I729*0.95 - 1,J729*0.95 - 1)))</f>
        <v/>
      </c>
      <c r="M729" s="50"/>
      <c r="N729" s="280">
        <f>SUMIF(L729:L738,"&gt;0")</f>
        <v>0</v>
      </c>
      <c r="O729" s="70"/>
      <c r="P729" s="51"/>
      <c r="Q729" s="70"/>
      <c r="R729" s="52">
        <f t="shared" ref="R729:R738" si="285">IF(OR(P729="",L729="NO BET"),0,IF(AND(K729=P729),IF(AND(K729="T2"),ROUNDUP(H729*0.95,2)-1,ROUNDUP(G729*0.95,2)-1),-1))</f>
        <v>0</v>
      </c>
      <c r="S729" s="69"/>
      <c r="T729" s="241">
        <f>SUM(R729:R738)</f>
        <v>0</v>
      </c>
      <c r="U729" s="9"/>
    </row>
    <row r="730" spans="1:21" ht="15.75" customHeight="1" x14ac:dyDescent="0.2">
      <c r="A730" s="257" t="s">
        <v>35</v>
      </c>
      <c r="B730" s="246"/>
      <c r="C730" s="162"/>
      <c r="D730" s="53"/>
      <c r="E730" s="53"/>
      <c r="F730" s="53" t="str">
        <f t="shared" ref="F730:F738" si="286">IF(AND(C730=""),"",1-C730)</f>
        <v/>
      </c>
      <c r="G730" s="53"/>
      <c r="H730" s="53"/>
      <c r="I730" s="53" t="str">
        <f t="shared" ref="I730:I738" si="287">IF(AND(C730=""),"",G730*C730)</f>
        <v/>
      </c>
      <c r="J730" s="53" t="str">
        <f t="shared" ref="J730:J738" si="288">IF(AND(C730=""),"",H730*F730)</f>
        <v/>
      </c>
      <c r="K730" s="53" t="str">
        <f t="shared" si="283"/>
        <v/>
      </c>
      <c r="L730" s="55" t="str">
        <f t="shared" si="284"/>
        <v/>
      </c>
      <c r="M730" s="55"/>
      <c r="N730" s="281"/>
      <c r="O730" s="9"/>
      <c r="P730" s="56"/>
      <c r="Q730" s="69"/>
      <c r="R730" s="57">
        <f t="shared" si="285"/>
        <v>0</v>
      </c>
      <c r="S730" s="69"/>
      <c r="T730" s="241"/>
      <c r="U730" s="9"/>
    </row>
    <row r="731" spans="1:21" ht="15.75" customHeight="1" x14ac:dyDescent="0.2">
      <c r="A731" s="257"/>
      <c r="B731" s="246"/>
      <c r="C731" s="163"/>
      <c r="D731" s="7"/>
      <c r="E731" s="7"/>
      <c r="F731" s="7" t="str">
        <f t="shared" si="286"/>
        <v/>
      </c>
      <c r="G731" s="7"/>
      <c r="H731" s="7"/>
      <c r="I731" s="7" t="str">
        <f t="shared" si="287"/>
        <v/>
      </c>
      <c r="J731" s="7" t="str">
        <f t="shared" si="288"/>
        <v/>
      </c>
      <c r="K731" s="7" t="str">
        <f t="shared" si="283"/>
        <v/>
      </c>
      <c r="L731" s="59" t="str">
        <f t="shared" si="284"/>
        <v/>
      </c>
      <c r="M731" s="59"/>
      <c r="N731" s="281"/>
      <c r="O731" s="70"/>
      <c r="P731" s="56"/>
      <c r="Q731" s="69"/>
      <c r="R731" s="57">
        <f t="shared" si="285"/>
        <v>0</v>
      </c>
      <c r="S731" s="69"/>
      <c r="T731" s="241"/>
      <c r="U731" s="9"/>
    </row>
    <row r="732" spans="1:21" ht="15.75" customHeight="1" x14ac:dyDescent="0.2">
      <c r="A732" s="257"/>
      <c r="B732" s="246"/>
      <c r="C732" s="162"/>
      <c r="D732" s="53"/>
      <c r="E732" s="53"/>
      <c r="F732" s="53" t="str">
        <f t="shared" si="286"/>
        <v/>
      </c>
      <c r="G732" s="53"/>
      <c r="H732" s="53"/>
      <c r="I732" s="53" t="str">
        <f t="shared" si="287"/>
        <v/>
      </c>
      <c r="J732" s="53" t="str">
        <f t="shared" si="288"/>
        <v/>
      </c>
      <c r="K732" s="53" t="str">
        <f t="shared" si="283"/>
        <v/>
      </c>
      <c r="L732" s="55" t="str">
        <f t="shared" si="284"/>
        <v/>
      </c>
      <c r="M732" s="55"/>
      <c r="N732" s="281"/>
      <c r="O732" s="74"/>
      <c r="P732" s="56"/>
      <c r="Q732" s="69"/>
      <c r="R732" s="57">
        <f t="shared" si="285"/>
        <v>0</v>
      </c>
      <c r="S732" s="69"/>
      <c r="T732" s="241"/>
      <c r="U732" s="9"/>
    </row>
    <row r="733" spans="1:21" ht="15.75" customHeight="1" x14ac:dyDescent="0.2">
      <c r="A733" s="257"/>
      <c r="B733" s="246"/>
      <c r="C733" s="163"/>
      <c r="D733" s="7"/>
      <c r="E733" s="7"/>
      <c r="F733" s="7" t="str">
        <f t="shared" si="286"/>
        <v/>
      </c>
      <c r="G733" s="7"/>
      <c r="H733" s="7"/>
      <c r="I733" s="7" t="str">
        <f t="shared" si="287"/>
        <v/>
      </c>
      <c r="J733" s="7" t="str">
        <f t="shared" si="288"/>
        <v/>
      </c>
      <c r="K733" s="7" t="str">
        <f t="shared" si="283"/>
        <v/>
      </c>
      <c r="L733" s="60" t="str">
        <f t="shared" si="284"/>
        <v/>
      </c>
      <c r="M733" s="60"/>
      <c r="N733" s="281"/>
      <c r="O733" s="74"/>
      <c r="P733" s="56"/>
      <c r="Q733" s="69"/>
      <c r="R733" s="57">
        <f t="shared" si="285"/>
        <v>0</v>
      </c>
      <c r="S733" s="69"/>
      <c r="T733" s="241"/>
      <c r="U733" s="9"/>
    </row>
    <row r="734" spans="1:21" ht="15.75" customHeight="1" x14ac:dyDescent="0.2">
      <c r="A734" s="257"/>
      <c r="B734" s="246"/>
      <c r="C734" s="162"/>
      <c r="D734" s="53"/>
      <c r="E734" s="53"/>
      <c r="F734" s="53" t="str">
        <f t="shared" si="286"/>
        <v/>
      </c>
      <c r="G734" s="53"/>
      <c r="H734" s="53"/>
      <c r="I734" s="53" t="str">
        <f t="shared" si="287"/>
        <v/>
      </c>
      <c r="J734" s="53" t="str">
        <f t="shared" si="288"/>
        <v/>
      </c>
      <c r="K734" s="53" t="str">
        <f t="shared" si="283"/>
        <v/>
      </c>
      <c r="L734" s="55" t="str">
        <f t="shared" si="284"/>
        <v/>
      </c>
      <c r="M734" s="55"/>
      <c r="N734" s="281"/>
      <c r="O734" s="74"/>
      <c r="P734" s="56"/>
      <c r="Q734" s="69"/>
      <c r="R734" s="57">
        <f t="shared" si="285"/>
        <v>0</v>
      </c>
      <c r="S734" s="69"/>
      <c r="T734" s="241"/>
      <c r="U734" s="9"/>
    </row>
    <row r="735" spans="1:21" ht="15.75" customHeight="1" thickBot="1" x14ac:dyDescent="0.25">
      <c r="A735" s="257"/>
      <c r="B735" s="246"/>
      <c r="C735" s="163"/>
      <c r="D735" s="7"/>
      <c r="E735" s="7"/>
      <c r="F735" s="7" t="str">
        <f t="shared" si="286"/>
        <v/>
      </c>
      <c r="G735" s="7"/>
      <c r="H735" s="7"/>
      <c r="I735" s="7" t="str">
        <f t="shared" si="287"/>
        <v/>
      </c>
      <c r="J735" s="7" t="str">
        <f t="shared" si="288"/>
        <v/>
      </c>
      <c r="K735" s="7" t="str">
        <f t="shared" si="283"/>
        <v/>
      </c>
      <c r="L735" s="59" t="str">
        <f t="shared" si="284"/>
        <v/>
      </c>
      <c r="M735" s="59"/>
      <c r="N735" s="281"/>
      <c r="O735" s="9"/>
      <c r="P735" s="56"/>
      <c r="Q735" s="69"/>
      <c r="R735" s="57">
        <f t="shared" si="285"/>
        <v>0</v>
      </c>
      <c r="S735" s="69"/>
      <c r="T735" s="61" t="s">
        <v>31</v>
      </c>
      <c r="U735" s="9"/>
    </row>
    <row r="736" spans="1:21" ht="15.75" customHeight="1" x14ac:dyDescent="0.2">
      <c r="A736" s="257"/>
      <c r="B736" s="246"/>
      <c r="C736" s="162"/>
      <c r="D736" s="53"/>
      <c r="E736" s="53"/>
      <c r="F736" s="53" t="str">
        <f t="shared" si="286"/>
        <v/>
      </c>
      <c r="G736" s="53"/>
      <c r="H736" s="53"/>
      <c r="I736" s="53" t="str">
        <f t="shared" si="287"/>
        <v/>
      </c>
      <c r="J736" s="53" t="str">
        <f t="shared" si="288"/>
        <v/>
      </c>
      <c r="K736" s="53" t="str">
        <f t="shared" si="283"/>
        <v/>
      </c>
      <c r="L736" s="62" t="str">
        <f t="shared" si="284"/>
        <v/>
      </c>
      <c r="M736" s="62"/>
      <c r="N736" s="281"/>
      <c r="O736" s="9"/>
      <c r="P736" s="56"/>
      <c r="Q736" s="69"/>
      <c r="R736" s="57">
        <f t="shared" si="285"/>
        <v>0</v>
      </c>
      <c r="S736" s="69"/>
      <c r="T736" s="248">
        <f>IF(AND(NOT(N729=0)),T729/N729,0)</f>
        <v>0</v>
      </c>
      <c r="U736" s="9"/>
    </row>
    <row r="737" spans="1:21" ht="15.75" customHeight="1" x14ac:dyDescent="0.2">
      <c r="A737" s="257"/>
      <c r="B737" s="246"/>
      <c r="C737" s="163"/>
      <c r="D737" s="7"/>
      <c r="E737" s="7"/>
      <c r="F737" s="7" t="str">
        <f t="shared" si="286"/>
        <v/>
      </c>
      <c r="G737" s="7"/>
      <c r="H737" s="7"/>
      <c r="I737" s="7" t="str">
        <f t="shared" si="287"/>
        <v/>
      </c>
      <c r="J737" s="7" t="str">
        <f t="shared" si="288"/>
        <v/>
      </c>
      <c r="K737" s="7" t="str">
        <f t="shared" si="283"/>
        <v/>
      </c>
      <c r="L737" s="60" t="str">
        <f t="shared" si="284"/>
        <v/>
      </c>
      <c r="M737" s="60"/>
      <c r="N737" s="281"/>
      <c r="O737" s="9"/>
      <c r="P737" s="56"/>
      <c r="Q737" s="69"/>
      <c r="R737" s="57">
        <f t="shared" si="285"/>
        <v>0</v>
      </c>
      <c r="S737" s="69"/>
      <c r="T737" s="249"/>
      <c r="U737" s="9"/>
    </row>
    <row r="738" spans="1:21" ht="15.75" customHeight="1" thickBot="1" x14ac:dyDescent="0.25">
      <c r="A738" s="258"/>
      <c r="B738" s="247"/>
      <c r="C738" s="164"/>
      <c r="D738" s="63"/>
      <c r="E738" s="63"/>
      <c r="F738" s="63" t="str">
        <f t="shared" si="286"/>
        <v/>
      </c>
      <c r="G738" s="63"/>
      <c r="H738" s="63"/>
      <c r="I738" s="63" t="str">
        <f t="shared" si="287"/>
        <v/>
      </c>
      <c r="J738" s="63" t="str">
        <f t="shared" si="288"/>
        <v/>
      </c>
      <c r="K738" s="63" t="str">
        <f t="shared" si="283"/>
        <v/>
      </c>
      <c r="L738" s="65" t="str">
        <f t="shared" si="284"/>
        <v/>
      </c>
      <c r="M738" s="65"/>
      <c r="N738" s="282"/>
      <c r="O738" s="9"/>
      <c r="P738" s="66"/>
      <c r="Q738" s="9"/>
      <c r="R738" s="67">
        <f t="shared" si="285"/>
        <v>0</v>
      </c>
      <c r="S738" s="9"/>
      <c r="T738" s="250"/>
      <c r="U738" s="9"/>
    </row>
    <row r="739" spans="1:21" ht="15.75" customHeight="1" x14ac:dyDescent="0.2">
      <c r="A739" s="9"/>
      <c r="B739" s="9"/>
      <c r="C739" s="11"/>
      <c r="D739" s="9"/>
      <c r="E739" s="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10"/>
      <c r="S739" s="9"/>
      <c r="T739" s="11"/>
      <c r="U739" s="9"/>
    </row>
    <row r="740" spans="1:21" ht="15.75" customHeight="1" x14ac:dyDescent="0.2">
      <c r="A740" s="9"/>
      <c r="B740" s="9"/>
      <c r="C740" s="11"/>
      <c r="D740" s="9"/>
      <c r="E740" s="9"/>
      <c r="F740" s="9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10"/>
      <c r="S740" s="9"/>
      <c r="T740" s="11"/>
      <c r="U740" s="9"/>
    </row>
    <row r="741" spans="1:21" ht="15.75" customHeight="1" thickBot="1" x14ac:dyDescent="0.25">
      <c r="A741" s="9"/>
      <c r="B741" s="9"/>
      <c r="C741" s="11"/>
      <c r="D741" s="9"/>
      <c r="E741" s="9"/>
      <c r="F741" s="9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10"/>
      <c r="S741" s="9"/>
      <c r="T741" s="11"/>
      <c r="U741" s="9"/>
    </row>
    <row r="742" spans="1:21" ht="15.75" customHeight="1" thickBot="1" x14ac:dyDescent="0.3">
      <c r="A742" s="79" t="s">
        <v>6</v>
      </c>
      <c r="B742" s="245" t="s">
        <v>28</v>
      </c>
      <c r="C742" s="171"/>
      <c r="D742" s="43" t="s">
        <v>9</v>
      </c>
      <c r="E742" s="43" t="s">
        <v>10</v>
      </c>
      <c r="F742" s="43" t="s">
        <v>11</v>
      </c>
      <c r="G742" s="43" t="s">
        <v>12</v>
      </c>
      <c r="H742" s="43" t="s">
        <v>13</v>
      </c>
      <c r="I742" s="43" t="s">
        <v>14</v>
      </c>
      <c r="J742" s="43" t="s">
        <v>15</v>
      </c>
      <c r="K742" s="43" t="s">
        <v>33</v>
      </c>
      <c r="L742" s="43" t="s">
        <v>16</v>
      </c>
      <c r="M742" s="43"/>
      <c r="N742" s="44" t="s">
        <v>17</v>
      </c>
      <c r="O742" s="70"/>
      <c r="P742" s="45" t="s">
        <v>18</v>
      </c>
      <c r="Q742" s="69"/>
      <c r="R742" s="46" t="s">
        <v>34</v>
      </c>
      <c r="S742" s="69"/>
      <c r="T742" s="47" t="s">
        <v>29</v>
      </c>
      <c r="U742" s="9"/>
    </row>
    <row r="743" spans="1:21" ht="15.75" customHeight="1" x14ac:dyDescent="0.2">
      <c r="A743" s="80"/>
      <c r="B743" s="246"/>
      <c r="C743" s="161"/>
      <c r="D743" s="48"/>
      <c r="E743" s="48"/>
      <c r="F743" s="48" t="str">
        <f>IF(AND(C743=""),"",1-C743)</f>
        <v/>
      </c>
      <c r="G743" s="48"/>
      <c r="H743" s="48"/>
      <c r="I743" s="48" t="str">
        <f>IF(AND(C743=""),"",G743*C743)</f>
        <v/>
      </c>
      <c r="J743" s="48" t="str">
        <f>IF(AND(C743=""),"",H743*F743)</f>
        <v/>
      </c>
      <c r="K743" s="48" t="str">
        <f t="shared" ref="K743:K752" si="289">IF(AND(I743=""),"",IF(AND(I743&gt;J743),"T1","T2"))</f>
        <v/>
      </c>
      <c r="L743" s="50" t="str">
        <f t="shared" ref="L743:L752" si="290">IF(AND(K743=""),"",IF(AND((J743*0.95-1)&lt;0,(I743*0.95-1)&lt;0),"NO BET", IF(AND(K743="T1"),I743*0.95 - 1,J743*0.95 - 1)))</f>
        <v/>
      </c>
      <c r="M743" s="50"/>
      <c r="N743" s="280">
        <f>SUMIF(L743:L752,"&gt;0")</f>
        <v>0</v>
      </c>
      <c r="O743" s="70"/>
      <c r="P743" s="51"/>
      <c r="Q743" s="70"/>
      <c r="R743" s="52">
        <f t="shared" ref="R743:R752" si="291">IF(OR(P743="",L743="NO BET"),0,IF(AND(K743=P743),IF(AND(K743="T2"),ROUNDUP(H743*0.95,2)-1,ROUNDUP(G743*0.95,2)-1),-1))</f>
        <v>0</v>
      </c>
      <c r="S743" s="69"/>
      <c r="T743" s="241">
        <f>SUM(R743:R752)</f>
        <v>0</v>
      </c>
      <c r="U743" s="9"/>
    </row>
    <row r="744" spans="1:21" ht="15.75" customHeight="1" x14ac:dyDescent="0.2">
      <c r="A744" s="257" t="s">
        <v>35</v>
      </c>
      <c r="B744" s="246"/>
      <c r="C744" s="162"/>
      <c r="D744" s="53"/>
      <c r="E744" s="53"/>
      <c r="F744" s="53" t="str">
        <f t="shared" ref="F744:F752" si="292">IF(AND(C744=""),"",1-C744)</f>
        <v/>
      </c>
      <c r="G744" s="53"/>
      <c r="H744" s="53"/>
      <c r="I744" s="53" t="str">
        <f t="shared" ref="I744:I752" si="293">IF(AND(C744=""),"",G744*C744)</f>
        <v/>
      </c>
      <c r="J744" s="53" t="str">
        <f t="shared" ref="J744:J752" si="294">IF(AND(C744=""),"",H744*F744)</f>
        <v/>
      </c>
      <c r="K744" s="53" t="str">
        <f t="shared" si="289"/>
        <v/>
      </c>
      <c r="L744" s="55" t="str">
        <f t="shared" si="290"/>
        <v/>
      </c>
      <c r="M744" s="55"/>
      <c r="N744" s="281"/>
      <c r="O744" s="9"/>
      <c r="P744" s="56"/>
      <c r="Q744" s="69"/>
      <c r="R744" s="57">
        <f t="shared" si="291"/>
        <v>0</v>
      </c>
      <c r="S744" s="69"/>
      <c r="T744" s="241"/>
      <c r="U744" s="9"/>
    </row>
    <row r="745" spans="1:21" ht="15.75" customHeight="1" x14ac:dyDescent="0.2">
      <c r="A745" s="257"/>
      <c r="B745" s="246"/>
      <c r="C745" s="163"/>
      <c r="D745" s="7"/>
      <c r="E745" s="7"/>
      <c r="F745" s="7" t="str">
        <f t="shared" si="292"/>
        <v/>
      </c>
      <c r="G745" s="7"/>
      <c r="H745" s="7"/>
      <c r="I745" s="7" t="str">
        <f t="shared" si="293"/>
        <v/>
      </c>
      <c r="J745" s="7" t="str">
        <f t="shared" si="294"/>
        <v/>
      </c>
      <c r="K745" s="7" t="str">
        <f t="shared" si="289"/>
        <v/>
      </c>
      <c r="L745" s="59" t="str">
        <f t="shared" si="290"/>
        <v/>
      </c>
      <c r="M745" s="59"/>
      <c r="N745" s="281"/>
      <c r="O745" s="70"/>
      <c r="P745" s="56"/>
      <c r="Q745" s="69"/>
      <c r="R745" s="57">
        <f t="shared" si="291"/>
        <v>0</v>
      </c>
      <c r="S745" s="69"/>
      <c r="T745" s="241"/>
      <c r="U745" s="9"/>
    </row>
    <row r="746" spans="1:21" ht="15.75" customHeight="1" x14ac:dyDescent="0.2">
      <c r="A746" s="257"/>
      <c r="B746" s="246"/>
      <c r="C746" s="162"/>
      <c r="D746" s="53"/>
      <c r="E746" s="53"/>
      <c r="F746" s="53" t="str">
        <f t="shared" si="292"/>
        <v/>
      </c>
      <c r="G746" s="53"/>
      <c r="H746" s="53"/>
      <c r="I746" s="53" t="str">
        <f t="shared" si="293"/>
        <v/>
      </c>
      <c r="J746" s="53" t="str">
        <f t="shared" si="294"/>
        <v/>
      </c>
      <c r="K746" s="53" t="str">
        <f t="shared" si="289"/>
        <v/>
      </c>
      <c r="L746" s="55" t="str">
        <f t="shared" si="290"/>
        <v/>
      </c>
      <c r="M746" s="55"/>
      <c r="N746" s="281"/>
      <c r="O746" s="74"/>
      <c r="P746" s="56"/>
      <c r="Q746" s="69"/>
      <c r="R746" s="57">
        <f t="shared" si="291"/>
        <v>0</v>
      </c>
      <c r="S746" s="69"/>
      <c r="T746" s="241"/>
      <c r="U746" s="9"/>
    </row>
    <row r="747" spans="1:21" ht="15.75" customHeight="1" x14ac:dyDescent="0.2">
      <c r="A747" s="257"/>
      <c r="B747" s="246"/>
      <c r="C747" s="163"/>
      <c r="D747" s="7"/>
      <c r="E747" s="7"/>
      <c r="F747" s="7" t="str">
        <f t="shared" si="292"/>
        <v/>
      </c>
      <c r="G747" s="7"/>
      <c r="H747" s="7"/>
      <c r="I747" s="7" t="str">
        <f t="shared" si="293"/>
        <v/>
      </c>
      <c r="J747" s="7" t="str">
        <f t="shared" si="294"/>
        <v/>
      </c>
      <c r="K747" s="7" t="str">
        <f t="shared" si="289"/>
        <v/>
      </c>
      <c r="L747" s="60" t="str">
        <f t="shared" si="290"/>
        <v/>
      </c>
      <c r="M747" s="60"/>
      <c r="N747" s="281"/>
      <c r="O747" s="74"/>
      <c r="P747" s="56"/>
      <c r="Q747" s="69"/>
      <c r="R747" s="57">
        <f t="shared" si="291"/>
        <v>0</v>
      </c>
      <c r="S747" s="69"/>
      <c r="T747" s="241"/>
      <c r="U747" s="9"/>
    </row>
    <row r="748" spans="1:21" ht="15.75" customHeight="1" x14ac:dyDescent="0.2">
      <c r="A748" s="257"/>
      <c r="B748" s="246"/>
      <c r="C748" s="162"/>
      <c r="D748" s="53"/>
      <c r="E748" s="53"/>
      <c r="F748" s="53" t="str">
        <f t="shared" si="292"/>
        <v/>
      </c>
      <c r="G748" s="53"/>
      <c r="H748" s="53"/>
      <c r="I748" s="53" t="str">
        <f t="shared" si="293"/>
        <v/>
      </c>
      <c r="J748" s="53" t="str">
        <f t="shared" si="294"/>
        <v/>
      </c>
      <c r="K748" s="53" t="str">
        <f t="shared" si="289"/>
        <v/>
      </c>
      <c r="L748" s="55" t="str">
        <f t="shared" si="290"/>
        <v/>
      </c>
      <c r="M748" s="55"/>
      <c r="N748" s="281"/>
      <c r="O748" s="74"/>
      <c r="P748" s="56"/>
      <c r="Q748" s="69"/>
      <c r="R748" s="57">
        <f t="shared" si="291"/>
        <v>0</v>
      </c>
      <c r="S748" s="69"/>
      <c r="T748" s="241"/>
      <c r="U748" s="9"/>
    </row>
    <row r="749" spans="1:21" ht="15.75" customHeight="1" thickBot="1" x14ac:dyDescent="0.25">
      <c r="A749" s="257"/>
      <c r="B749" s="246"/>
      <c r="C749" s="163"/>
      <c r="D749" s="7"/>
      <c r="E749" s="7"/>
      <c r="F749" s="7" t="str">
        <f t="shared" si="292"/>
        <v/>
      </c>
      <c r="G749" s="7"/>
      <c r="H749" s="7"/>
      <c r="I749" s="7" t="str">
        <f t="shared" si="293"/>
        <v/>
      </c>
      <c r="J749" s="7" t="str">
        <f t="shared" si="294"/>
        <v/>
      </c>
      <c r="K749" s="7" t="str">
        <f t="shared" si="289"/>
        <v/>
      </c>
      <c r="L749" s="59" t="str">
        <f t="shared" si="290"/>
        <v/>
      </c>
      <c r="M749" s="59"/>
      <c r="N749" s="281"/>
      <c r="O749" s="9"/>
      <c r="P749" s="56"/>
      <c r="Q749" s="69"/>
      <c r="R749" s="57">
        <f t="shared" si="291"/>
        <v>0</v>
      </c>
      <c r="S749" s="69"/>
      <c r="T749" s="61" t="s">
        <v>31</v>
      </c>
      <c r="U749" s="9"/>
    </row>
    <row r="750" spans="1:21" ht="15.75" customHeight="1" x14ac:dyDescent="0.2">
      <c r="A750" s="257"/>
      <c r="B750" s="246"/>
      <c r="C750" s="162"/>
      <c r="D750" s="53"/>
      <c r="E750" s="53"/>
      <c r="F750" s="53" t="str">
        <f t="shared" si="292"/>
        <v/>
      </c>
      <c r="G750" s="53"/>
      <c r="H750" s="53"/>
      <c r="I750" s="53" t="str">
        <f t="shared" si="293"/>
        <v/>
      </c>
      <c r="J750" s="53" t="str">
        <f t="shared" si="294"/>
        <v/>
      </c>
      <c r="K750" s="53" t="str">
        <f t="shared" si="289"/>
        <v/>
      </c>
      <c r="L750" s="62" t="str">
        <f t="shared" si="290"/>
        <v/>
      </c>
      <c r="M750" s="62"/>
      <c r="N750" s="281"/>
      <c r="O750" s="9"/>
      <c r="P750" s="56"/>
      <c r="Q750" s="69"/>
      <c r="R750" s="57">
        <f t="shared" si="291"/>
        <v>0</v>
      </c>
      <c r="S750" s="69"/>
      <c r="T750" s="248">
        <f>IF(AND(NOT(N743=0)),T743/N743,0)</f>
        <v>0</v>
      </c>
      <c r="U750" s="9"/>
    </row>
    <row r="751" spans="1:21" ht="15.75" customHeight="1" x14ac:dyDescent="0.2">
      <c r="A751" s="257"/>
      <c r="B751" s="246"/>
      <c r="C751" s="163"/>
      <c r="D751" s="7"/>
      <c r="E751" s="7"/>
      <c r="F751" s="7" t="str">
        <f t="shared" si="292"/>
        <v/>
      </c>
      <c r="G751" s="7"/>
      <c r="H751" s="7"/>
      <c r="I751" s="7" t="str">
        <f t="shared" si="293"/>
        <v/>
      </c>
      <c r="J751" s="7" t="str">
        <f t="shared" si="294"/>
        <v/>
      </c>
      <c r="K751" s="7" t="str">
        <f t="shared" si="289"/>
        <v/>
      </c>
      <c r="L751" s="60" t="str">
        <f t="shared" si="290"/>
        <v/>
      </c>
      <c r="M751" s="60"/>
      <c r="N751" s="281"/>
      <c r="O751" s="9"/>
      <c r="P751" s="56"/>
      <c r="Q751" s="69"/>
      <c r="R751" s="57">
        <f t="shared" si="291"/>
        <v>0</v>
      </c>
      <c r="S751" s="69"/>
      <c r="T751" s="249"/>
      <c r="U751" s="9"/>
    </row>
    <row r="752" spans="1:21" ht="15.75" customHeight="1" thickBot="1" x14ac:dyDescent="0.25">
      <c r="A752" s="258"/>
      <c r="B752" s="247"/>
      <c r="C752" s="164"/>
      <c r="D752" s="63"/>
      <c r="E752" s="63"/>
      <c r="F752" s="63" t="str">
        <f t="shared" si="292"/>
        <v/>
      </c>
      <c r="G752" s="63"/>
      <c r="H752" s="63"/>
      <c r="I752" s="63" t="str">
        <f t="shared" si="293"/>
        <v/>
      </c>
      <c r="J752" s="63" t="str">
        <f t="shared" si="294"/>
        <v/>
      </c>
      <c r="K752" s="63" t="str">
        <f t="shared" si="289"/>
        <v/>
      </c>
      <c r="L752" s="65" t="str">
        <f t="shared" si="290"/>
        <v/>
      </c>
      <c r="M752" s="65"/>
      <c r="N752" s="282"/>
      <c r="O752" s="9"/>
      <c r="P752" s="66"/>
      <c r="Q752" s="9"/>
      <c r="R752" s="67">
        <f t="shared" si="291"/>
        <v>0</v>
      </c>
      <c r="S752" s="9"/>
      <c r="T752" s="250"/>
      <c r="U752" s="9"/>
    </row>
    <row r="753" spans="1:21" ht="15.75" customHeight="1" x14ac:dyDescent="0.2">
      <c r="A753" s="9"/>
      <c r="B753" s="9"/>
      <c r="C753" s="11"/>
      <c r="D753" s="9"/>
      <c r="E753" s="9"/>
      <c r="F753" s="9"/>
      <c r="G753" s="9"/>
      <c r="H753" s="9"/>
      <c r="I753" s="9"/>
      <c r="J753" s="9"/>
      <c r="K753" s="9"/>
      <c r="L753" s="9"/>
      <c r="M753" s="9"/>
      <c r="N753" s="9"/>
      <c r="O753" s="69"/>
      <c r="P753" s="69"/>
      <c r="Q753" s="69"/>
      <c r="R753" s="82"/>
      <c r="S753" s="69"/>
      <c r="T753" s="83"/>
      <c r="U753" s="9"/>
    </row>
    <row r="754" spans="1:21" x14ac:dyDescent="0.2">
      <c r="A754" s="9"/>
      <c r="B754" s="9"/>
      <c r="C754" s="11"/>
      <c r="D754" s="9"/>
      <c r="E754" s="9"/>
      <c r="F754" s="9"/>
      <c r="G754" s="9"/>
      <c r="H754" s="9"/>
      <c r="I754" s="9"/>
      <c r="J754" s="9"/>
      <c r="K754" s="9"/>
      <c r="L754" s="9"/>
      <c r="M754" s="9"/>
      <c r="N754" s="9"/>
      <c r="O754" s="69"/>
      <c r="P754" s="69"/>
      <c r="Q754" s="69"/>
      <c r="R754" s="82"/>
      <c r="S754" s="69"/>
      <c r="T754" s="83"/>
      <c r="U754" s="9"/>
    </row>
    <row r="755" spans="1:21" x14ac:dyDescent="0.2">
      <c r="A755" s="9"/>
      <c r="B755" s="9"/>
      <c r="C755" s="11"/>
      <c r="D755" s="9"/>
      <c r="E755" s="9"/>
      <c r="F755" s="9"/>
      <c r="G755" s="9"/>
      <c r="H755" s="9"/>
      <c r="I755" s="9"/>
      <c r="J755" s="9"/>
      <c r="K755" s="9"/>
      <c r="L755" s="9"/>
      <c r="M755" s="9"/>
      <c r="N755" s="9"/>
      <c r="O755" s="69"/>
      <c r="P755" s="69"/>
      <c r="Q755" s="69"/>
      <c r="R755" s="82"/>
      <c r="S755" s="69"/>
      <c r="T755" s="83"/>
      <c r="U755" s="9"/>
    </row>
    <row r="756" spans="1:21" ht="15.75" x14ac:dyDescent="0.25">
      <c r="A756" s="9"/>
      <c r="B756" s="9"/>
      <c r="C756" s="11"/>
      <c r="D756" s="9"/>
      <c r="E756" s="9"/>
      <c r="F756" s="9"/>
      <c r="G756" s="9"/>
      <c r="H756" s="9"/>
      <c r="I756" s="9"/>
      <c r="J756" s="9"/>
      <c r="K756" s="9"/>
      <c r="L756" s="9"/>
      <c r="M756" s="9"/>
      <c r="N756" s="9"/>
      <c r="O756" s="70"/>
      <c r="P756" s="87"/>
      <c r="Q756" s="69"/>
      <c r="R756" s="88"/>
      <c r="S756" s="69"/>
      <c r="T756" s="89"/>
      <c r="U756" s="9"/>
    </row>
    <row r="757" spans="1:21" ht="15.75" customHeight="1" x14ac:dyDescent="0.2">
      <c r="A757" s="9"/>
      <c r="B757" s="9"/>
      <c r="C757" s="11"/>
      <c r="D757" s="9"/>
      <c r="E757" s="9"/>
      <c r="F757" s="9"/>
      <c r="G757" s="9"/>
      <c r="H757" s="9"/>
      <c r="I757" s="9"/>
      <c r="J757" s="9"/>
      <c r="K757" s="9"/>
      <c r="L757" s="9"/>
      <c r="M757" s="9"/>
      <c r="N757" s="9"/>
      <c r="O757" s="70"/>
      <c r="P757" s="74"/>
      <c r="Q757" s="70"/>
      <c r="R757" s="84"/>
      <c r="S757" s="69"/>
      <c r="T757" s="90"/>
      <c r="U757" s="9"/>
    </row>
    <row r="758" spans="1:21" ht="15.75" customHeight="1" x14ac:dyDescent="0.2">
      <c r="A758" s="9"/>
      <c r="B758" s="9"/>
      <c r="C758" s="11"/>
      <c r="D758" s="9"/>
      <c r="E758" s="9"/>
      <c r="F758" s="9"/>
      <c r="G758" s="9"/>
      <c r="H758" s="9"/>
      <c r="I758" s="9"/>
      <c r="J758" s="9"/>
      <c r="K758" s="9"/>
      <c r="L758" s="9"/>
      <c r="M758" s="9"/>
      <c r="N758" s="9"/>
      <c r="O758" s="69"/>
      <c r="P758" s="74"/>
      <c r="Q758" s="69"/>
      <c r="R758" s="84"/>
      <c r="S758" s="69"/>
      <c r="T758" s="90"/>
      <c r="U758" s="9"/>
    </row>
    <row r="759" spans="1:21" ht="15.75" customHeight="1" x14ac:dyDescent="0.2">
      <c r="A759" s="9"/>
      <c r="B759" s="9"/>
      <c r="C759" s="11"/>
      <c r="D759" s="9"/>
      <c r="E759" s="9"/>
      <c r="F759" s="9"/>
      <c r="G759" s="9"/>
      <c r="H759" s="9"/>
      <c r="I759" s="9"/>
      <c r="J759" s="9"/>
      <c r="K759" s="9"/>
      <c r="L759" s="9"/>
      <c r="M759" s="9"/>
      <c r="N759" s="9"/>
      <c r="O759" s="70"/>
      <c r="P759" s="74"/>
      <c r="Q759" s="69"/>
      <c r="R759" s="84"/>
      <c r="S759" s="69"/>
      <c r="T759" s="90"/>
      <c r="U759" s="9"/>
    </row>
    <row r="760" spans="1:21" ht="15.75" customHeight="1" x14ac:dyDescent="0.2">
      <c r="A760" s="9"/>
      <c r="B760" s="9"/>
      <c r="C760" s="11"/>
      <c r="D760" s="9"/>
      <c r="E760" s="9"/>
      <c r="F760" s="9"/>
      <c r="G760" s="9"/>
      <c r="H760" s="9"/>
      <c r="I760" s="9"/>
      <c r="J760" s="9"/>
      <c r="K760" s="9"/>
      <c r="L760" s="9"/>
      <c r="M760" s="9"/>
      <c r="N760" s="9"/>
      <c r="O760" s="74"/>
      <c r="P760" s="74"/>
      <c r="Q760" s="69"/>
      <c r="R760" s="84"/>
      <c r="S760" s="69"/>
      <c r="T760" s="90"/>
      <c r="U760" s="9"/>
    </row>
    <row r="761" spans="1:21" ht="15.75" customHeight="1" x14ac:dyDescent="0.2">
      <c r="A761" s="9"/>
      <c r="B761" s="9"/>
      <c r="C761" s="11"/>
      <c r="D761" s="9"/>
      <c r="E761" s="9"/>
      <c r="F761" s="9"/>
      <c r="G761" s="9"/>
      <c r="H761" s="9"/>
      <c r="I761" s="9"/>
      <c r="J761" s="9"/>
      <c r="K761" s="9"/>
      <c r="L761" s="9"/>
      <c r="M761" s="9"/>
      <c r="N761" s="9"/>
      <c r="O761" s="74"/>
      <c r="P761" s="74"/>
      <c r="Q761" s="69"/>
      <c r="R761" s="84"/>
      <c r="S761" s="69"/>
      <c r="T761" s="90"/>
      <c r="U761" s="9"/>
    </row>
    <row r="762" spans="1:21" ht="15.75" customHeight="1" x14ac:dyDescent="0.2">
      <c r="A762" s="9"/>
      <c r="B762" s="9"/>
      <c r="C762" s="11"/>
      <c r="D762" s="9"/>
      <c r="E762" s="9"/>
      <c r="F762" s="9"/>
      <c r="G762" s="9"/>
      <c r="H762" s="9"/>
      <c r="I762" s="9"/>
      <c r="J762" s="9"/>
      <c r="K762" s="9"/>
      <c r="L762" s="9"/>
      <c r="M762" s="9"/>
      <c r="N762" s="9"/>
      <c r="O762" s="74"/>
      <c r="P762" s="74"/>
      <c r="Q762" s="69"/>
      <c r="R762" s="84"/>
      <c r="S762" s="69"/>
      <c r="T762" s="90"/>
      <c r="U762" s="9"/>
    </row>
    <row r="763" spans="1:21" ht="15.75" x14ac:dyDescent="0.2">
      <c r="A763" s="9"/>
      <c r="B763" s="9"/>
      <c r="C763" s="11"/>
      <c r="D763" s="9"/>
      <c r="E763" s="9"/>
      <c r="F763" s="9"/>
      <c r="G763" s="9"/>
      <c r="H763" s="9"/>
      <c r="I763" s="9"/>
      <c r="J763" s="9"/>
      <c r="K763" s="9"/>
      <c r="L763" s="9"/>
      <c r="M763" s="9"/>
      <c r="N763" s="9"/>
      <c r="O763" s="69"/>
      <c r="P763" s="74"/>
      <c r="Q763" s="69"/>
      <c r="R763" s="84"/>
      <c r="S763" s="69"/>
      <c r="T763" s="89"/>
      <c r="U763" s="9"/>
    </row>
    <row r="764" spans="1:21" x14ac:dyDescent="0.2">
      <c r="A764" s="9"/>
      <c r="B764" s="9"/>
      <c r="C764" s="11"/>
      <c r="D764" s="9"/>
      <c r="E764" s="9"/>
      <c r="F764" s="9"/>
      <c r="G764" s="9"/>
      <c r="H764" s="9"/>
      <c r="I764" s="9"/>
      <c r="J764" s="9"/>
      <c r="K764" s="9"/>
      <c r="L764" s="9"/>
      <c r="M764" s="9"/>
      <c r="N764" s="9"/>
      <c r="O764" s="69"/>
      <c r="P764" s="74"/>
      <c r="Q764" s="69"/>
      <c r="R764" s="84"/>
      <c r="S764" s="69"/>
      <c r="T764" s="91"/>
      <c r="U764" s="9"/>
    </row>
    <row r="765" spans="1:21" x14ac:dyDescent="0.2">
      <c r="A765" s="9"/>
      <c r="B765" s="9"/>
      <c r="C765" s="11"/>
      <c r="D765" s="9"/>
      <c r="E765" s="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10"/>
      <c r="S765" s="9"/>
      <c r="T765" s="11"/>
      <c r="U765" s="9"/>
    </row>
    <row r="766" spans="1:21" x14ac:dyDescent="0.2">
      <c r="A766" s="9"/>
      <c r="B766" s="9"/>
      <c r="C766" s="11"/>
      <c r="D766" s="9"/>
      <c r="E766" s="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10"/>
      <c r="S766" s="9"/>
      <c r="T766" s="11"/>
      <c r="U766" s="9"/>
    </row>
    <row r="767" spans="1:21" x14ac:dyDescent="0.2">
      <c r="A767" s="9"/>
      <c r="B767" s="9"/>
      <c r="C767" s="11"/>
      <c r="D767" s="9"/>
      <c r="E767" s="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10"/>
      <c r="S767" s="9"/>
      <c r="T767" s="11"/>
      <c r="U767" s="9"/>
    </row>
    <row r="768" spans="1:21" x14ac:dyDescent="0.2">
      <c r="A768" s="9"/>
      <c r="B768" s="9"/>
      <c r="C768" s="11"/>
      <c r="D768" s="9"/>
      <c r="E768" s="9"/>
      <c r="F768" s="9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10"/>
      <c r="S768" s="9"/>
      <c r="T768" s="11"/>
      <c r="U768" s="9"/>
    </row>
    <row r="769" spans="1:21" x14ac:dyDescent="0.2">
      <c r="A769" s="9"/>
      <c r="B769" s="9"/>
      <c r="C769" s="11"/>
      <c r="D769" s="9"/>
      <c r="E769" s="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10"/>
      <c r="S769" s="9"/>
      <c r="T769" s="11"/>
      <c r="U769" s="9"/>
    </row>
    <row r="770" spans="1:21" x14ac:dyDescent="0.2">
      <c r="A770" s="9"/>
      <c r="B770" s="9"/>
      <c r="C770" s="11"/>
      <c r="D770" s="9"/>
      <c r="E770" s="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10"/>
      <c r="S770" s="9"/>
      <c r="T770" s="11"/>
      <c r="U770" s="9"/>
    </row>
    <row r="771" spans="1:21" x14ac:dyDescent="0.2">
      <c r="A771" s="9"/>
      <c r="B771" s="9"/>
      <c r="C771" s="11"/>
      <c r="D771" s="9"/>
      <c r="E771" s="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10"/>
      <c r="S771" s="9"/>
      <c r="T771" s="11"/>
      <c r="U771" s="9"/>
    </row>
    <row r="772" spans="1:21" x14ac:dyDescent="0.2">
      <c r="A772" s="9"/>
      <c r="B772" s="9"/>
      <c r="C772" s="11"/>
      <c r="D772" s="9"/>
      <c r="E772" s="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10"/>
      <c r="S772" s="9"/>
      <c r="T772" s="11"/>
      <c r="U772" s="9"/>
    </row>
    <row r="773" spans="1:21" x14ac:dyDescent="0.2">
      <c r="A773" s="9"/>
      <c r="B773" s="9"/>
      <c r="C773" s="11"/>
      <c r="D773" s="9"/>
      <c r="E773" s="9"/>
      <c r="F773" s="9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10"/>
      <c r="S773" s="9"/>
      <c r="T773" s="11"/>
      <c r="U773" s="9"/>
    </row>
    <row r="774" spans="1:21" x14ac:dyDescent="0.2">
      <c r="A774" s="9"/>
      <c r="B774" s="9"/>
      <c r="C774" s="11"/>
      <c r="D774" s="9"/>
      <c r="E774" s="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10"/>
      <c r="S774" s="9"/>
      <c r="T774" s="11"/>
      <c r="U774" s="9"/>
    </row>
    <row r="775" spans="1:21" x14ac:dyDescent="0.2">
      <c r="A775" s="9"/>
      <c r="B775" s="9"/>
      <c r="C775" s="11"/>
      <c r="D775" s="9"/>
      <c r="E775" s="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10"/>
      <c r="S775" s="9"/>
      <c r="T775" s="11"/>
      <c r="U775" s="9"/>
    </row>
    <row r="776" spans="1:21" x14ac:dyDescent="0.2">
      <c r="A776" s="9"/>
      <c r="B776" s="9"/>
      <c r="C776" s="11"/>
      <c r="D776" s="9"/>
      <c r="E776" s="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10"/>
      <c r="S776" s="9"/>
      <c r="T776" s="11"/>
      <c r="U776" s="9"/>
    </row>
    <row r="777" spans="1:21" x14ac:dyDescent="0.2">
      <c r="A777" s="9"/>
      <c r="B777" s="9"/>
      <c r="C777" s="11"/>
      <c r="D777" s="9"/>
      <c r="E777" s="9"/>
      <c r="F777" s="9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10"/>
      <c r="S777" s="9"/>
      <c r="T777" s="11"/>
      <c r="U777" s="9"/>
    </row>
    <row r="778" spans="1:21" x14ac:dyDescent="0.2">
      <c r="A778" s="9"/>
      <c r="B778" s="9"/>
      <c r="C778" s="11"/>
      <c r="D778" s="9"/>
      <c r="E778" s="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10"/>
      <c r="S778" s="9"/>
      <c r="T778" s="11"/>
      <c r="U778" s="9"/>
    </row>
    <row r="779" spans="1:21" x14ac:dyDescent="0.2">
      <c r="A779" s="9"/>
      <c r="B779" s="9"/>
      <c r="C779" s="11"/>
      <c r="D779" s="9"/>
      <c r="E779" s="9"/>
      <c r="F779" s="9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10"/>
      <c r="S779" s="9"/>
      <c r="T779" s="11"/>
      <c r="U779" s="9"/>
    </row>
    <row r="780" spans="1:21" x14ac:dyDescent="0.2">
      <c r="A780" s="9"/>
      <c r="B780" s="9"/>
      <c r="C780" s="11"/>
      <c r="D780" s="9"/>
      <c r="E780" s="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10"/>
      <c r="S780" s="9"/>
      <c r="T780" s="11"/>
      <c r="U780" s="9"/>
    </row>
    <row r="781" spans="1:21" ht="15.75" thickBot="1" x14ac:dyDescent="0.25"/>
    <row r="782" spans="1:21" ht="19.5" customHeight="1" thickBot="1" x14ac:dyDescent="0.3">
      <c r="A782" s="79"/>
      <c r="B782" s="245"/>
      <c r="C782" s="171"/>
      <c r="F782" s="43"/>
      <c r="G782" s="43"/>
      <c r="H782" s="43"/>
      <c r="I782" s="43"/>
      <c r="J782" s="43"/>
      <c r="K782" s="43"/>
      <c r="L782" s="43"/>
      <c r="M782" s="43"/>
      <c r="N782" s="44"/>
      <c r="O782" s="70"/>
      <c r="P782" s="45"/>
      <c r="Q782" s="69"/>
      <c r="R782" s="46"/>
      <c r="S782" s="69"/>
      <c r="T782" s="47"/>
    </row>
    <row r="783" spans="1:21" ht="18" customHeight="1" x14ac:dyDescent="0.2">
      <c r="A783" s="80"/>
      <c r="B783" s="246"/>
      <c r="C783" s="161"/>
      <c r="F783" s="48"/>
      <c r="G783" s="48"/>
      <c r="H783" s="48"/>
      <c r="I783" s="48"/>
      <c r="J783" s="48"/>
      <c r="K783" s="48"/>
      <c r="L783" s="50"/>
      <c r="M783" s="50"/>
      <c r="N783" s="280"/>
      <c r="O783" s="70"/>
      <c r="P783" s="51"/>
      <c r="Q783" s="70"/>
      <c r="R783" s="52"/>
      <c r="S783" s="69"/>
      <c r="T783" s="241"/>
    </row>
    <row r="784" spans="1:21" ht="18" customHeight="1" x14ac:dyDescent="0.2">
      <c r="A784" s="283"/>
      <c r="B784" s="246"/>
      <c r="C784" s="162"/>
      <c r="F784" s="53"/>
      <c r="G784" s="53"/>
      <c r="H784" s="53"/>
      <c r="I784" s="53"/>
      <c r="J784" s="53"/>
      <c r="K784" s="53"/>
      <c r="L784" s="55"/>
      <c r="M784" s="55"/>
      <c r="N784" s="281"/>
      <c r="O784" s="9"/>
      <c r="P784" s="56"/>
      <c r="Q784" s="69"/>
      <c r="R784" s="57"/>
      <c r="S784" s="69"/>
      <c r="T784" s="241"/>
    </row>
    <row r="785" spans="1:20" ht="18" customHeight="1" x14ac:dyDescent="0.2">
      <c r="A785" s="283"/>
      <c r="B785" s="246"/>
      <c r="C785" s="163"/>
      <c r="F785" s="7"/>
      <c r="G785" s="7"/>
      <c r="H785" s="7"/>
      <c r="I785" s="7"/>
      <c r="J785" s="7"/>
      <c r="K785" s="7"/>
      <c r="L785" s="59"/>
      <c r="M785" s="59"/>
      <c r="N785" s="281"/>
      <c r="O785" s="70"/>
      <c r="P785" s="56"/>
      <c r="Q785" s="69"/>
      <c r="R785" s="57"/>
      <c r="S785" s="69"/>
      <c r="T785" s="241"/>
    </row>
    <row r="786" spans="1:20" ht="18" customHeight="1" x14ac:dyDescent="0.2">
      <c r="A786" s="283"/>
      <c r="B786" s="246"/>
      <c r="C786" s="162"/>
      <c r="F786" s="53"/>
      <c r="G786" s="53"/>
      <c r="H786" s="53"/>
      <c r="I786" s="53"/>
      <c r="J786" s="53"/>
      <c r="K786" s="53"/>
      <c r="L786" s="55"/>
      <c r="M786" s="55"/>
      <c r="N786" s="281"/>
      <c r="O786" s="74"/>
      <c r="P786" s="56"/>
      <c r="Q786" s="69"/>
      <c r="R786" s="57"/>
      <c r="S786" s="69"/>
      <c r="T786" s="241"/>
    </row>
    <row r="787" spans="1:20" ht="18" customHeight="1" x14ac:dyDescent="0.2">
      <c r="A787" s="283"/>
      <c r="B787" s="246"/>
      <c r="C787" s="163"/>
      <c r="F787" s="7"/>
      <c r="G787" s="7"/>
      <c r="H787" s="7"/>
      <c r="I787" s="7"/>
      <c r="J787" s="7"/>
      <c r="K787" s="7"/>
      <c r="L787" s="60"/>
      <c r="M787" s="60"/>
      <c r="N787" s="281"/>
      <c r="O787" s="74"/>
      <c r="P787" s="56"/>
      <c r="Q787" s="69"/>
      <c r="R787" s="57"/>
      <c r="S787" s="69"/>
      <c r="T787" s="241"/>
    </row>
    <row r="788" spans="1:20" ht="18" customHeight="1" x14ac:dyDescent="0.2">
      <c r="A788" s="283"/>
      <c r="B788" s="246"/>
      <c r="C788" s="162"/>
      <c r="F788" s="53"/>
      <c r="G788" s="53"/>
      <c r="H788" s="53"/>
      <c r="I788" s="53"/>
      <c r="J788" s="53"/>
      <c r="K788" s="53"/>
      <c r="L788" s="55"/>
      <c r="M788" s="55"/>
      <c r="N788" s="281"/>
      <c r="O788" s="74"/>
      <c r="P788" s="56"/>
      <c r="Q788" s="69"/>
      <c r="R788" s="57"/>
      <c r="S788" s="69"/>
      <c r="T788" s="241"/>
    </row>
    <row r="789" spans="1:20" ht="16.5" thickBot="1" x14ac:dyDescent="0.25">
      <c r="A789" s="283"/>
      <c r="B789" s="246"/>
      <c r="C789" s="172"/>
      <c r="F789" s="92"/>
      <c r="G789" s="92"/>
      <c r="H789" s="92"/>
      <c r="I789" s="92"/>
      <c r="J789" s="92"/>
      <c r="K789" s="92"/>
      <c r="L789" s="93"/>
      <c r="M789" s="93"/>
      <c r="N789" s="281"/>
      <c r="O789" s="9"/>
      <c r="P789" s="56"/>
      <c r="Q789" s="69"/>
      <c r="R789" s="57"/>
      <c r="S789" s="69"/>
      <c r="T789" s="61"/>
    </row>
    <row r="790" spans="1:20" x14ac:dyDescent="0.2">
      <c r="A790" s="283"/>
      <c r="B790" s="246"/>
      <c r="C790" s="162"/>
      <c r="F790" s="53"/>
      <c r="G790" s="53"/>
      <c r="H790" s="53"/>
      <c r="I790" s="53"/>
      <c r="J790" s="53"/>
      <c r="K790" s="53"/>
      <c r="L790" s="62"/>
      <c r="M790" s="62"/>
      <c r="N790" s="281"/>
      <c r="O790" s="9"/>
      <c r="P790" s="56"/>
      <c r="Q790" s="69"/>
      <c r="R790" s="57"/>
      <c r="S790" s="69"/>
      <c r="T790" s="248"/>
    </row>
    <row r="791" spans="1:20" x14ac:dyDescent="0.2">
      <c r="A791" s="283"/>
      <c r="B791" s="246"/>
      <c r="C791" s="163"/>
      <c r="F791" s="7"/>
      <c r="G791" s="7"/>
      <c r="H791" s="7"/>
      <c r="I791" s="7"/>
      <c r="J791" s="7"/>
      <c r="K791" s="7"/>
      <c r="L791" s="60"/>
      <c r="M791" s="60"/>
      <c r="N791" s="281"/>
      <c r="O791" s="9"/>
      <c r="P791" s="56"/>
      <c r="Q791" s="69"/>
      <c r="R791" s="57"/>
      <c r="S791" s="69"/>
      <c r="T791" s="249"/>
    </row>
    <row r="792" spans="1:20" ht="15.75" thickBot="1" x14ac:dyDescent="0.25">
      <c r="A792" s="284"/>
      <c r="B792" s="247"/>
      <c r="C792" s="164"/>
      <c r="F792" s="63"/>
      <c r="G792" s="63"/>
      <c r="H792" s="63"/>
      <c r="I792" s="63"/>
      <c r="J792" s="63"/>
      <c r="K792" s="63"/>
      <c r="L792" s="65"/>
      <c r="M792" s="65"/>
      <c r="N792" s="282"/>
      <c r="O792" s="9"/>
      <c r="P792" s="66"/>
      <c r="Q792" s="9"/>
      <c r="R792" s="67"/>
      <c r="S792" s="9"/>
      <c r="T792" s="250"/>
    </row>
    <row r="793" spans="1:20" ht="18.75" thickBot="1" x14ac:dyDescent="0.3">
      <c r="A793" s="79"/>
      <c r="B793" s="245"/>
      <c r="C793" s="171"/>
      <c r="F793" s="43"/>
      <c r="G793" s="43"/>
      <c r="H793" s="43"/>
      <c r="I793" s="43"/>
      <c r="J793" s="43"/>
      <c r="K793" s="43"/>
      <c r="L793" s="43"/>
      <c r="M793" s="43"/>
      <c r="N793" s="44"/>
      <c r="O793" s="70"/>
      <c r="P793" s="45"/>
      <c r="Q793" s="69"/>
      <c r="R793" s="46"/>
      <c r="S793" s="69"/>
      <c r="T793" s="47"/>
    </row>
    <row r="794" spans="1:20" ht="15.75" x14ac:dyDescent="0.2">
      <c r="A794" s="80"/>
      <c r="B794" s="246"/>
      <c r="C794" s="161"/>
      <c r="F794" s="48"/>
      <c r="G794" s="48"/>
      <c r="H794" s="48"/>
      <c r="I794" s="48"/>
      <c r="J794" s="48"/>
      <c r="K794" s="48"/>
      <c r="L794" s="50"/>
      <c r="M794" s="50"/>
      <c r="N794" s="280"/>
      <c r="O794" s="70"/>
      <c r="P794" s="51"/>
      <c r="Q794" s="70"/>
      <c r="R794" s="52"/>
      <c r="S794" s="69"/>
      <c r="T794" s="241"/>
    </row>
    <row r="795" spans="1:20" x14ac:dyDescent="0.2">
      <c r="A795" s="283"/>
      <c r="B795" s="246"/>
      <c r="C795" s="162"/>
      <c r="F795" s="53"/>
      <c r="G795" s="53"/>
      <c r="H795" s="53"/>
      <c r="I795" s="53"/>
      <c r="J795" s="53"/>
      <c r="K795" s="53"/>
      <c r="L795" s="55"/>
      <c r="M795" s="55"/>
      <c r="N795" s="281"/>
      <c r="O795" s="9"/>
      <c r="P795" s="56"/>
      <c r="Q795" s="69"/>
      <c r="R795" s="57"/>
      <c r="S795" s="69"/>
      <c r="T795" s="241"/>
    </row>
    <row r="796" spans="1:20" ht="15.75" x14ac:dyDescent="0.2">
      <c r="A796" s="283"/>
      <c r="B796" s="246"/>
      <c r="C796" s="163"/>
      <c r="F796" s="7"/>
      <c r="G796" s="7"/>
      <c r="H796" s="7"/>
      <c r="I796" s="7"/>
      <c r="J796" s="7"/>
      <c r="K796" s="7"/>
      <c r="L796" s="59"/>
      <c r="M796" s="59"/>
      <c r="N796" s="281"/>
      <c r="O796" s="70"/>
      <c r="P796" s="56"/>
      <c r="Q796" s="69"/>
      <c r="R796" s="57"/>
      <c r="S796" s="69"/>
      <c r="T796" s="241"/>
    </row>
    <row r="797" spans="1:20" x14ac:dyDescent="0.2">
      <c r="A797" s="283"/>
      <c r="B797" s="246"/>
      <c r="C797" s="162"/>
      <c r="F797" s="53"/>
      <c r="G797" s="53"/>
      <c r="H797" s="53"/>
      <c r="I797" s="53"/>
      <c r="J797" s="53"/>
      <c r="K797" s="53"/>
      <c r="L797" s="55"/>
      <c r="M797" s="55"/>
      <c r="N797" s="281"/>
      <c r="O797" s="74"/>
      <c r="P797" s="56"/>
      <c r="Q797" s="69"/>
      <c r="R797" s="57"/>
      <c r="S797" s="69"/>
      <c r="T797" s="241"/>
    </row>
    <row r="798" spans="1:20" x14ac:dyDescent="0.2">
      <c r="A798" s="283"/>
      <c r="B798" s="246"/>
      <c r="C798" s="163"/>
      <c r="F798" s="7"/>
      <c r="G798" s="7"/>
      <c r="H798" s="7"/>
      <c r="I798" s="7"/>
      <c r="J798" s="7"/>
      <c r="K798" s="7"/>
      <c r="L798" s="60"/>
      <c r="M798" s="60"/>
      <c r="N798" s="281"/>
      <c r="O798" s="74"/>
      <c r="P798" s="56"/>
      <c r="Q798" s="69"/>
      <c r="R798" s="57"/>
      <c r="S798" s="69"/>
      <c r="T798" s="241"/>
    </row>
    <row r="799" spans="1:20" x14ac:dyDescent="0.2">
      <c r="A799" s="283"/>
      <c r="B799" s="246"/>
      <c r="C799" s="162"/>
      <c r="F799" s="53"/>
      <c r="G799" s="53"/>
      <c r="H799" s="53"/>
      <c r="I799" s="53"/>
      <c r="J799" s="53"/>
      <c r="K799" s="53"/>
      <c r="L799" s="55"/>
      <c r="M799" s="55"/>
      <c r="N799" s="281"/>
      <c r="O799" s="74"/>
      <c r="P799" s="56"/>
      <c r="Q799" s="69"/>
      <c r="R799" s="57"/>
      <c r="S799" s="69"/>
      <c r="T799" s="241"/>
    </row>
    <row r="800" spans="1:20" ht="16.5" thickBot="1" x14ac:dyDescent="0.25">
      <c r="A800" s="283"/>
      <c r="B800" s="246"/>
      <c r="C800" s="163"/>
      <c r="F800" s="7"/>
      <c r="G800" s="7"/>
      <c r="H800" s="7"/>
      <c r="I800" s="7"/>
      <c r="J800" s="7"/>
      <c r="K800" s="7"/>
      <c r="L800" s="60"/>
      <c r="M800" s="60"/>
      <c r="N800" s="281"/>
      <c r="O800" s="9"/>
      <c r="P800" s="56"/>
      <c r="Q800" s="69"/>
      <c r="R800" s="57"/>
      <c r="S800" s="69"/>
      <c r="T800" s="61"/>
    </row>
    <row r="801" spans="1:20" x14ac:dyDescent="0.2">
      <c r="A801" s="283"/>
      <c r="B801" s="246"/>
      <c r="C801" s="162"/>
      <c r="F801" s="53"/>
      <c r="G801" s="53"/>
      <c r="H801" s="53"/>
      <c r="I801" s="53"/>
      <c r="J801" s="53"/>
      <c r="K801" s="53"/>
      <c r="L801" s="62"/>
      <c r="M801" s="62"/>
      <c r="N801" s="281"/>
      <c r="O801" s="9"/>
      <c r="P801" s="56"/>
      <c r="Q801" s="69"/>
      <c r="R801" s="57"/>
      <c r="S801" s="69"/>
      <c r="T801" s="248"/>
    </row>
    <row r="802" spans="1:20" x14ac:dyDescent="0.2">
      <c r="A802" s="283"/>
      <c r="B802" s="246"/>
      <c r="C802" s="163"/>
      <c r="F802" s="7"/>
      <c r="G802" s="7"/>
      <c r="H802" s="7"/>
      <c r="I802" s="7"/>
      <c r="J802" s="7"/>
      <c r="K802" s="7"/>
      <c r="L802" s="60"/>
      <c r="M802" s="60"/>
      <c r="N802" s="281"/>
      <c r="O802" s="9"/>
      <c r="P802" s="56"/>
      <c r="Q802" s="69"/>
      <c r="R802" s="57"/>
      <c r="S802" s="69"/>
      <c r="T802" s="249"/>
    </row>
    <row r="803" spans="1:20" ht="15.75" thickBot="1" x14ac:dyDescent="0.25">
      <c r="A803" s="284"/>
      <c r="B803" s="247"/>
      <c r="C803" s="164"/>
      <c r="F803" s="63"/>
      <c r="G803" s="63"/>
      <c r="H803" s="63"/>
      <c r="I803" s="63"/>
      <c r="J803" s="63"/>
      <c r="K803" s="63"/>
      <c r="L803" s="65"/>
      <c r="M803" s="65"/>
      <c r="N803" s="282"/>
      <c r="O803" s="9"/>
      <c r="P803" s="66"/>
      <c r="Q803" s="9"/>
      <c r="R803" s="67"/>
      <c r="S803" s="9"/>
      <c r="T803" s="250"/>
    </row>
  </sheetData>
  <mergeCells count="365">
    <mergeCell ref="F35:G35"/>
    <mergeCell ref="H35:I35"/>
    <mergeCell ref="J35:K35"/>
    <mergeCell ref="L33:M33"/>
    <mergeCell ref="L34:M34"/>
    <mergeCell ref="L35:M35"/>
    <mergeCell ref="L24:M24"/>
    <mergeCell ref="L25:M25"/>
    <mergeCell ref="L26:M26"/>
    <mergeCell ref="L27:M27"/>
    <mergeCell ref="L28:M28"/>
    <mergeCell ref="L29:M29"/>
    <mergeCell ref="L30:M30"/>
    <mergeCell ref="L31:M31"/>
    <mergeCell ref="L32:M32"/>
    <mergeCell ref="F32:G32"/>
    <mergeCell ref="H32:I32"/>
    <mergeCell ref="J32:K32"/>
    <mergeCell ref="F33:G33"/>
    <mergeCell ref="H33:I33"/>
    <mergeCell ref="J33:K33"/>
    <mergeCell ref="F34:G34"/>
    <mergeCell ref="H34:I34"/>
    <mergeCell ref="J34:K34"/>
    <mergeCell ref="H28:I28"/>
    <mergeCell ref="J28:K28"/>
    <mergeCell ref="F29:G29"/>
    <mergeCell ref="H29:I29"/>
    <mergeCell ref="J29:K29"/>
    <mergeCell ref="F30:G30"/>
    <mergeCell ref="H30:I30"/>
    <mergeCell ref="J30:K30"/>
    <mergeCell ref="F31:G31"/>
    <mergeCell ref="H31:I31"/>
    <mergeCell ref="J31:K31"/>
    <mergeCell ref="B793:B803"/>
    <mergeCell ref="N794:N803"/>
    <mergeCell ref="T794:T799"/>
    <mergeCell ref="A795:A803"/>
    <mergeCell ref="T801:T803"/>
    <mergeCell ref="B728:B738"/>
    <mergeCell ref="N729:N738"/>
    <mergeCell ref="T729:T734"/>
    <mergeCell ref="A730:A738"/>
    <mergeCell ref="T736:T738"/>
    <mergeCell ref="B742:B752"/>
    <mergeCell ref="N743:N752"/>
    <mergeCell ref="T743:T748"/>
    <mergeCell ref="A744:A752"/>
    <mergeCell ref="T750:T752"/>
    <mergeCell ref="T783:T788"/>
    <mergeCell ref="B782:B792"/>
    <mergeCell ref="N783:N792"/>
    <mergeCell ref="A784:A792"/>
    <mergeCell ref="T790:T792"/>
    <mergeCell ref="B700:B710"/>
    <mergeCell ref="N701:N710"/>
    <mergeCell ref="T701:T706"/>
    <mergeCell ref="A702:A710"/>
    <mergeCell ref="T708:T710"/>
    <mergeCell ref="B714:B724"/>
    <mergeCell ref="N715:N724"/>
    <mergeCell ref="T715:T720"/>
    <mergeCell ref="A716:A724"/>
    <mergeCell ref="T722:T724"/>
    <mergeCell ref="B672:B682"/>
    <mergeCell ref="N673:N682"/>
    <mergeCell ref="T673:T678"/>
    <mergeCell ref="A674:A682"/>
    <mergeCell ref="T680:T682"/>
    <mergeCell ref="B686:B696"/>
    <mergeCell ref="N687:N696"/>
    <mergeCell ref="T687:T692"/>
    <mergeCell ref="A688:A696"/>
    <mergeCell ref="T694:T696"/>
    <mergeCell ref="B644:B654"/>
    <mergeCell ref="N645:N654"/>
    <mergeCell ref="T645:T650"/>
    <mergeCell ref="A646:A654"/>
    <mergeCell ref="T652:T654"/>
    <mergeCell ref="B658:B668"/>
    <mergeCell ref="N659:N668"/>
    <mergeCell ref="T659:T664"/>
    <mergeCell ref="A660:A668"/>
    <mergeCell ref="T666:T668"/>
    <mergeCell ref="T580:T582"/>
    <mergeCell ref="A476:A484"/>
    <mergeCell ref="B616:B626"/>
    <mergeCell ref="T617:T622"/>
    <mergeCell ref="A618:A626"/>
    <mergeCell ref="T624:T626"/>
    <mergeCell ref="B630:B640"/>
    <mergeCell ref="N631:N640"/>
    <mergeCell ref="T631:T636"/>
    <mergeCell ref="A632:A640"/>
    <mergeCell ref="T638:T640"/>
    <mergeCell ref="T482:T484"/>
    <mergeCell ref="T489:T494"/>
    <mergeCell ref="T496:T498"/>
    <mergeCell ref="T503:T508"/>
    <mergeCell ref="T510:T512"/>
    <mergeCell ref="T517:T522"/>
    <mergeCell ref="T524:T526"/>
    <mergeCell ref="A546:A554"/>
    <mergeCell ref="B544:B554"/>
    <mergeCell ref="A490:A498"/>
    <mergeCell ref="B488:B498"/>
    <mergeCell ref="B502:B512"/>
    <mergeCell ref="A504:A512"/>
    <mergeCell ref="A518:A526"/>
    <mergeCell ref="B516:B526"/>
    <mergeCell ref="B402:B412"/>
    <mergeCell ref="E80:E81"/>
    <mergeCell ref="A50:A58"/>
    <mergeCell ref="A75:A81"/>
    <mergeCell ref="H12:I12"/>
    <mergeCell ref="J12:K12"/>
    <mergeCell ref="F13:G13"/>
    <mergeCell ref="F14:G14"/>
    <mergeCell ref="F15:G15"/>
    <mergeCell ref="F16:G16"/>
    <mergeCell ref="F17:G17"/>
    <mergeCell ref="F105:H105"/>
    <mergeCell ref="F24:G24"/>
    <mergeCell ref="H24:I24"/>
    <mergeCell ref="J24:K24"/>
    <mergeCell ref="F25:G25"/>
    <mergeCell ref="H25:I25"/>
    <mergeCell ref="J25:K25"/>
    <mergeCell ref="F26:G26"/>
    <mergeCell ref="H26:I26"/>
    <mergeCell ref="J26:K26"/>
    <mergeCell ref="F27:G27"/>
    <mergeCell ref="H27:I27"/>
    <mergeCell ref="J27:K27"/>
    <mergeCell ref="A120:A126"/>
    <mergeCell ref="F107:H107"/>
    <mergeCell ref="A204:A214"/>
    <mergeCell ref="A218:A228"/>
    <mergeCell ref="B190:B200"/>
    <mergeCell ref="F124:H124"/>
    <mergeCell ref="F125:H126"/>
    <mergeCell ref="F109:H109"/>
    <mergeCell ref="E95:E96"/>
    <mergeCell ref="F95:H96"/>
    <mergeCell ref="A90:A96"/>
    <mergeCell ref="F92:H92"/>
    <mergeCell ref="F93:H93"/>
    <mergeCell ref="F94:H94"/>
    <mergeCell ref="F106:H106"/>
    <mergeCell ref="F121:H121"/>
    <mergeCell ref="F122:H122"/>
    <mergeCell ref="F123:H123"/>
    <mergeCell ref="F108:H108"/>
    <mergeCell ref="F120:H120"/>
    <mergeCell ref="E125:E126"/>
    <mergeCell ref="F28:G28"/>
    <mergeCell ref="T438:T440"/>
    <mergeCell ref="A532:A540"/>
    <mergeCell ref="T587:T592"/>
    <mergeCell ref="T594:T596"/>
    <mergeCell ref="T468:T470"/>
    <mergeCell ref="T573:T578"/>
    <mergeCell ref="T545:T550"/>
    <mergeCell ref="T531:T536"/>
    <mergeCell ref="T538:T540"/>
    <mergeCell ref="T552:T554"/>
    <mergeCell ref="T559:T564"/>
    <mergeCell ref="T566:T568"/>
    <mergeCell ref="T461:T466"/>
    <mergeCell ref="T475:T480"/>
    <mergeCell ref="A462:A470"/>
    <mergeCell ref="A560:A568"/>
    <mergeCell ref="A574:A582"/>
    <mergeCell ref="B474:B484"/>
    <mergeCell ref="B572:B582"/>
    <mergeCell ref="B558:B568"/>
    <mergeCell ref="B460:B470"/>
    <mergeCell ref="B530:B540"/>
    <mergeCell ref="B586:B596"/>
    <mergeCell ref="A588:A596"/>
    <mergeCell ref="T431:T436"/>
    <mergeCell ref="T368:T370"/>
    <mergeCell ref="B332:B342"/>
    <mergeCell ref="A334:A342"/>
    <mergeCell ref="B346:B356"/>
    <mergeCell ref="T382:T384"/>
    <mergeCell ref="T389:T394"/>
    <mergeCell ref="T403:T408"/>
    <mergeCell ref="T417:T422"/>
    <mergeCell ref="B388:B398"/>
    <mergeCell ref="A404:A412"/>
    <mergeCell ref="B416:B426"/>
    <mergeCell ref="A418:A426"/>
    <mergeCell ref="B430:B440"/>
    <mergeCell ref="A432:A440"/>
    <mergeCell ref="A390:A398"/>
    <mergeCell ref="A348:A356"/>
    <mergeCell ref="B360:B370"/>
    <mergeCell ref="A362:A370"/>
    <mergeCell ref="B374:B384"/>
    <mergeCell ref="A376:A384"/>
    <mergeCell ref="T396:T398"/>
    <mergeCell ref="T410:T412"/>
    <mergeCell ref="T424:T426"/>
    <mergeCell ref="T361:T366"/>
    <mergeCell ref="T375:T380"/>
    <mergeCell ref="T333:T338"/>
    <mergeCell ref="T347:T352"/>
    <mergeCell ref="T326:T328"/>
    <mergeCell ref="T340:T342"/>
    <mergeCell ref="T354:T356"/>
    <mergeCell ref="B218:B228"/>
    <mergeCell ref="T226:T228"/>
    <mergeCell ref="T240:T242"/>
    <mergeCell ref="T254:T256"/>
    <mergeCell ref="T268:T270"/>
    <mergeCell ref="T282:T284"/>
    <mergeCell ref="B274:B284"/>
    <mergeCell ref="N94:P95"/>
    <mergeCell ref="N96:P96"/>
    <mergeCell ref="L79:L80"/>
    <mergeCell ref="N90:P91"/>
    <mergeCell ref="L92:L93"/>
    <mergeCell ref="N92:P93"/>
    <mergeCell ref="T184:T186"/>
    <mergeCell ref="T305:T310"/>
    <mergeCell ref="N120:P121"/>
    <mergeCell ref="L122:L123"/>
    <mergeCell ref="N122:P123"/>
    <mergeCell ref="L124:L125"/>
    <mergeCell ref="N124:P125"/>
    <mergeCell ref="N126:P126"/>
    <mergeCell ref="N105:P106"/>
    <mergeCell ref="L107:L108"/>
    <mergeCell ref="N107:P108"/>
    <mergeCell ref="L120:L121"/>
    <mergeCell ref="L109:L110"/>
    <mergeCell ref="L105:L106"/>
    <mergeCell ref="L94:L95"/>
    <mergeCell ref="T177:T182"/>
    <mergeCell ref="N75:P76"/>
    <mergeCell ref="N77:P78"/>
    <mergeCell ref="L77:L78"/>
    <mergeCell ref="L75:L76"/>
    <mergeCell ref="L90:L91"/>
    <mergeCell ref="F77:H77"/>
    <mergeCell ref="F78:H78"/>
    <mergeCell ref="F79:H79"/>
    <mergeCell ref="F80:H81"/>
    <mergeCell ref="N79:P80"/>
    <mergeCell ref="N81:P81"/>
    <mergeCell ref="F90:H90"/>
    <mergeCell ref="F91:H91"/>
    <mergeCell ref="F75:H75"/>
    <mergeCell ref="F76:H76"/>
    <mergeCell ref="A274:A284"/>
    <mergeCell ref="B318:B328"/>
    <mergeCell ref="A320:A328"/>
    <mergeCell ref="T170:T172"/>
    <mergeCell ref="B176:B186"/>
    <mergeCell ref="T198:T200"/>
    <mergeCell ref="T212:T214"/>
    <mergeCell ref="A190:A200"/>
    <mergeCell ref="T319:T324"/>
    <mergeCell ref="T275:T280"/>
    <mergeCell ref="B304:B314"/>
    <mergeCell ref="A306:A314"/>
    <mergeCell ref="T312:T314"/>
    <mergeCell ref="B204:B214"/>
    <mergeCell ref="A176:A186"/>
    <mergeCell ref="A162:A172"/>
    <mergeCell ref="B162:B172"/>
    <mergeCell ref="A232:A242"/>
    <mergeCell ref="A1:B10"/>
    <mergeCell ref="N109:P110"/>
    <mergeCell ref="N111:P111"/>
    <mergeCell ref="T191:T196"/>
    <mergeCell ref="T205:T210"/>
    <mergeCell ref="T219:T224"/>
    <mergeCell ref="T233:T238"/>
    <mergeCell ref="T247:T252"/>
    <mergeCell ref="T261:T266"/>
    <mergeCell ref="A148:A158"/>
    <mergeCell ref="B148:B158"/>
    <mergeCell ref="T149:T154"/>
    <mergeCell ref="T156:T158"/>
    <mergeCell ref="A246:A256"/>
    <mergeCell ref="A260:A270"/>
    <mergeCell ref="B232:B242"/>
    <mergeCell ref="B246:B256"/>
    <mergeCell ref="B260:B270"/>
    <mergeCell ref="E110:E111"/>
    <mergeCell ref="F110:H111"/>
    <mergeCell ref="A105:A111"/>
    <mergeCell ref="T163:T168"/>
    <mergeCell ref="K7:L7"/>
    <mergeCell ref="K8:L9"/>
    <mergeCell ref="K1:L1"/>
    <mergeCell ref="K2:L3"/>
    <mergeCell ref="F1:H1"/>
    <mergeCell ref="F2:H3"/>
    <mergeCell ref="F7:H7"/>
    <mergeCell ref="F8:H9"/>
    <mergeCell ref="E2:E3"/>
    <mergeCell ref="E8:E9"/>
    <mergeCell ref="I7:J7"/>
    <mergeCell ref="I8:J9"/>
    <mergeCell ref="I1:J1"/>
    <mergeCell ref="I2:J3"/>
    <mergeCell ref="H13:I13"/>
    <mergeCell ref="H14:I14"/>
    <mergeCell ref="H15:I15"/>
    <mergeCell ref="H16:I16"/>
    <mergeCell ref="H17:I17"/>
    <mergeCell ref="H18:I18"/>
    <mergeCell ref="H19:I19"/>
    <mergeCell ref="H20:I20"/>
    <mergeCell ref="H21:I21"/>
    <mergeCell ref="J19:K19"/>
    <mergeCell ref="J20:K20"/>
    <mergeCell ref="J21:K21"/>
    <mergeCell ref="F18:G18"/>
    <mergeCell ref="F19:G19"/>
    <mergeCell ref="F20:G20"/>
    <mergeCell ref="F21:G21"/>
    <mergeCell ref="F22:G22"/>
    <mergeCell ref="F23:G23"/>
    <mergeCell ref="H22:I22"/>
    <mergeCell ref="F12:G12"/>
    <mergeCell ref="F10:H10"/>
    <mergeCell ref="I10:M10"/>
    <mergeCell ref="J22:K22"/>
    <mergeCell ref="J23:K23"/>
    <mergeCell ref="H23:I23"/>
    <mergeCell ref="L12:M12"/>
    <mergeCell ref="L13:M13"/>
    <mergeCell ref="L14:M14"/>
    <mergeCell ref="L15:M15"/>
    <mergeCell ref="L16:M16"/>
    <mergeCell ref="L17:M17"/>
    <mergeCell ref="L18:M18"/>
    <mergeCell ref="L19:M19"/>
    <mergeCell ref="L20:M20"/>
    <mergeCell ref="L21:M21"/>
    <mergeCell ref="L22:M22"/>
    <mergeCell ref="L23:M23"/>
    <mergeCell ref="J13:K13"/>
    <mergeCell ref="J14:K14"/>
    <mergeCell ref="J15:K15"/>
    <mergeCell ref="J16:K16"/>
    <mergeCell ref="J17:K17"/>
    <mergeCell ref="J18:K18"/>
    <mergeCell ref="N1:U10"/>
    <mergeCell ref="N21:O21"/>
    <mergeCell ref="N22:O22"/>
    <mergeCell ref="N12:O12"/>
    <mergeCell ref="N13:O13"/>
    <mergeCell ref="N14:O14"/>
    <mergeCell ref="N15:O15"/>
    <mergeCell ref="N16:O16"/>
    <mergeCell ref="N17:O17"/>
    <mergeCell ref="N18:O18"/>
    <mergeCell ref="N19:O19"/>
    <mergeCell ref="N20:O20"/>
  </mergeCells>
  <conditionalFormatting sqref="P758">
    <cfRule type="expression" priority="8160">
      <formula>(P758="")</formula>
    </cfRule>
  </conditionalFormatting>
  <conditionalFormatting sqref="P759">
    <cfRule type="expression" priority="8159">
      <formula>(P759="")</formula>
    </cfRule>
  </conditionalFormatting>
  <conditionalFormatting sqref="P760">
    <cfRule type="expression" priority="8158">
      <formula>(P760="")</formula>
    </cfRule>
  </conditionalFormatting>
  <conditionalFormatting sqref="P761">
    <cfRule type="expression" priority="8157">
      <formula>(P761="")</formula>
    </cfRule>
  </conditionalFormatting>
  <conditionalFormatting sqref="P762">
    <cfRule type="expression" priority="8156">
      <formula>(P762="")</formula>
    </cfRule>
  </conditionalFormatting>
  <conditionalFormatting sqref="P763">
    <cfRule type="expression" priority="8155">
      <formula>(P763="")</formula>
    </cfRule>
  </conditionalFormatting>
  <conditionalFormatting sqref="P764">
    <cfRule type="expression" priority="8154">
      <formula>(P764="")</formula>
    </cfRule>
  </conditionalFormatting>
  <conditionalFormatting sqref="P758">
    <cfRule type="expression" priority="8153">
      <formula>(P758="")</formula>
    </cfRule>
  </conditionalFormatting>
  <conditionalFormatting sqref="P759">
    <cfRule type="expression" priority="8152">
      <formula>(P759="")</formula>
    </cfRule>
  </conditionalFormatting>
  <conditionalFormatting sqref="P760">
    <cfRule type="expression" priority="8151">
      <formula>(P760="")</formula>
    </cfRule>
  </conditionalFormatting>
  <conditionalFormatting sqref="P761">
    <cfRule type="expression" priority="8150">
      <formula>(P761="")</formula>
    </cfRule>
  </conditionalFormatting>
  <conditionalFormatting sqref="P762">
    <cfRule type="expression" priority="8149">
      <formula>(P762="")</formula>
    </cfRule>
  </conditionalFormatting>
  <conditionalFormatting sqref="P763">
    <cfRule type="expression" priority="8148">
      <formula>(P763="")</formula>
    </cfRule>
  </conditionalFormatting>
  <conditionalFormatting sqref="P764">
    <cfRule type="expression" priority="8147">
      <formula>(P764="")</formula>
    </cfRule>
  </conditionalFormatting>
  <conditionalFormatting sqref="P757:P764">
    <cfRule type="expression" dxfId="916" priority="8162">
      <formula>AND(NOT(K757=P757),NOT(P757=""))</formula>
    </cfRule>
    <cfRule type="expression" dxfId="915" priority="8163">
      <formula>AND((K757=P757),NOT(P757=""))</formula>
    </cfRule>
  </conditionalFormatting>
  <conditionalFormatting sqref="P757">
    <cfRule type="expression" priority="8161">
      <formula>(P757="")</formula>
    </cfRule>
  </conditionalFormatting>
  <conditionalFormatting sqref="R757:R764">
    <cfRule type="expression" dxfId="914" priority="8137">
      <formula>R757=0</formula>
    </cfRule>
  </conditionalFormatting>
  <conditionalFormatting sqref="R597">
    <cfRule type="expression" dxfId="913" priority="8003">
      <formula>R597=0</formula>
    </cfRule>
  </conditionalFormatting>
  <conditionalFormatting sqref="L631:M637">
    <cfRule type="cellIs" dxfId="912" priority="5146" operator="between">
      <formula>0</formula>
      <formula>-100</formula>
    </cfRule>
    <cfRule type="cellIs" dxfId="911" priority="5147" operator="between">
      <formula>2</formula>
      <formula>100</formula>
    </cfRule>
    <cfRule type="cellIs" dxfId="910" priority="5148" operator="between">
      <formula>1</formula>
      <formula>2</formula>
    </cfRule>
    <cfRule type="cellIs" dxfId="909" priority="5149" operator="between">
      <formula>0</formula>
      <formula>1</formula>
    </cfRule>
  </conditionalFormatting>
  <conditionalFormatting sqref="L639:M640">
    <cfRule type="cellIs" dxfId="908" priority="5138" operator="between">
      <formula>0</formula>
      <formula>-100</formula>
    </cfRule>
    <cfRule type="cellIs" dxfId="907" priority="5139" operator="between">
      <formula>2</formula>
      <formula>100</formula>
    </cfRule>
    <cfRule type="cellIs" dxfId="906" priority="5140" operator="between">
      <formula>1</formula>
      <formula>2</formula>
    </cfRule>
    <cfRule type="cellIs" dxfId="905" priority="5141" operator="between">
      <formula>0</formula>
      <formula>1</formula>
    </cfRule>
  </conditionalFormatting>
  <conditionalFormatting sqref="L638:M638">
    <cfRule type="cellIs" dxfId="904" priority="5142" operator="between">
      <formula>0</formula>
      <formula>-100</formula>
    </cfRule>
    <cfRule type="cellIs" dxfId="903" priority="5143" operator="between">
      <formula>2</formula>
      <formula>100</formula>
    </cfRule>
    <cfRule type="cellIs" dxfId="902" priority="5144" operator="between">
      <formula>1</formula>
      <formula>2</formula>
    </cfRule>
    <cfRule type="cellIs" dxfId="901" priority="5145" operator="between">
      <formula>0</formula>
      <formula>1</formula>
    </cfRule>
  </conditionalFormatting>
  <conditionalFormatting sqref="L659:M665">
    <cfRule type="cellIs" dxfId="900" priority="5110" operator="between">
      <formula>0</formula>
      <formula>-100</formula>
    </cfRule>
    <cfRule type="cellIs" dxfId="899" priority="5111" operator="between">
      <formula>2</formula>
      <formula>100</formula>
    </cfRule>
    <cfRule type="cellIs" dxfId="898" priority="5112" operator="between">
      <formula>1</formula>
      <formula>2</formula>
    </cfRule>
    <cfRule type="cellIs" dxfId="897" priority="5113" operator="between">
      <formula>0</formula>
      <formula>1</formula>
    </cfRule>
  </conditionalFormatting>
  <conditionalFormatting sqref="L667:M668">
    <cfRule type="cellIs" dxfId="896" priority="5102" operator="between">
      <formula>0</formula>
      <formula>-100</formula>
    </cfRule>
    <cfRule type="cellIs" dxfId="895" priority="5103" operator="between">
      <formula>2</formula>
      <formula>100</formula>
    </cfRule>
    <cfRule type="cellIs" dxfId="894" priority="5104" operator="between">
      <formula>1</formula>
      <formula>2</formula>
    </cfRule>
    <cfRule type="cellIs" dxfId="893" priority="5105" operator="between">
      <formula>0</formula>
      <formula>1</formula>
    </cfRule>
  </conditionalFormatting>
  <conditionalFormatting sqref="L666:M666">
    <cfRule type="cellIs" dxfId="892" priority="5106" operator="between">
      <formula>0</formula>
      <formula>-100</formula>
    </cfRule>
    <cfRule type="cellIs" dxfId="891" priority="5107" operator="between">
      <formula>2</formula>
      <formula>100</formula>
    </cfRule>
    <cfRule type="cellIs" dxfId="890" priority="5108" operator="between">
      <formula>1</formula>
      <formula>2</formula>
    </cfRule>
    <cfRule type="cellIs" dxfId="889" priority="5109" operator="between">
      <formula>0</formula>
      <formula>1</formula>
    </cfRule>
  </conditionalFormatting>
  <conditionalFormatting sqref="L687:M693">
    <cfRule type="cellIs" dxfId="888" priority="5098" operator="between">
      <formula>0</formula>
      <formula>-100</formula>
    </cfRule>
    <cfRule type="cellIs" dxfId="887" priority="5099" operator="between">
      <formula>2</formula>
      <formula>100</formula>
    </cfRule>
    <cfRule type="cellIs" dxfId="886" priority="5100" operator="between">
      <formula>1</formula>
      <formula>2</formula>
    </cfRule>
    <cfRule type="cellIs" dxfId="885" priority="5101" operator="between">
      <formula>0</formula>
      <formula>1</formula>
    </cfRule>
  </conditionalFormatting>
  <conditionalFormatting sqref="L695:M696">
    <cfRule type="cellIs" dxfId="884" priority="5090" operator="between">
      <formula>0</formula>
      <formula>-100</formula>
    </cfRule>
    <cfRule type="cellIs" dxfId="883" priority="5091" operator="between">
      <formula>2</formula>
      <formula>100</formula>
    </cfRule>
    <cfRule type="cellIs" dxfId="882" priority="5092" operator="between">
      <formula>1</formula>
      <formula>2</formula>
    </cfRule>
    <cfRule type="cellIs" dxfId="881" priority="5093" operator="between">
      <formula>0</formula>
      <formula>1</formula>
    </cfRule>
  </conditionalFormatting>
  <conditionalFormatting sqref="L694:M694">
    <cfRule type="cellIs" dxfId="880" priority="5094" operator="between">
      <formula>0</formula>
      <formula>-100</formula>
    </cfRule>
    <cfRule type="cellIs" dxfId="879" priority="5095" operator="between">
      <formula>2</formula>
      <formula>100</formula>
    </cfRule>
    <cfRule type="cellIs" dxfId="878" priority="5096" operator="between">
      <formula>1</formula>
      <formula>2</formula>
    </cfRule>
    <cfRule type="cellIs" dxfId="877" priority="5097" operator="between">
      <formula>0</formula>
      <formula>1</formula>
    </cfRule>
  </conditionalFormatting>
  <conditionalFormatting sqref="L701:M707">
    <cfRule type="cellIs" dxfId="876" priority="5074" operator="between">
      <formula>0</formula>
      <formula>-100</formula>
    </cfRule>
    <cfRule type="cellIs" dxfId="875" priority="5075" operator="between">
      <formula>2</formula>
      <formula>100</formula>
    </cfRule>
    <cfRule type="cellIs" dxfId="874" priority="5076" operator="between">
      <formula>1</formula>
      <formula>2</formula>
    </cfRule>
    <cfRule type="cellIs" dxfId="873" priority="5077" operator="between">
      <formula>0</formula>
      <formula>1</formula>
    </cfRule>
  </conditionalFormatting>
  <conditionalFormatting sqref="L709:M710">
    <cfRule type="cellIs" dxfId="872" priority="5066" operator="between">
      <formula>0</formula>
      <formula>-100</formula>
    </cfRule>
    <cfRule type="cellIs" dxfId="871" priority="5067" operator="between">
      <formula>2</formula>
      <formula>100</formula>
    </cfRule>
    <cfRule type="cellIs" dxfId="870" priority="5068" operator="between">
      <formula>1</formula>
      <formula>2</formula>
    </cfRule>
    <cfRule type="cellIs" dxfId="869" priority="5069" operator="between">
      <formula>0</formula>
      <formula>1</formula>
    </cfRule>
  </conditionalFormatting>
  <conditionalFormatting sqref="L708:M708">
    <cfRule type="cellIs" dxfId="868" priority="5070" operator="between">
      <formula>0</formula>
      <formula>-100</formula>
    </cfRule>
    <cfRule type="cellIs" dxfId="867" priority="5071" operator="between">
      <formula>2</formula>
      <formula>100</formula>
    </cfRule>
    <cfRule type="cellIs" dxfId="866" priority="5072" operator="between">
      <formula>1</formula>
      <formula>2</formula>
    </cfRule>
    <cfRule type="cellIs" dxfId="865" priority="5073" operator="between">
      <formula>0</formula>
      <formula>1</formula>
    </cfRule>
  </conditionalFormatting>
  <conditionalFormatting sqref="L715:M721">
    <cfRule type="cellIs" dxfId="864" priority="5062" operator="between">
      <formula>0</formula>
      <formula>-100</formula>
    </cfRule>
    <cfRule type="cellIs" dxfId="863" priority="5063" operator="between">
      <formula>2</formula>
      <formula>100</formula>
    </cfRule>
    <cfRule type="cellIs" dxfId="862" priority="5064" operator="between">
      <formula>1</formula>
      <formula>2</formula>
    </cfRule>
    <cfRule type="cellIs" dxfId="861" priority="5065" operator="between">
      <formula>0</formula>
      <formula>1</formula>
    </cfRule>
  </conditionalFormatting>
  <conditionalFormatting sqref="L723:M724">
    <cfRule type="cellIs" dxfId="860" priority="5054" operator="between">
      <formula>0</formula>
      <formula>-100</formula>
    </cfRule>
    <cfRule type="cellIs" dxfId="859" priority="5055" operator="between">
      <formula>2</formula>
      <formula>100</formula>
    </cfRule>
    <cfRule type="cellIs" dxfId="858" priority="5056" operator="between">
      <formula>1</formula>
      <formula>2</formula>
    </cfRule>
    <cfRule type="cellIs" dxfId="857" priority="5057" operator="between">
      <formula>0</formula>
      <formula>1</formula>
    </cfRule>
  </conditionalFormatting>
  <conditionalFormatting sqref="L722:M722">
    <cfRule type="cellIs" dxfId="856" priority="5058" operator="between">
      <formula>0</formula>
      <formula>-100</formula>
    </cfRule>
    <cfRule type="cellIs" dxfId="855" priority="5059" operator="between">
      <formula>2</formula>
      <formula>100</formula>
    </cfRule>
    <cfRule type="cellIs" dxfId="854" priority="5060" operator="between">
      <formula>1</formula>
      <formula>2</formula>
    </cfRule>
    <cfRule type="cellIs" dxfId="853" priority="5061" operator="between">
      <formula>0</formula>
      <formula>1</formula>
    </cfRule>
  </conditionalFormatting>
  <conditionalFormatting sqref="L729:M735">
    <cfRule type="cellIs" dxfId="852" priority="5050" operator="between">
      <formula>0</formula>
      <formula>-100</formula>
    </cfRule>
    <cfRule type="cellIs" dxfId="851" priority="5051" operator="between">
      <formula>2</formula>
      <formula>100</formula>
    </cfRule>
    <cfRule type="cellIs" dxfId="850" priority="5052" operator="between">
      <formula>1</formula>
      <formula>2</formula>
    </cfRule>
    <cfRule type="cellIs" dxfId="849" priority="5053" operator="between">
      <formula>0</formula>
      <formula>1</formula>
    </cfRule>
  </conditionalFormatting>
  <conditionalFormatting sqref="L737:M738">
    <cfRule type="cellIs" dxfId="848" priority="5042" operator="between">
      <formula>0</formula>
      <formula>-100</formula>
    </cfRule>
    <cfRule type="cellIs" dxfId="847" priority="5043" operator="between">
      <formula>2</formula>
      <formula>100</formula>
    </cfRule>
    <cfRule type="cellIs" dxfId="846" priority="5044" operator="between">
      <formula>1</formula>
      <formula>2</formula>
    </cfRule>
    <cfRule type="cellIs" dxfId="845" priority="5045" operator="between">
      <formula>0</formula>
      <formula>1</formula>
    </cfRule>
  </conditionalFormatting>
  <conditionalFormatting sqref="L736:M736">
    <cfRule type="cellIs" dxfId="844" priority="5046" operator="between">
      <formula>0</formula>
      <formula>-100</formula>
    </cfRule>
    <cfRule type="cellIs" dxfId="843" priority="5047" operator="between">
      <formula>2</formula>
      <formula>100</formula>
    </cfRule>
    <cfRule type="cellIs" dxfId="842" priority="5048" operator="between">
      <formula>1</formula>
      <formula>2</formula>
    </cfRule>
    <cfRule type="cellIs" dxfId="841" priority="5049" operator="between">
      <formula>0</formula>
      <formula>1</formula>
    </cfRule>
  </conditionalFormatting>
  <conditionalFormatting sqref="L743:M749">
    <cfRule type="cellIs" dxfId="840" priority="5038" operator="between">
      <formula>0</formula>
      <formula>-100</formula>
    </cfRule>
    <cfRule type="cellIs" dxfId="839" priority="5039" operator="between">
      <formula>2</formula>
      <formula>100</formula>
    </cfRule>
    <cfRule type="cellIs" dxfId="838" priority="5040" operator="between">
      <formula>1</formula>
      <formula>2</formula>
    </cfRule>
    <cfRule type="cellIs" dxfId="837" priority="5041" operator="between">
      <formula>0</formula>
      <formula>1</formula>
    </cfRule>
  </conditionalFormatting>
  <conditionalFormatting sqref="L751:M752">
    <cfRule type="cellIs" dxfId="836" priority="5030" operator="between">
      <formula>0</formula>
      <formula>-100</formula>
    </cfRule>
    <cfRule type="cellIs" dxfId="835" priority="5031" operator="between">
      <formula>2</formula>
      <formula>100</formula>
    </cfRule>
    <cfRule type="cellIs" dxfId="834" priority="5032" operator="between">
      <formula>1</formula>
      <formula>2</formula>
    </cfRule>
    <cfRule type="cellIs" dxfId="833" priority="5033" operator="between">
      <formula>0</formula>
      <formula>1</formula>
    </cfRule>
  </conditionalFormatting>
  <conditionalFormatting sqref="L750:M750">
    <cfRule type="cellIs" dxfId="832" priority="5034" operator="between">
      <formula>0</formula>
      <formula>-100</formula>
    </cfRule>
    <cfRule type="cellIs" dxfId="831" priority="5035" operator="between">
      <formula>2</formula>
      <formula>100</formula>
    </cfRule>
    <cfRule type="cellIs" dxfId="830" priority="5036" operator="between">
      <formula>1</formula>
      <formula>2</formula>
    </cfRule>
    <cfRule type="cellIs" dxfId="829" priority="5037" operator="between">
      <formula>0</formula>
      <formula>1</formula>
    </cfRule>
  </conditionalFormatting>
  <conditionalFormatting sqref="P631:P636">
    <cfRule type="expression" dxfId="828" priority="4970">
      <formula>AND(NOT(K631=P631),NOT(P631=""))</formula>
    </cfRule>
    <cfRule type="expression" dxfId="827" priority="4971">
      <formula>AND((K631=P631),NOT(P631=""))</formula>
    </cfRule>
  </conditionalFormatting>
  <conditionalFormatting sqref="P631">
    <cfRule type="expression" priority="4969">
      <formula>(P631="")</formula>
    </cfRule>
  </conditionalFormatting>
  <conditionalFormatting sqref="P632">
    <cfRule type="expression" dxfId="826" priority="4958">
      <formula>IF(L632="NO BET", TRUE, FALSE)</formula>
    </cfRule>
    <cfRule type="expression" priority="4968">
      <formula>(P632="")</formula>
    </cfRule>
  </conditionalFormatting>
  <conditionalFormatting sqref="P633">
    <cfRule type="expression" priority="4967">
      <formula>(P633="")</formula>
    </cfRule>
  </conditionalFormatting>
  <conditionalFormatting sqref="P634">
    <cfRule type="expression" priority="4966">
      <formula>(P634="")</formula>
    </cfRule>
  </conditionalFormatting>
  <conditionalFormatting sqref="P635">
    <cfRule type="expression" priority="4965">
      <formula>(P635="")</formula>
    </cfRule>
  </conditionalFormatting>
  <conditionalFormatting sqref="P636">
    <cfRule type="expression" priority="4964">
      <formula>(P636="")</formula>
    </cfRule>
  </conditionalFormatting>
  <conditionalFormatting sqref="P632">
    <cfRule type="expression" priority="4963">
      <formula>(P632="")</formula>
    </cfRule>
  </conditionalFormatting>
  <conditionalFormatting sqref="P633">
    <cfRule type="expression" priority="4962">
      <formula>(P633="")</formula>
    </cfRule>
  </conditionalFormatting>
  <conditionalFormatting sqref="P634">
    <cfRule type="expression" priority="4961">
      <formula>(P634="")</formula>
    </cfRule>
  </conditionalFormatting>
  <conditionalFormatting sqref="P635">
    <cfRule type="expression" priority="4960">
      <formula>(P635="")</formula>
    </cfRule>
  </conditionalFormatting>
  <conditionalFormatting sqref="P636">
    <cfRule type="expression" priority="4959">
      <formula>(P636="")</formula>
    </cfRule>
  </conditionalFormatting>
  <conditionalFormatting sqref="P631">
    <cfRule type="expression" dxfId="825" priority="4955">
      <formula>IF(L631="NO BET", TRUE, FALSE)</formula>
    </cfRule>
    <cfRule type="expression" priority="4957">
      <formula>(P631="")</formula>
    </cfRule>
  </conditionalFormatting>
  <conditionalFormatting sqref="P631">
    <cfRule type="expression" priority="4956">
      <formula>(P631="")</formula>
    </cfRule>
  </conditionalFormatting>
  <conditionalFormatting sqref="P633">
    <cfRule type="expression" priority="4954">
      <formula>(P633="")</formula>
    </cfRule>
  </conditionalFormatting>
  <conditionalFormatting sqref="P634">
    <cfRule type="expression" dxfId="824" priority="4951">
      <formula>IF(L634="NO BET", TRUE, FALSE)</formula>
    </cfRule>
    <cfRule type="expression" priority="4953">
      <formula>(P634="")</formula>
    </cfRule>
  </conditionalFormatting>
  <conditionalFormatting sqref="P634">
    <cfRule type="expression" priority="4952">
      <formula>(P634="")</formula>
    </cfRule>
  </conditionalFormatting>
  <conditionalFormatting sqref="P633">
    <cfRule type="expression" dxfId="823" priority="4948">
      <formula>IF(L633="NO BET", TRUE, FALSE)</formula>
    </cfRule>
    <cfRule type="expression" priority="4950">
      <formula>(P633="")</formula>
    </cfRule>
  </conditionalFormatting>
  <conditionalFormatting sqref="P633">
    <cfRule type="expression" priority="4949">
      <formula>(P633="")</formula>
    </cfRule>
  </conditionalFormatting>
  <conditionalFormatting sqref="P635">
    <cfRule type="expression" priority="4947">
      <formula>(P635="")</formula>
    </cfRule>
  </conditionalFormatting>
  <conditionalFormatting sqref="P636">
    <cfRule type="expression" dxfId="822" priority="4944">
      <formula>IF(L636="NO BET", TRUE, FALSE)</formula>
    </cfRule>
    <cfRule type="expression" priority="4946">
      <formula>(P636="")</formula>
    </cfRule>
  </conditionalFormatting>
  <conditionalFormatting sqref="P636">
    <cfRule type="expression" priority="4945">
      <formula>(P636="")</formula>
    </cfRule>
  </conditionalFormatting>
  <conditionalFormatting sqref="P635">
    <cfRule type="expression" dxfId="821" priority="4941">
      <formula>IF(L635="NO BET", TRUE, FALSE)</formula>
    </cfRule>
    <cfRule type="expression" priority="4943">
      <formula>(P635="")</formula>
    </cfRule>
  </conditionalFormatting>
  <conditionalFormatting sqref="P635">
    <cfRule type="expression" priority="4942">
      <formula>(P635="")</formula>
    </cfRule>
  </conditionalFormatting>
  <conditionalFormatting sqref="P637:P640">
    <cfRule type="expression" dxfId="820" priority="4939">
      <formula>AND(NOT(K637=P637),NOT(P637=""))</formula>
    </cfRule>
    <cfRule type="expression" dxfId="819" priority="4940">
      <formula>AND((K637=P637),NOT(P637=""))</formula>
    </cfRule>
  </conditionalFormatting>
  <conditionalFormatting sqref="P637">
    <cfRule type="expression" priority="4938">
      <formula>(P637="")</formula>
    </cfRule>
  </conditionalFormatting>
  <conditionalFormatting sqref="P638">
    <cfRule type="expression" dxfId="818" priority="4931">
      <formula>IF(L638="NO BET", TRUE, FALSE)</formula>
    </cfRule>
    <cfRule type="expression" priority="4937">
      <formula>(P638="")</formula>
    </cfRule>
  </conditionalFormatting>
  <conditionalFormatting sqref="P639">
    <cfRule type="expression" priority="4936">
      <formula>(P639="")</formula>
    </cfRule>
  </conditionalFormatting>
  <conditionalFormatting sqref="P640">
    <cfRule type="expression" priority="4935">
      <formula>(P640="")</formula>
    </cfRule>
  </conditionalFormatting>
  <conditionalFormatting sqref="P638">
    <cfRule type="expression" priority="4934">
      <formula>(P638="")</formula>
    </cfRule>
  </conditionalFormatting>
  <conditionalFormatting sqref="P639">
    <cfRule type="expression" priority="4933">
      <formula>(P639="")</formula>
    </cfRule>
  </conditionalFormatting>
  <conditionalFormatting sqref="P640">
    <cfRule type="expression" priority="4932">
      <formula>(P640="")</formula>
    </cfRule>
  </conditionalFormatting>
  <conditionalFormatting sqref="P637">
    <cfRule type="expression" dxfId="817" priority="4928">
      <formula>IF(L637="NO BET", TRUE, FALSE)</formula>
    </cfRule>
    <cfRule type="expression" priority="4930">
      <formula>(P637="")</formula>
    </cfRule>
  </conditionalFormatting>
  <conditionalFormatting sqref="P637">
    <cfRule type="expression" priority="4929">
      <formula>(P637="")</formula>
    </cfRule>
  </conditionalFormatting>
  <conditionalFormatting sqref="P639">
    <cfRule type="expression" priority="4927">
      <formula>(P639="")</formula>
    </cfRule>
  </conditionalFormatting>
  <conditionalFormatting sqref="P640">
    <cfRule type="expression" dxfId="816" priority="4924">
      <formula>IF(L640="NO BET", TRUE, FALSE)</formula>
    </cfRule>
    <cfRule type="expression" priority="4926">
      <formula>(P640="")</formula>
    </cfRule>
  </conditionalFormatting>
  <conditionalFormatting sqref="P640">
    <cfRule type="expression" priority="4925">
      <formula>(P640="")</formula>
    </cfRule>
  </conditionalFormatting>
  <conditionalFormatting sqref="P639">
    <cfRule type="expression" dxfId="815" priority="4921">
      <formula>IF(L639="NO BET", TRUE, FALSE)</formula>
    </cfRule>
    <cfRule type="expression" priority="4923">
      <formula>(P639="")</formula>
    </cfRule>
  </conditionalFormatting>
  <conditionalFormatting sqref="P639">
    <cfRule type="expression" priority="4922">
      <formula>(P639="")</formula>
    </cfRule>
  </conditionalFormatting>
  <conditionalFormatting sqref="P645:P650">
    <cfRule type="expression" dxfId="814" priority="4919">
      <formula>AND(NOT(K645=P645),NOT(P645=""))</formula>
    </cfRule>
    <cfRule type="expression" dxfId="813" priority="4920">
      <formula>AND((K645=P645),NOT(P645=""))</formula>
    </cfRule>
  </conditionalFormatting>
  <conditionalFormatting sqref="P645">
    <cfRule type="expression" priority="4918">
      <formula>(P645="")</formula>
    </cfRule>
  </conditionalFormatting>
  <conditionalFormatting sqref="P646">
    <cfRule type="expression" dxfId="812" priority="4907">
      <formula>IF(L646="NO BET", TRUE, FALSE)</formula>
    </cfRule>
    <cfRule type="expression" priority="4917">
      <formula>(P646="")</formula>
    </cfRule>
  </conditionalFormatting>
  <conditionalFormatting sqref="P647">
    <cfRule type="expression" priority="4916">
      <formula>(P647="")</formula>
    </cfRule>
  </conditionalFormatting>
  <conditionalFormatting sqref="P648">
    <cfRule type="expression" priority="4915">
      <formula>(P648="")</formula>
    </cfRule>
  </conditionalFormatting>
  <conditionalFormatting sqref="P649">
    <cfRule type="expression" priority="4914">
      <formula>(P649="")</formula>
    </cfRule>
  </conditionalFormatting>
  <conditionalFormatting sqref="P650">
    <cfRule type="expression" priority="4913">
      <formula>(P650="")</formula>
    </cfRule>
  </conditionalFormatting>
  <conditionalFormatting sqref="P646">
    <cfRule type="expression" priority="4912">
      <formula>(P646="")</formula>
    </cfRule>
  </conditionalFormatting>
  <conditionalFormatting sqref="P647">
    <cfRule type="expression" priority="4911">
      <formula>(P647="")</formula>
    </cfRule>
  </conditionalFormatting>
  <conditionalFormatting sqref="P648">
    <cfRule type="expression" priority="4910">
      <formula>(P648="")</formula>
    </cfRule>
  </conditionalFormatting>
  <conditionalFormatting sqref="P649">
    <cfRule type="expression" priority="4909">
      <formula>(P649="")</formula>
    </cfRule>
  </conditionalFormatting>
  <conditionalFormatting sqref="P650">
    <cfRule type="expression" priority="4908">
      <formula>(P650="")</formula>
    </cfRule>
  </conditionalFormatting>
  <conditionalFormatting sqref="P645">
    <cfRule type="expression" dxfId="811" priority="4904">
      <formula>IF(L645="NO BET", TRUE, FALSE)</formula>
    </cfRule>
    <cfRule type="expression" priority="4906">
      <formula>(P645="")</formula>
    </cfRule>
  </conditionalFormatting>
  <conditionalFormatting sqref="P645">
    <cfRule type="expression" priority="4905">
      <formula>(P645="")</formula>
    </cfRule>
  </conditionalFormatting>
  <conditionalFormatting sqref="P647">
    <cfRule type="expression" priority="4903">
      <formula>(P647="")</formula>
    </cfRule>
  </conditionalFormatting>
  <conditionalFormatting sqref="P648">
    <cfRule type="expression" dxfId="810" priority="4900">
      <formula>IF(L648="NO BET", TRUE, FALSE)</formula>
    </cfRule>
    <cfRule type="expression" priority="4902">
      <formula>(P648="")</formula>
    </cfRule>
  </conditionalFormatting>
  <conditionalFormatting sqref="P648">
    <cfRule type="expression" priority="4901">
      <formula>(P648="")</formula>
    </cfRule>
  </conditionalFormatting>
  <conditionalFormatting sqref="P647">
    <cfRule type="expression" dxfId="809" priority="4897">
      <formula>IF(L647="NO BET", TRUE, FALSE)</formula>
    </cfRule>
    <cfRule type="expression" priority="4899">
      <formula>(P647="")</formula>
    </cfRule>
  </conditionalFormatting>
  <conditionalFormatting sqref="P647">
    <cfRule type="expression" priority="4898">
      <formula>(P647="")</formula>
    </cfRule>
  </conditionalFormatting>
  <conditionalFormatting sqref="P649">
    <cfRule type="expression" priority="4896">
      <formula>(P649="")</formula>
    </cfRule>
  </conditionalFormatting>
  <conditionalFormatting sqref="P650">
    <cfRule type="expression" dxfId="808" priority="4893">
      <formula>IF(L650="NO BET", TRUE, FALSE)</formula>
    </cfRule>
    <cfRule type="expression" priority="4895">
      <formula>(P650="")</formula>
    </cfRule>
  </conditionalFormatting>
  <conditionalFormatting sqref="P650">
    <cfRule type="expression" priority="4894">
      <formula>(P650="")</formula>
    </cfRule>
  </conditionalFormatting>
  <conditionalFormatting sqref="P649">
    <cfRule type="expression" dxfId="807" priority="4890">
      <formula>IF(L649="NO BET", TRUE, FALSE)</formula>
    </cfRule>
    <cfRule type="expression" priority="4892">
      <formula>(P649="")</formula>
    </cfRule>
  </conditionalFormatting>
  <conditionalFormatting sqref="P649">
    <cfRule type="expression" priority="4891">
      <formula>(P649="")</formula>
    </cfRule>
  </conditionalFormatting>
  <conditionalFormatting sqref="P651:P654">
    <cfRule type="expression" dxfId="806" priority="4888">
      <formula>AND(NOT(K651=P651),NOT(P651=""))</formula>
    </cfRule>
    <cfRule type="expression" dxfId="805" priority="4889">
      <formula>AND((K651=P651),NOT(P651=""))</formula>
    </cfRule>
  </conditionalFormatting>
  <conditionalFormatting sqref="P651">
    <cfRule type="expression" priority="4887">
      <formula>(P651="")</formula>
    </cfRule>
  </conditionalFormatting>
  <conditionalFormatting sqref="P652">
    <cfRule type="expression" dxfId="804" priority="4880">
      <formula>IF(L652="NO BET", TRUE, FALSE)</formula>
    </cfRule>
    <cfRule type="expression" priority="4886">
      <formula>(P652="")</formula>
    </cfRule>
  </conditionalFormatting>
  <conditionalFormatting sqref="P653">
    <cfRule type="expression" priority="4885">
      <formula>(P653="")</formula>
    </cfRule>
  </conditionalFormatting>
  <conditionalFormatting sqref="P654">
    <cfRule type="expression" priority="4884">
      <formula>(P654="")</formula>
    </cfRule>
  </conditionalFormatting>
  <conditionalFormatting sqref="P652">
    <cfRule type="expression" priority="4883">
      <formula>(P652="")</formula>
    </cfRule>
  </conditionalFormatting>
  <conditionalFormatting sqref="P653">
    <cfRule type="expression" priority="4882">
      <formula>(P653="")</formula>
    </cfRule>
  </conditionalFormatting>
  <conditionalFormatting sqref="P654">
    <cfRule type="expression" priority="4881">
      <formula>(P654="")</formula>
    </cfRule>
  </conditionalFormatting>
  <conditionalFormatting sqref="P651">
    <cfRule type="expression" dxfId="803" priority="4877">
      <formula>IF(L651="NO BET", TRUE, FALSE)</formula>
    </cfRule>
    <cfRule type="expression" priority="4879">
      <formula>(P651="")</formula>
    </cfRule>
  </conditionalFormatting>
  <conditionalFormatting sqref="P651">
    <cfRule type="expression" priority="4878">
      <formula>(P651="")</formula>
    </cfRule>
  </conditionalFormatting>
  <conditionalFormatting sqref="P653">
    <cfRule type="expression" priority="4876">
      <formula>(P653="")</formula>
    </cfRule>
  </conditionalFormatting>
  <conditionalFormatting sqref="P654">
    <cfRule type="expression" dxfId="802" priority="4873">
      <formula>IF(L654="NO BET", TRUE, FALSE)</formula>
    </cfRule>
    <cfRule type="expression" priority="4875">
      <formula>(P654="")</formula>
    </cfRule>
  </conditionalFormatting>
  <conditionalFormatting sqref="P654">
    <cfRule type="expression" priority="4874">
      <formula>(P654="")</formula>
    </cfRule>
  </conditionalFormatting>
  <conditionalFormatting sqref="P653">
    <cfRule type="expression" dxfId="801" priority="4870">
      <formula>IF(L653="NO BET", TRUE, FALSE)</formula>
    </cfRule>
    <cfRule type="expression" priority="4872">
      <formula>(P653="")</formula>
    </cfRule>
  </conditionalFormatting>
  <conditionalFormatting sqref="P653">
    <cfRule type="expression" priority="4871">
      <formula>(P653="")</formula>
    </cfRule>
  </conditionalFormatting>
  <conditionalFormatting sqref="P659:P664">
    <cfRule type="expression" dxfId="800" priority="4868">
      <formula>AND(NOT(K659=P659),NOT(P659=""))</formula>
    </cfRule>
    <cfRule type="expression" dxfId="799" priority="4869">
      <formula>AND((K659=P659),NOT(P659=""))</formula>
    </cfRule>
  </conditionalFormatting>
  <conditionalFormatting sqref="P659">
    <cfRule type="expression" priority="4867">
      <formula>(P659="")</formula>
    </cfRule>
  </conditionalFormatting>
  <conditionalFormatting sqref="P660">
    <cfRule type="expression" dxfId="798" priority="4856">
      <formula>IF(L660="NO BET", TRUE, FALSE)</formula>
    </cfRule>
    <cfRule type="expression" priority="4866">
      <formula>(P660="")</formula>
    </cfRule>
  </conditionalFormatting>
  <conditionalFormatting sqref="P661">
    <cfRule type="expression" priority="4865">
      <formula>(P661="")</formula>
    </cfRule>
  </conditionalFormatting>
  <conditionalFormatting sqref="P662">
    <cfRule type="expression" priority="4864">
      <formula>(P662="")</formula>
    </cfRule>
  </conditionalFormatting>
  <conditionalFormatting sqref="P663">
    <cfRule type="expression" priority="4863">
      <formula>(P663="")</formula>
    </cfRule>
  </conditionalFormatting>
  <conditionalFormatting sqref="P664">
    <cfRule type="expression" priority="4862">
      <formula>(P664="")</formula>
    </cfRule>
  </conditionalFormatting>
  <conditionalFormatting sqref="P660">
    <cfRule type="expression" priority="4861">
      <formula>(P660="")</formula>
    </cfRule>
  </conditionalFormatting>
  <conditionalFormatting sqref="P661">
    <cfRule type="expression" priority="4860">
      <formula>(P661="")</formula>
    </cfRule>
  </conditionalFormatting>
  <conditionalFormatting sqref="P662">
    <cfRule type="expression" priority="4859">
      <formula>(P662="")</formula>
    </cfRule>
  </conditionalFormatting>
  <conditionalFormatting sqref="P663">
    <cfRule type="expression" priority="4858">
      <formula>(P663="")</formula>
    </cfRule>
  </conditionalFormatting>
  <conditionalFormatting sqref="P664">
    <cfRule type="expression" priority="4857">
      <formula>(P664="")</formula>
    </cfRule>
  </conditionalFormatting>
  <conditionalFormatting sqref="P659">
    <cfRule type="expression" dxfId="797" priority="4853">
      <formula>IF(L659="NO BET", TRUE, FALSE)</formula>
    </cfRule>
    <cfRule type="expression" priority="4855">
      <formula>(P659="")</formula>
    </cfRule>
  </conditionalFormatting>
  <conditionalFormatting sqref="P659">
    <cfRule type="expression" priority="4854">
      <formula>(P659="")</formula>
    </cfRule>
  </conditionalFormatting>
  <conditionalFormatting sqref="P661">
    <cfRule type="expression" priority="4852">
      <formula>(P661="")</formula>
    </cfRule>
  </conditionalFormatting>
  <conditionalFormatting sqref="P662">
    <cfRule type="expression" dxfId="796" priority="4849">
      <formula>IF(L662="NO BET", TRUE, FALSE)</formula>
    </cfRule>
    <cfRule type="expression" priority="4851">
      <formula>(P662="")</formula>
    </cfRule>
  </conditionalFormatting>
  <conditionalFormatting sqref="P662">
    <cfRule type="expression" priority="4850">
      <formula>(P662="")</formula>
    </cfRule>
  </conditionalFormatting>
  <conditionalFormatting sqref="P661">
    <cfRule type="expression" dxfId="795" priority="4846">
      <formula>IF(L661="NO BET", TRUE, FALSE)</formula>
    </cfRule>
    <cfRule type="expression" priority="4848">
      <formula>(P661="")</formula>
    </cfRule>
  </conditionalFormatting>
  <conditionalFormatting sqref="P661">
    <cfRule type="expression" priority="4847">
      <formula>(P661="")</formula>
    </cfRule>
  </conditionalFormatting>
  <conditionalFormatting sqref="P663">
    <cfRule type="expression" priority="4845">
      <formula>(P663="")</formula>
    </cfRule>
  </conditionalFormatting>
  <conditionalFormatting sqref="P664">
    <cfRule type="expression" dxfId="794" priority="4842">
      <formula>IF(L664="NO BET", TRUE, FALSE)</formula>
    </cfRule>
    <cfRule type="expression" priority="4844">
      <formula>(P664="")</formula>
    </cfRule>
  </conditionalFormatting>
  <conditionalFormatting sqref="P664">
    <cfRule type="expression" priority="4843">
      <formula>(P664="")</formula>
    </cfRule>
  </conditionalFormatting>
  <conditionalFormatting sqref="P663">
    <cfRule type="expression" dxfId="793" priority="4839">
      <formula>IF(L663="NO BET", TRUE, FALSE)</formula>
    </cfRule>
    <cfRule type="expression" priority="4841">
      <formula>(P663="")</formula>
    </cfRule>
  </conditionalFormatting>
  <conditionalFormatting sqref="P663">
    <cfRule type="expression" priority="4840">
      <formula>(P663="")</formula>
    </cfRule>
  </conditionalFormatting>
  <conditionalFormatting sqref="P665:P668">
    <cfRule type="expression" dxfId="792" priority="4837">
      <formula>AND(NOT(K665=P665),NOT(P665=""))</formula>
    </cfRule>
    <cfRule type="expression" dxfId="791" priority="4838">
      <formula>AND((K665=P665),NOT(P665=""))</formula>
    </cfRule>
  </conditionalFormatting>
  <conditionalFormatting sqref="P665">
    <cfRule type="expression" priority="4836">
      <formula>(P665="")</formula>
    </cfRule>
  </conditionalFormatting>
  <conditionalFormatting sqref="P666">
    <cfRule type="expression" dxfId="790" priority="4829">
      <formula>IF(L666="NO BET", TRUE, FALSE)</formula>
    </cfRule>
    <cfRule type="expression" priority="4835">
      <formula>(P666="")</formula>
    </cfRule>
  </conditionalFormatting>
  <conditionalFormatting sqref="P667">
    <cfRule type="expression" priority="4834">
      <formula>(P667="")</formula>
    </cfRule>
  </conditionalFormatting>
  <conditionalFormatting sqref="P668">
    <cfRule type="expression" priority="4833">
      <formula>(P668="")</formula>
    </cfRule>
  </conditionalFormatting>
  <conditionalFormatting sqref="P666">
    <cfRule type="expression" priority="4832">
      <formula>(P666="")</formula>
    </cfRule>
  </conditionalFormatting>
  <conditionalFormatting sqref="P667">
    <cfRule type="expression" priority="4831">
      <formula>(P667="")</formula>
    </cfRule>
  </conditionalFormatting>
  <conditionalFormatting sqref="P668">
    <cfRule type="expression" priority="4830">
      <formula>(P668="")</formula>
    </cfRule>
  </conditionalFormatting>
  <conditionalFormatting sqref="P665">
    <cfRule type="expression" dxfId="789" priority="4826">
      <formula>IF(L665="NO BET", TRUE, FALSE)</formula>
    </cfRule>
    <cfRule type="expression" priority="4828">
      <formula>(P665="")</formula>
    </cfRule>
  </conditionalFormatting>
  <conditionalFormatting sqref="P665">
    <cfRule type="expression" priority="4827">
      <formula>(P665="")</formula>
    </cfRule>
  </conditionalFormatting>
  <conditionalFormatting sqref="P667">
    <cfRule type="expression" priority="4825">
      <formula>(P667="")</formula>
    </cfRule>
  </conditionalFormatting>
  <conditionalFormatting sqref="P668">
    <cfRule type="expression" dxfId="788" priority="4822">
      <formula>IF(L668="NO BET", TRUE, FALSE)</formula>
    </cfRule>
    <cfRule type="expression" priority="4824">
      <formula>(P668="")</formula>
    </cfRule>
  </conditionalFormatting>
  <conditionalFormatting sqref="P668">
    <cfRule type="expression" priority="4823">
      <formula>(P668="")</formula>
    </cfRule>
  </conditionalFormatting>
  <conditionalFormatting sqref="P667">
    <cfRule type="expression" dxfId="787" priority="4819">
      <formula>IF(L667="NO BET", TRUE, FALSE)</formula>
    </cfRule>
    <cfRule type="expression" priority="4821">
      <formula>(P667="")</formula>
    </cfRule>
  </conditionalFormatting>
  <conditionalFormatting sqref="P667">
    <cfRule type="expression" priority="4820">
      <formula>(P667="")</formula>
    </cfRule>
  </conditionalFormatting>
  <conditionalFormatting sqref="P673">
    <cfRule type="expression" priority="4816">
      <formula>(P673="")</formula>
    </cfRule>
  </conditionalFormatting>
  <conditionalFormatting sqref="P675">
    <cfRule type="expression" priority="4814">
      <formula>(P675="")</formula>
    </cfRule>
  </conditionalFormatting>
  <conditionalFormatting sqref="P676">
    <cfRule type="expression" priority="4813">
      <formula>(P676="")</formula>
    </cfRule>
  </conditionalFormatting>
  <conditionalFormatting sqref="P677">
    <cfRule type="expression" priority="4812">
      <formula>(P677="")</formula>
    </cfRule>
  </conditionalFormatting>
  <conditionalFormatting sqref="P678">
    <cfRule type="expression" priority="4811">
      <formula>(P678="")</formula>
    </cfRule>
  </conditionalFormatting>
  <conditionalFormatting sqref="P674">
    <cfRule type="expression" priority="4810">
      <formula>(P674="")</formula>
    </cfRule>
  </conditionalFormatting>
  <conditionalFormatting sqref="P675">
    <cfRule type="expression" priority="4809">
      <formula>(P675="")</formula>
    </cfRule>
  </conditionalFormatting>
  <conditionalFormatting sqref="P676">
    <cfRule type="expression" priority="4808">
      <formula>(P676="")</formula>
    </cfRule>
  </conditionalFormatting>
  <conditionalFormatting sqref="P677">
    <cfRule type="expression" priority="4807">
      <formula>(P677="")</formula>
    </cfRule>
  </conditionalFormatting>
  <conditionalFormatting sqref="P678">
    <cfRule type="expression" priority="4806">
      <formula>(P678="")</formula>
    </cfRule>
  </conditionalFormatting>
  <conditionalFormatting sqref="P673">
    <cfRule type="expression" priority="4803">
      <formula>(P673="")</formula>
    </cfRule>
  </conditionalFormatting>
  <conditionalFormatting sqref="P675">
    <cfRule type="expression" priority="4801">
      <formula>(P675="")</formula>
    </cfRule>
  </conditionalFormatting>
  <conditionalFormatting sqref="P676">
    <cfRule type="expression" priority="4799">
      <formula>(P676="")</formula>
    </cfRule>
  </conditionalFormatting>
  <conditionalFormatting sqref="P675">
    <cfRule type="expression" priority="4796">
      <formula>(P675="")</formula>
    </cfRule>
  </conditionalFormatting>
  <conditionalFormatting sqref="P677">
    <cfRule type="expression" priority="4794">
      <formula>(P677="")</formula>
    </cfRule>
  </conditionalFormatting>
  <conditionalFormatting sqref="P678">
    <cfRule type="expression" priority="4792">
      <formula>(P678="")</formula>
    </cfRule>
  </conditionalFormatting>
  <conditionalFormatting sqref="P677">
    <cfRule type="expression" priority="4789">
      <formula>(P677="")</formula>
    </cfRule>
  </conditionalFormatting>
  <conditionalFormatting sqref="P679">
    <cfRule type="expression" priority="4785">
      <formula>(P679="")</formula>
    </cfRule>
  </conditionalFormatting>
  <conditionalFormatting sqref="P681">
    <cfRule type="expression" priority="4783">
      <formula>(P681="")</formula>
    </cfRule>
  </conditionalFormatting>
  <conditionalFormatting sqref="P682">
    <cfRule type="expression" priority="4782">
      <formula>(P682="")</formula>
    </cfRule>
  </conditionalFormatting>
  <conditionalFormatting sqref="P680">
    <cfRule type="expression" priority="4781">
      <formula>(P680="")</formula>
    </cfRule>
  </conditionalFormatting>
  <conditionalFormatting sqref="P681">
    <cfRule type="expression" priority="4780">
      <formula>(P681="")</formula>
    </cfRule>
  </conditionalFormatting>
  <conditionalFormatting sqref="P682">
    <cfRule type="expression" priority="4779">
      <formula>(P682="")</formula>
    </cfRule>
  </conditionalFormatting>
  <conditionalFormatting sqref="P679">
    <cfRule type="expression" priority="4776">
      <formula>(P679="")</formula>
    </cfRule>
  </conditionalFormatting>
  <conditionalFormatting sqref="P681">
    <cfRule type="expression" priority="4774">
      <formula>(P681="")</formula>
    </cfRule>
  </conditionalFormatting>
  <conditionalFormatting sqref="P682">
    <cfRule type="expression" priority="4772">
      <formula>(P682="")</formula>
    </cfRule>
  </conditionalFormatting>
  <conditionalFormatting sqref="P681">
    <cfRule type="expression" priority="4769">
      <formula>(P681="")</formula>
    </cfRule>
  </conditionalFormatting>
  <conditionalFormatting sqref="P701:P706">
    <cfRule type="expression" dxfId="786" priority="4715">
      <formula>AND(NOT(K701=P701),NOT(P701=""))</formula>
    </cfRule>
    <cfRule type="expression" dxfId="785" priority="4716">
      <formula>AND((K701=P701),NOT(P701=""))</formula>
    </cfRule>
  </conditionalFormatting>
  <conditionalFormatting sqref="P701">
    <cfRule type="expression" priority="4714">
      <formula>(P701="")</formula>
    </cfRule>
  </conditionalFormatting>
  <conditionalFormatting sqref="P702">
    <cfRule type="expression" dxfId="784" priority="4703">
      <formula>IF(L702="NO BET", TRUE, FALSE)</formula>
    </cfRule>
    <cfRule type="expression" priority="4713">
      <formula>(P702="")</formula>
    </cfRule>
  </conditionalFormatting>
  <conditionalFormatting sqref="P703">
    <cfRule type="expression" priority="4712">
      <formula>(P703="")</formula>
    </cfRule>
  </conditionalFormatting>
  <conditionalFormatting sqref="P704">
    <cfRule type="expression" priority="4711">
      <formula>(P704="")</formula>
    </cfRule>
  </conditionalFormatting>
  <conditionalFormatting sqref="P705">
    <cfRule type="expression" priority="4710">
      <formula>(P705="")</formula>
    </cfRule>
  </conditionalFormatting>
  <conditionalFormatting sqref="P706">
    <cfRule type="expression" priority="4709">
      <formula>(P706="")</formula>
    </cfRule>
  </conditionalFormatting>
  <conditionalFormatting sqref="P702">
    <cfRule type="expression" priority="4708">
      <formula>(P702="")</formula>
    </cfRule>
  </conditionalFormatting>
  <conditionalFormatting sqref="P703">
    <cfRule type="expression" priority="4707">
      <formula>(P703="")</formula>
    </cfRule>
  </conditionalFormatting>
  <conditionalFormatting sqref="P704">
    <cfRule type="expression" priority="4706">
      <formula>(P704="")</formula>
    </cfRule>
  </conditionalFormatting>
  <conditionalFormatting sqref="P705">
    <cfRule type="expression" priority="4705">
      <formula>(P705="")</formula>
    </cfRule>
  </conditionalFormatting>
  <conditionalFormatting sqref="P706">
    <cfRule type="expression" priority="4704">
      <formula>(P706="")</formula>
    </cfRule>
  </conditionalFormatting>
  <conditionalFormatting sqref="P701">
    <cfRule type="expression" dxfId="783" priority="4700">
      <formula>IF(L701="NO BET", TRUE, FALSE)</formula>
    </cfRule>
    <cfRule type="expression" priority="4702">
      <formula>(P701="")</formula>
    </cfRule>
  </conditionalFormatting>
  <conditionalFormatting sqref="P701">
    <cfRule type="expression" priority="4701">
      <formula>(P701="")</formula>
    </cfRule>
  </conditionalFormatting>
  <conditionalFormatting sqref="P703">
    <cfRule type="expression" priority="4699">
      <formula>(P703="")</formula>
    </cfRule>
  </conditionalFormatting>
  <conditionalFormatting sqref="P704">
    <cfRule type="expression" dxfId="782" priority="4696">
      <formula>IF(L704="NO BET", TRUE, FALSE)</formula>
    </cfRule>
    <cfRule type="expression" priority="4698">
      <formula>(P704="")</formula>
    </cfRule>
  </conditionalFormatting>
  <conditionalFormatting sqref="P704">
    <cfRule type="expression" priority="4697">
      <formula>(P704="")</formula>
    </cfRule>
  </conditionalFormatting>
  <conditionalFormatting sqref="P703">
    <cfRule type="expression" dxfId="781" priority="4693">
      <formula>IF(L703="NO BET", TRUE, FALSE)</formula>
    </cfRule>
    <cfRule type="expression" priority="4695">
      <formula>(P703="")</formula>
    </cfRule>
  </conditionalFormatting>
  <conditionalFormatting sqref="P703">
    <cfRule type="expression" priority="4694">
      <formula>(P703="")</formula>
    </cfRule>
  </conditionalFormatting>
  <conditionalFormatting sqref="P705">
    <cfRule type="expression" priority="4692">
      <formula>(P705="")</formula>
    </cfRule>
  </conditionalFormatting>
  <conditionalFormatting sqref="P706">
    <cfRule type="expression" dxfId="780" priority="4689">
      <formula>IF(L706="NO BET", TRUE, FALSE)</formula>
    </cfRule>
    <cfRule type="expression" priority="4691">
      <formula>(P706="")</formula>
    </cfRule>
  </conditionalFormatting>
  <conditionalFormatting sqref="P706">
    <cfRule type="expression" priority="4690">
      <formula>(P706="")</formula>
    </cfRule>
  </conditionalFormatting>
  <conditionalFormatting sqref="P705">
    <cfRule type="expression" dxfId="779" priority="4686">
      <formula>IF(L705="NO BET", TRUE, FALSE)</formula>
    </cfRule>
    <cfRule type="expression" priority="4688">
      <formula>(P705="")</formula>
    </cfRule>
  </conditionalFormatting>
  <conditionalFormatting sqref="P705">
    <cfRule type="expression" priority="4687">
      <formula>(P705="")</formula>
    </cfRule>
  </conditionalFormatting>
  <conditionalFormatting sqref="P707:P710">
    <cfRule type="expression" dxfId="778" priority="4684">
      <formula>AND(NOT(K707=P707),NOT(P707=""))</formula>
    </cfRule>
    <cfRule type="expression" dxfId="777" priority="4685">
      <formula>AND((K707=P707),NOT(P707=""))</formula>
    </cfRule>
  </conditionalFormatting>
  <conditionalFormatting sqref="P707">
    <cfRule type="expression" priority="4683">
      <formula>(P707="")</formula>
    </cfRule>
  </conditionalFormatting>
  <conditionalFormatting sqref="P708">
    <cfRule type="expression" dxfId="776" priority="4676">
      <formula>IF(L708="NO BET", TRUE, FALSE)</formula>
    </cfRule>
    <cfRule type="expression" priority="4682">
      <formula>(P708="")</formula>
    </cfRule>
  </conditionalFormatting>
  <conditionalFormatting sqref="P709">
    <cfRule type="expression" priority="4681">
      <formula>(P709="")</formula>
    </cfRule>
  </conditionalFormatting>
  <conditionalFormatting sqref="P710">
    <cfRule type="expression" priority="4680">
      <formula>(P710="")</formula>
    </cfRule>
  </conditionalFormatting>
  <conditionalFormatting sqref="P708">
    <cfRule type="expression" priority="4679">
      <formula>(P708="")</formula>
    </cfRule>
  </conditionalFormatting>
  <conditionalFormatting sqref="P709">
    <cfRule type="expression" priority="4678">
      <formula>(P709="")</formula>
    </cfRule>
  </conditionalFormatting>
  <conditionalFormatting sqref="P710">
    <cfRule type="expression" priority="4677">
      <formula>(P710="")</formula>
    </cfRule>
  </conditionalFormatting>
  <conditionalFormatting sqref="P707">
    <cfRule type="expression" dxfId="775" priority="4673">
      <formula>IF(L707="NO BET", TRUE, FALSE)</formula>
    </cfRule>
    <cfRule type="expression" priority="4675">
      <formula>(P707="")</formula>
    </cfRule>
  </conditionalFormatting>
  <conditionalFormatting sqref="P707">
    <cfRule type="expression" priority="4674">
      <formula>(P707="")</formula>
    </cfRule>
  </conditionalFormatting>
  <conditionalFormatting sqref="P709">
    <cfRule type="expression" priority="4672">
      <formula>(P709="")</formula>
    </cfRule>
  </conditionalFormatting>
  <conditionalFormatting sqref="P710">
    <cfRule type="expression" dxfId="774" priority="4669">
      <formula>IF(L710="NO BET", TRUE, FALSE)</formula>
    </cfRule>
    <cfRule type="expression" priority="4671">
      <formula>(P710="")</formula>
    </cfRule>
  </conditionalFormatting>
  <conditionalFormatting sqref="P710">
    <cfRule type="expression" priority="4670">
      <formula>(P710="")</formula>
    </cfRule>
  </conditionalFormatting>
  <conditionalFormatting sqref="P709">
    <cfRule type="expression" dxfId="773" priority="4666">
      <formula>IF(L709="NO BET", TRUE, FALSE)</formula>
    </cfRule>
    <cfRule type="expression" priority="4668">
      <formula>(P709="")</formula>
    </cfRule>
  </conditionalFormatting>
  <conditionalFormatting sqref="P709">
    <cfRule type="expression" priority="4667">
      <formula>(P709="")</formula>
    </cfRule>
  </conditionalFormatting>
  <conditionalFormatting sqref="P715:P720">
    <cfRule type="expression" dxfId="772" priority="4664">
      <formula>AND(NOT(K715=P715),NOT(P715=""))</formula>
    </cfRule>
    <cfRule type="expression" dxfId="771" priority="4665">
      <formula>AND((K715=P715),NOT(P715=""))</formula>
    </cfRule>
  </conditionalFormatting>
  <conditionalFormatting sqref="P715">
    <cfRule type="expression" priority="4663">
      <formula>(P715="")</formula>
    </cfRule>
  </conditionalFormatting>
  <conditionalFormatting sqref="P716">
    <cfRule type="expression" dxfId="770" priority="4652">
      <formula>IF(L716="NO BET", TRUE, FALSE)</formula>
    </cfRule>
    <cfRule type="expression" priority="4662">
      <formula>(P716="")</formula>
    </cfRule>
  </conditionalFormatting>
  <conditionalFormatting sqref="P717">
    <cfRule type="expression" priority="4661">
      <formula>(P717="")</formula>
    </cfRule>
  </conditionalFormatting>
  <conditionalFormatting sqref="P718">
    <cfRule type="expression" priority="4660">
      <formula>(P718="")</formula>
    </cfRule>
  </conditionalFormatting>
  <conditionalFormatting sqref="P719">
    <cfRule type="expression" priority="4659">
      <formula>(P719="")</formula>
    </cfRule>
  </conditionalFormatting>
  <conditionalFormatting sqref="P720">
    <cfRule type="expression" priority="4658">
      <formula>(P720="")</formula>
    </cfRule>
  </conditionalFormatting>
  <conditionalFormatting sqref="P716">
    <cfRule type="expression" priority="4657">
      <formula>(P716="")</formula>
    </cfRule>
  </conditionalFormatting>
  <conditionalFormatting sqref="P717">
    <cfRule type="expression" priority="4656">
      <formula>(P717="")</formula>
    </cfRule>
  </conditionalFormatting>
  <conditionalFormatting sqref="P718">
    <cfRule type="expression" priority="4655">
      <formula>(P718="")</formula>
    </cfRule>
  </conditionalFormatting>
  <conditionalFormatting sqref="P719">
    <cfRule type="expression" priority="4654">
      <formula>(P719="")</formula>
    </cfRule>
  </conditionalFormatting>
  <conditionalFormatting sqref="P720">
    <cfRule type="expression" priority="4653">
      <formula>(P720="")</formula>
    </cfRule>
  </conditionalFormatting>
  <conditionalFormatting sqref="P715">
    <cfRule type="expression" dxfId="769" priority="4649">
      <formula>IF(L715="NO BET", TRUE, FALSE)</formula>
    </cfRule>
    <cfRule type="expression" priority="4651">
      <formula>(P715="")</formula>
    </cfRule>
  </conditionalFormatting>
  <conditionalFormatting sqref="P715">
    <cfRule type="expression" priority="4650">
      <formula>(P715="")</formula>
    </cfRule>
  </conditionalFormatting>
  <conditionalFormatting sqref="P717">
    <cfRule type="expression" priority="4648">
      <formula>(P717="")</formula>
    </cfRule>
  </conditionalFormatting>
  <conditionalFormatting sqref="P718">
    <cfRule type="expression" dxfId="768" priority="4645">
      <formula>IF(L718="NO BET", TRUE, FALSE)</formula>
    </cfRule>
    <cfRule type="expression" priority="4647">
      <formula>(P718="")</formula>
    </cfRule>
  </conditionalFormatting>
  <conditionalFormatting sqref="P718">
    <cfRule type="expression" priority="4646">
      <formula>(P718="")</formula>
    </cfRule>
  </conditionalFormatting>
  <conditionalFormatting sqref="P717">
    <cfRule type="expression" dxfId="767" priority="4642">
      <formula>IF(L717="NO BET", TRUE, FALSE)</formula>
    </cfRule>
    <cfRule type="expression" priority="4644">
      <formula>(P717="")</formula>
    </cfRule>
  </conditionalFormatting>
  <conditionalFormatting sqref="P717">
    <cfRule type="expression" priority="4643">
      <formula>(P717="")</formula>
    </cfRule>
  </conditionalFormatting>
  <conditionalFormatting sqref="P719">
    <cfRule type="expression" priority="4641">
      <formula>(P719="")</formula>
    </cfRule>
  </conditionalFormatting>
  <conditionalFormatting sqref="P720">
    <cfRule type="expression" dxfId="766" priority="4638">
      <formula>IF(L720="NO BET", TRUE, FALSE)</formula>
    </cfRule>
    <cfRule type="expression" priority="4640">
      <formula>(P720="")</formula>
    </cfRule>
  </conditionalFormatting>
  <conditionalFormatting sqref="P720">
    <cfRule type="expression" priority="4639">
      <formula>(P720="")</formula>
    </cfRule>
  </conditionalFormatting>
  <conditionalFormatting sqref="P719">
    <cfRule type="expression" dxfId="765" priority="4635">
      <formula>IF(L719="NO BET", TRUE, FALSE)</formula>
    </cfRule>
    <cfRule type="expression" priority="4637">
      <formula>(P719="")</formula>
    </cfRule>
  </conditionalFormatting>
  <conditionalFormatting sqref="P719">
    <cfRule type="expression" priority="4636">
      <formula>(P719="")</formula>
    </cfRule>
  </conditionalFormatting>
  <conditionalFormatting sqref="P721:P724">
    <cfRule type="expression" dxfId="764" priority="4633">
      <formula>AND(NOT(K721=P721),NOT(P721=""))</formula>
    </cfRule>
    <cfRule type="expression" dxfId="763" priority="4634">
      <formula>AND((K721=P721),NOT(P721=""))</formula>
    </cfRule>
  </conditionalFormatting>
  <conditionalFormatting sqref="P721">
    <cfRule type="expression" priority="4632">
      <formula>(P721="")</formula>
    </cfRule>
  </conditionalFormatting>
  <conditionalFormatting sqref="P722">
    <cfRule type="expression" dxfId="762" priority="4625">
      <formula>IF(L722="NO BET", TRUE, FALSE)</formula>
    </cfRule>
    <cfRule type="expression" priority="4631">
      <formula>(P722="")</formula>
    </cfRule>
  </conditionalFormatting>
  <conditionalFormatting sqref="P723">
    <cfRule type="expression" priority="4630">
      <formula>(P723="")</formula>
    </cfRule>
  </conditionalFormatting>
  <conditionalFormatting sqref="P724">
    <cfRule type="expression" priority="4629">
      <formula>(P724="")</formula>
    </cfRule>
  </conditionalFormatting>
  <conditionalFormatting sqref="P722">
    <cfRule type="expression" priority="4628">
      <formula>(P722="")</formula>
    </cfRule>
  </conditionalFormatting>
  <conditionalFormatting sqref="P723">
    <cfRule type="expression" priority="4627">
      <formula>(P723="")</formula>
    </cfRule>
  </conditionalFormatting>
  <conditionalFormatting sqref="P724">
    <cfRule type="expression" priority="4626">
      <formula>(P724="")</formula>
    </cfRule>
  </conditionalFormatting>
  <conditionalFormatting sqref="P721">
    <cfRule type="expression" dxfId="761" priority="4622">
      <formula>IF(L721="NO BET", TRUE, FALSE)</formula>
    </cfRule>
    <cfRule type="expression" priority="4624">
      <formula>(P721="")</formula>
    </cfRule>
  </conditionalFormatting>
  <conditionalFormatting sqref="P721">
    <cfRule type="expression" priority="4623">
      <formula>(P721="")</formula>
    </cfRule>
  </conditionalFormatting>
  <conditionalFormatting sqref="P723">
    <cfRule type="expression" priority="4621">
      <formula>(P723="")</formula>
    </cfRule>
  </conditionalFormatting>
  <conditionalFormatting sqref="P724">
    <cfRule type="expression" dxfId="760" priority="4618">
      <formula>IF(L724="NO BET", TRUE, FALSE)</formula>
    </cfRule>
    <cfRule type="expression" priority="4620">
      <formula>(P724="")</formula>
    </cfRule>
  </conditionalFormatting>
  <conditionalFormatting sqref="P724">
    <cfRule type="expression" priority="4619">
      <formula>(P724="")</formula>
    </cfRule>
  </conditionalFormatting>
  <conditionalFormatting sqref="P723">
    <cfRule type="expression" dxfId="759" priority="4615">
      <formula>IF(L723="NO BET", TRUE, FALSE)</formula>
    </cfRule>
    <cfRule type="expression" priority="4617">
      <formula>(P723="")</formula>
    </cfRule>
  </conditionalFormatting>
  <conditionalFormatting sqref="P723">
    <cfRule type="expression" priority="4616">
      <formula>(P723="")</formula>
    </cfRule>
  </conditionalFormatting>
  <conditionalFormatting sqref="P729:P734">
    <cfRule type="expression" dxfId="758" priority="4613">
      <formula>AND(NOT(K729=P729),NOT(P729=""))</formula>
    </cfRule>
    <cfRule type="expression" dxfId="757" priority="4614">
      <formula>AND((K729=P729),NOT(P729=""))</formula>
    </cfRule>
  </conditionalFormatting>
  <conditionalFormatting sqref="P729">
    <cfRule type="expression" priority="4612">
      <formula>(P729="")</formula>
    </cfRule>
  </conditionalFormatting>
  <conditionalFormatting sqref="P730">
    <cfRule type="expression" dxfId="756" priority="4601">
      <formula>IF(L730="NO BET", TRUE, FALSE)</formula>
    </cfRule>
    <cfRule type="expression" priority="4611">
      <formula>(P730="")</formula>
    </cfRule>
  </conditionalFormatting>
  <conditionalFormatting sqref="P731">
    <cfRule type="expression" priority="4610">
      <formula>(P731="")</formula>
    </cfRule>
  </conditionalFormatting>
  <conditionalFormatting sqref="P732">
    <cfRule type="expression" priority="4609">
      <formula>(P732="")</formula>
    </cfRule>
  </conditionalFormatting>
  <conditionalFormatting sqref="P733">
    <cfRule type="expression" priority="4608">
      <formula>(P733="")</formula>
    </cfRule>
  </conditionalFormatting>
  <conditionalFormatting sqref="P734">
    <cfRule type="expression" priority="4607">
      <formula>(P734="")</formula>
    </cfRule>
  </conditionalFormatting>
  <conditionalFormatting sqref="P730">
    <cfRule type="expression" priority="4606">
      <formula>(P730="")</formula>
    </cfRule>
  </conditionalFormatting>
  <conditionalFormatting sqref="P731">
    <cfRule type="expression" priority="4605">
      <formula>(P731="")</formula>
    </cfRule>
  </conditionalFormatting>
  <conditionalFormatting sqref="P732">
    <cfRule type="expression" priority="4604">
      <formula>(P732="")</formula>
    </cfRule>
  </conditionalFormatting>
  <conditionalFormatting sqref="P733">
    <cfRule type="expression" priority="4603">
      <formula>(P733="")</formula>
    </cfRule>
  </conditionalFormatting>
  <conditionalFormatting sqref="P734">
    <cfRule type="expression" priority="4602">
      <formula>(P734="")</formula>
    </cfRule>
  </conditionalFormatting>
  <conditionalFormatting sqref="P729">
    <cfRule type="expression" dxfId="755" priority="4598">
      <formula>IF(L729="NO BET", TRUE, FALSE)</formula>
    </cfRule>
    <cfRule type="expression" priority="4600">
      <formula>(P729="")</formula>
    </cfRule>
  </conditionalFormatting>
  <conditionalFormatting sqref="P729">
    <cfRule type="expression" priority="4599">
      <formula>(P729="")</formula>
    </cfRule>
  </conditionalFormatting>
  <conditionalFormatting sqref="P731">
    <cfRule type="expression" priority="4597">
      <formula>(P731="")</formula>
    </cfRule>
  </conditionalFormatting>
  <conditionalFormatting sqref="P732">
    <cfRule type="expression" dxfId="754" priority="4594">
      <formula>IF(L732="NO BET", TRUE, FALSE)</formula>
    </cfRule>
    <cfRule type="expression" priority="4596">
      <formula>(P732="")</formula>
    </cfRule>
  </conditionalFormatting>
  <conditionalFormatting sqref="P732">
    <cfRule type="expression" priority="4595">
      <formula>(P732="")</formula>
    </cfRule>
  </conditionalFormatting>
  <conditionalFormatting sqref="P731">
    <cfRule type="expression" dxfId="753" priority="4591">
      <formula>IF(L731="NO BET", TRUE, FALSE)</formula>
    </cfRule>
    <cfRule type="expression" priority="4593">
      <formula>(P731="")</formula>
    </cfRule>
  </conditionalFormatting>
  <conditionalFormatting sqref="P731">
    <cfRule type="expression" priority="4592">
      <formula>(P731="")</formula>
    </cfRule>
  </conditionalFormatting>
  <conditionalFormatting sqref="P733">
    <cfRule type="expression" priority="4590">
      <formula>(P733="")</formula>
    </cfRule>
  </conditionalFormatting>
  <conditionalFormatting sqref="P734">
    <cfRule type="expression" dxfId="752" priority="4587">
      <formula>IF(L734="NO BET", TRUE, FALSE)</formula>
    </cfRule>
    <cfRule type="expression" priority="4589">
      <formula>(P734="")</formula>
    </cfRule>
  </conditionalFormatting>
  <conditionalFormatting sqref="P734">
    <cfRule type="expression" priority="4588">
      <formula>(P734="")</formula>
    </cfRule>
  </conditionalFormatting>
  <conditionalFormatting sqref="P733">
    <cfRule type="expression" dxfId="751" priority="4584">
      <formula>IF(L733="NO BET", TRUE, FALSE)</formula>
    </cfRule>
    <cfRule type="expression" priority="4586">
      <formula>(P733="")</formula>
    </cfRule>
  </conditionalFormatting>
  <conditionalFormatting sqref="P733">
    <cfRule type="expression" priority="4585">
      <formula>(P733="")</formula>
    </cfRule>
  </conditionalFormatting>
  <conditionalFormatting sqref="P735:P738">
    <cfRule type="expression" dxfId="750" priority="4582">
      <formula>AND(NOT(K735=P735),NOT(P735=""))</formula>
    </cfRule>
    <cfRule type="expression" dxfId="749" priority="4583">
      <formula>AND((K735=P735),NOT(P735=""))</formula>
    </cfRule>
  </conditionalFormatting>
  <conditionalFormatting sqref="P735">
    <cfRule type="expression" priority="4581">
      <formula>(P735="")</formula>
    </cfRule>
  </conditionalFormatting>
  <conditionalFormatting sqref="P736">
    <cfRule type="expression" dxfId="748" priority="4574">
      <formula>IF(L736="NO BET", TRUE, FALSE)</formula>
    </cfRule>
    <cfRule type="expression" priority="4580">
      <formula>(P736="")</formula>
    </cfRule>
  </conditionalFormatting>
  <conditionalFormatting sqref="P737">
    <cfRule type="expression" priority="4579">
      <formula>(P737="")</formula>
    </cfRule>
  </conditionalFormatting>
  <conditionalFormatting sqref="P738">
    <cfRule type="expression" priority="4578">
      <formula>(P738="")</formula>
    </cfRule>
  </conditionalFormatting>
  <conditionalFormatting sqref="P736">
    <cfRule type="expression" priority="4577">
      <formula>(P736="")</formula>
    </cfRule>
  </conditionalFormatting>
  <conditionalFormatting sqref="P737">
    <cfRule type="expression" priority="4576">
      <formula>(P737="")</formula>
    </cfRule>
  </conditionalFormatting>
  <conditionalFormatting sqref="P738">
    <cfRule type="expression" priority="4575">
      <formula>(P738="")</formula>
    </cfRule>
  </conditionalFormatting>
  <conditionalFormatting sqref="P735">
    <cfRule type="expression" dxfId="747" priority="4571">
      <formula>IF(L735="NO BET", TRUE, FALSE)</formula>
    </cfRule>
    <cfRule type="expression" priority="4573">
      <formula>(P735="")</formula>
    </cfRule>
  </conditionalFormatting>
  <conditionalFormatting sqref="P735">
    <cfRule type="expression" priority="4572">
      <formula>(P735="")</formula>
    </cfRule>
  </conditionalFormatting>
  <conditionalFormatting sqref="P737">
    <cfRule type="expression" priority="4570">
      <formula>(P737="")</formula>
    </cfRule>
  </conditionalFormatting>
  <conditionalFormatting sqref="P738">
    <cfRule type="expression" dxfId="746" priority="4567">
      <formula>IF(L738="NO BET", TRUE, FALSE)</formula>
    </cfRule>
    <cfRule type="expression" priority="4569">
      <formula>(P738="")</formula>
    </cfRule>
  </conditionalFormatting>
  <conditionalFormatting sqref="P738">
    <cfRule type="expression" priority="4568">
      <formula>(P738="")</formula>
    </cfRule>
  </conditionalFormatting>
  <conditionalFormatting sqref="P737">
    <cfRule type="expression" dxfId="745" priority="4564">
      <formula>IF(L737="NO BET", TRUE, FALSE)</formula>
    </cfRule>
    <cfRule type="expression" priority="4566">
      <formula>(P737="")</formula>
    </cfRule>
  </conditionalFormatting>
  <conditionalFormatting sqref="P737">
    <cfRule type="expression" priority="4565">
      <formula>(P737="")</formula>
    </cfRule>
  </conditionalFormatting>
  <conditionalFormatting sqref="P743:P748">
    <cfRule type="expression" dxfId="744" priority="4562">
      <formula>AND(NOT(K743=P743),NOT(P743=""))</formula>
    </cfRule>
    <cfRule type="expression" dxfId="743" priority="4563">
      <formula>AND((K743=P743),NOT(P743=""))</formula>
    </cfRule>
  </conditionalFormatting>
  <conditionalFormatting sqref="P743">
    <cfRule type="expression" priority="4561">
      <formula>(P743="")</formula>
    </cfRule>
  </conditionalFormatting>
  <conditionalFormatting sqref="P744">
    <cfRule type="expression" dxfId="742" priority="4550">
      <formula>IF(L744="NO BET", TRUE, FALSE)</formula>
    </cfRule>
    <cfRule type="expression" priority="4560">
      <formula>(P744="")</formula>
    </cfRule>
  </conditionalFormatting>
  <conditionalFormatting sqref="P745">
    <cfRule type="expression" priority="4559">
      <formula>(P745="")</formula>
    </cfRule>
  </conditionalFormatting>
  <conditionalFormatting sqref="P746">
    <cfRule type="expression" priority="4558">
      <formula>(P746="")</formula>
    </cfRule>
  </conditionalFormatting>
  <conditionalFormatting sqref="P747">
    <cfRule type="expression" priority="4557">
      <formula>(P747="")</formula>
    </cfRule>
  </conditionalFormatting>
  <conditionalFormatting sqref="P748">
    <cfRule type="expression" priority="4556">
      <formula>(P748="")</formula>
    </cfRule>
  </conditionalFormatting>
  <conditionalFormatting sqref="P744">
    <cfRule type="expression" priority="4555">
      <formula>(P744="")</formula>
    </cfRule>
  </conditionalFormatting>
  <conditionalFormatting sqref="P745">
    <cfRule type="expression" priority="4554">
      <formula>(P745="")</formula>
    </cfRule>
  </conditionalFormatting>
  <conditionalFormatting sqref="P746">
    <cfRule type="expression" priority="4553">
      <formula>(P746="")</formula>
    </cfRule>
  </conditionalFormatting>
  <conditionalFormatting sqref="P747">
    <cfRule type="expression" priority="4552">
      <formula>(P747="")</formula>
    </cfRule>
  </conditionalFormatting>
  <conditionalFormatting sqref="P748">
    <cfRule type="expression" priority="4551">
      <formula>(P748="")</formula>
    </cfRule>
  </conditionalFormatting>
  <conditionalFormatting sqref="P743">
    <cfRule type="expression" dxfId="741" priority="4547">
      <formula>IF(L743="NO BET", TRUE, FALSE)</formula>
    </cfRule>
    <cfRule type="expression" priority="4549">
      <formula>(P743="")</formula>
    </cfRule>
  </conditionalFormatting>
  <conditionalFormatting sqref="P743">
    <cfRule type="expression" priority="4548">
      <formula>(P743="")</formula>
    </cfRule>
  </conditionalFormatting>
  <conditionalFormatting sqref="P745">
    <cfRule type="expression" priority="4546">
      <formula>(P745="")</formula>
    </cfRule>
  </conditionalFormatting>
  <conditionalFormatting sqref="P746">
    <cfRule type="expression" dxfId="740" priority="4543">
      <formula>IF(L746="NO BET", TRUE, FALSE)</formula>
    </cfRule>
    <cfRule type="expression" priority="4545">
      <formula>(P746="")</formula>
    </cfRule>
  </conditionalFormatting>
  <conditionalFormatting sqref="P746">
    <cfRule type="expression" priority="4544">
      <formula>(P746="")</formula>
    </cfRule>
  </conditionalFormatting>
  <conditionalFormatting sqref="P745">
    <cfRule type="expression" dxfId="739" priority="4540">
      <formula>IF(L745="NO BET", TRUE, FALSE)</formula>
    </cfRule>
    <cfRule type="expression" priority="4542">
      <formula>(P745="")</formula>
    </cfRule>
  </conditionalFormatting>
  <conditionalFormatting sqref="P745">
    <cfRule type="expression" priority="4541">
      <formula>(P745="")</formula>
    </cfRule>
  </conditionalFormatting>
  <conditionalFormatting sqref="P747">
    <cfRule type="expression" priority="4539">
      <formula>(P747="")</formula>
    </cfRule>
  </conditionalFormatting>
  <conditionalFormatting sqref="P748">
    <cfRule type="expression" dxfId="738" priority="4536">
      <formula>IF(L748="NO BET", TRUE, FALSE)</formula>
    </cfRule>
    <cfRule type="expression" priority="4538">
      <formula>(P748="")</formula>
    </cfRule>
  </conditionalFormatting>
  <conditionalFormatting sqref="P748">
    <cfRule type="expression" priority="4537">
      <formula>(P748="")</formula>
    </cfRule>
  </conditionalFormatting>
  <conditionalFormatting sqref="P747">
    <cfRule type="expression" dxfId="737" priority="4533">
      <formula>IF(L747="NO BET", TRUE, FALSE)</formula>
    </cfRule>
    <cfRule type="expression" priority="4535">
      <formula>(P747="")</formula>
    </cfRule>
  </conditionalFormatting>
  <conditionalFormatting sqref="P747">
    <cfRule type="expression" priority="4534">
      <formula>(P747="")</formula>
    </cfRule>
  </conditionalFormatting>
  <conditionalFormatting sqref="P749:P752">
    <cfRule type="expression" dxfId="736" priority="4531">
      <formula>AND(NOT(K749=P749),NOT(P749=""))</formula>
    </cfRule>
    <cfRule type="expression" dxfId="735" priority="4532">
      <formula>AND((K749=P749),NOT(P749=""))</formula>
    </cfRule>
  </conditionalFormatting>
  <conditionalFormatting sqref="P749">
    <cfRule type="expression" priority="4530">
      <formula>(P749="")</formula>
    </cfRule>
  </conditionalFormatting>
  <conditionalFormatting sqref="P750">
    <cfRule type="expression" dxfId="734" priority="4523">
      <formula>IF(L750="NO BET", TRUE, FALSE)</formula>
    </cfRule>
    <cfRule type="expression" priority="4529">
      <formula>(P750="")</formula>
    </cfRule>
  </conditionalFormatting>
  <conditionalFormatting sqref="P751">
    <cfRule type="expression" priority="4528">
      <formula>(P751="")</formula>
    </cfRule>
  </conditionalFormatting>
  <conditionalFormatting sqref="P752">
    <cfRule type="expression" priority="4527">
      <formula>(P752="")</formula>
    </cfRule>
  </conditionalFormatting>
  <conditionalFormatting sqref="P750">
    <cfRule type="expression" priority="4526">
      <formula>(P750="")</formula>
    </cfRule>
  </conditionalFormatting>
  <conditionalFormatting sqref="P751">
    <cfRule type="expression" priority="4525">
      <formula>(P751="")</formula>
    </cfRule>
  </conditionalFormatting>
  <conditionalFormatting sqref="P752">
    <cfRule type="expression" priority="4524">
      <formula>(P752="")</formula>
    </cfRule>
  </conditionalFormatting>
  <conditionalFormatting sqref="P749">
    <cfRule type="expression" dxfId="733" priority="4520">
      <formula>IF(L749="NO BET", TRUE, FALSE)</formula>
    </cfRule>
    <cfRule type="expression" priority="4522">
      <formula>(P749="")</formula>
    </cfRule>
  </conditionalFormatting>
  <conditionalFormatting sqref="P749">
    <cfRule type="expression" priority="4521">
      <formula>(P749="")</formula>
    </cfRule>
  </conditionalFormatting>
  <conditionalFormatting sqref="P751">
    <cfRule type="expression" priority="4519">
      <formula>(P751="")</formula>
    </cfRule>
  </conditionalFormatting>
  <conditionalFormatting sqref="P752">
    <cfRule type="expression" dxfId="732" priority="4516">
      <formula>IF(L752="NO BET", TRUE, FALSE)</formula>
    </cfRule>
    <cfRule type="expression" priority="4518">
      <formula>(P752="")</formula>
    </cfRule>
  </conditionalFormatting>
  <conditionalFormatting sqref="P752">
    <cfRule type="expression" priority="4517">
      <formula>(P752="")</formula>
    </cfRule>
  </conditionalFormatting>
  <conditionalFormatting sqref="P751">
    <cfRule type="expression" dxfId="731" priority="4513">
      <formula>IF(L751="NO BET", TRUE, FALSE)</formula>
    </cfRule>
    <cfRule type="expression" priority="4515">
      <formula>(P751="")</formula>
    </cfRule>
  </conditionalFormatting>
  <conditionalFormatting sqref="P751">
    <cfRule type="expression" priority="4514">
      <formula>(P751="")</formula>
    </cfRule>
  </conditionalFormatting>
  <conditionalFormatting sqref="R631:R640">
    <cfRule type="expression" dxfId="730" priority="4511">
      <formula>R631=0</formula>
    </cfRule>
  </conditionalFormatting>
  <conditionalFormatting sqref="R659:R668">
    <cfRule type="expression" dxfId="729" priority="4509">
      <formula>R659=0</formula>
    </cfRule>
  </conditionalFormatting>
  <conditionalFormatting sqref="R673:R682">
    <cfRule type="expression" dxfId="728" priority="4508">
      <formula>R673=0</formula>
    </cfRule>
  </conditionalFormatting>
  <conditionalFormatting sqref="R701:R710">
    <cfRule type="expression" dxfId="727" priority="4506">
      <formula>R701=0</formula>
    </cfRule>
  </conditionalFormatting>
  <conditionalFormatting sqref="R715:R724">
    <cfRule type="expression" dxfId="726" priority="4505">
      <formula>R715=0</formula>
    </cfRule>
  </conditionalFormatting>
  <conditionalFormatting sqref="R729:R738">
    <cfRule type="expression" dxfId="725" priority="4504">
      <formula>R729=0</formula>
    </cfRule>
  </conditionalFormatting>
  <conditionalFormatting sqref="R743:R752">
    <cfRule type="expression" dxfId="724" priority="4503">
      <formula>R743=0</formula>
    </cfRule>
  </conditionalFormatting>
  <conditionalFormatting sqref="L783:M789">
    <cfRule type="cellIs" dxfId="723" priority="4392" operator="between">
      <formula>0</formula>
      <formula>-100</formula>
    </cfRule>
    <cfRule type="cellIs" dxfId="722" priority="4393" operator="between">
      <formula>2</formula>
      <formula>100</formula>
    </cfRule>
    <cfRule type="cellIs" dxfId="721" priority="4394" operator="between">
      <formula>1</formula>
      <formula>2</formula>
    </cfRule>
    <cfRule type="cellIs" dxfId="720" priority="4395" operator="between">
      <formula>0</formula>
      <formula>1</formula>
    </cfRule>
  </conditionalFormatting>
  <conditionalFormatting sqref="L791:M792">
    <cfRule type="cellIs" dxfId="719" priority="4384" operator="between">
      <formula>0</formula>
      <formula>-100</formula>
    </cfRule>
    <cfRule type="cellIs" dxfId="718" priority="4385" operator="between">
      <formula>2</formula>
      <formula>100</formula>
    </cfRule>
    <cfRule type="cellIs" dxfId="717" priority="4386" operator="between">
      <formula>1</formula>
      <formula>2</formula>
    </cfRule>
    <cfRule type="cellIs" dxfId="716" priority="4387" operator="between">
      <formula>0</formula>
      <formula>1</formula>
    </cfRule>
  </conditionalFormatting>
  <conditionalFormatting sqref="L790:M790">
    <cfRule type="cellIs" dxfId="715" priority="4388" operator="between">
      <formula>0</formula>
      <formula>-100</formula>
    </cfRule>
    <cfRule type="cellIs" dxfId="714" priority="4389" operator="between">
      <formula>2</formula>
      <formula>100</formula>
    </cfRule>
    <cfRule type="cellIs" dxfId="713" priority="4390" operator="between">
      <formula>1</formula>
      <formula>2</formula>
    </cfRule>
    <cfRule type="cellIs" dxfId="712" priority="4391" operator="between">
      <formula>0</formula>
      <formula>1</formula>
    </cfRule>
  </conditionalFormatting>
  <conditionalFormatting sqref="P783:P788">
    <cfRule type="expression" dxfId="711" priority="4380">
      <formula>AND(NOT(K783=P783),NOT(P783=""))</formula>
    </cfRule>
    <cfRule type="expression" dxfId="710" priority="4381">
      <formula>AND((K783=P783),NOT(P783=""))</formula>
    </cfRule>
  </conditionalFormatting>
  <conditionalFormatting sqref="P783">
    <cfRule type="expression" priority="4379">
      <formula>(P783="")</formula>
    </cfRule>
  </conditionalFormatting>
  <conditionalFormatting sqref="P784">
    <cfRule type="expression" dxfId="709" priority="4368">
      <formula>IF(L784="NO BET", TRUE, FALSE)</formula>
    </cfRule>
    <cfRule type="expression" priority="4378">
      <formula>(P784="")</formula>
    </cfRule>
  </conditionalFormatting>
  <conditionalFormatting sqref="P785">
    <cfRule type="expression" priority="4377">
      <formula>(P785="")</formula>
    </cfRule>
  </conditionalFormatting>
  <conditionalFormatting sqref="P786">
    <cfRule type="expression" priority="4376">
      <formula>(P786="")</formula>
    </cfRule>
  </conditionalFormatting>
  <conditionalFormatting sqref="P787">
    <cfRule type="expression" priority="4375">
      <formula>(P787="")</formula>
    </cfRule>
  </conditionalFormatting>
  <conditionalFormatting sqref="P788">
    <cfRule type="expression" priority="4374">
      <formula>(P788="")</formula>
    </cfRule>
  </conditionalFormatting>
  <conditionalFormatting sqref="P784">
    <cfRule type="expression" priority="4373">
      <formula>(P784="")</formula>
    </cfRule>
  </conditionalFormatting>
  <conditionalFormatting sqref="P785">
    <cfRule type="expression" priority="4372">
      <formula>(P785="")</formula>
    </cfRule>
  </conditionalFormatting>
  <conditionalFormatting sqref="P786">
    <cfRule type="expression" priority="4371">
      <formula>(P786="")</formula>
    </cfRule>
  </conditionalFormatting>
  <conditionalFormatting sqref="P787">
    <cfRule type="expression" priority="4370">
      <formula>(P787="")</formula>
    </cfRule>
  </conditionalFormatting>
  <conditionalFormatting sqref="P788">
    <cfRule type="expression" priority="4369">
      <formula>(P788="")</formula>
    </cfRule>
  </conditionalFormatting>
  <conditionalFormatting sqref="P783">
    <cfRule type="expression" dxfId="708" priority="4365">
      <formula>IF(L783="NO BET", TRUE, FALSE)</formula>
    </cfRule>
    <cfRule type="expression" priority="4367">
      <formula>(P783="")</formula>
    </cfRule>
  </conditionalFormatting>
  <conditionalFormatting sqref="P783">
    <cfRule type="expression" priority="4366">
      <formula>(P783="")</formula>
    </cfRule>
  </conditionalFormatting>
  <conditionalFormatting sqref="P785">
    <cfRule type="expression" priority="4364">
      <formula>(P785="")</formula>
    </cfRule>
  </conditionalFormatting>
  <conditionalFormatting sqref="P786">
    <cfRule type="expression" dxfId="707" priority="4361">
      <formula>IF(L786="NO BET", TRUE, FALSE)</formula>
    </cfRule>
    <cfRule type="expression" priority="4363">
      <formula>(P786="")</formula>
    </cfRule>
  </conditionalFormatting>
  <conditionalFormatting sqref="P786">
    <cfRule type="expression" priority="4362">
      <formula>(P786="")</formula>
    </cfRule>
  </conditionalFormatting>
  <conditionalFormatting sqref="P785">
    <cfRule type="expression" dxfId="706" priority="4358">
      <formula>IF(L785="NO BET", TRUE, FALSE)</formula>
    </cfRule>
    <cfRule type="expression" priority="4360">
      <formula>(P785="")</formula>
    </cfRule>
  </conditionalFormatting>
  <conditionalFormatting sqref="P785">
    <cfRule type="expression" priority="4359">
      <formula>(P785="")</formula>
    </cfRule>
  </conditionalFormatting>
  <conditionalFormatting sqref="P787">
    <cfRule type="expression" priority="4357">
      <formula>(P787="")</formula>
    </cfRule>
  </conditionalFormatting>
  <conditionalFormatting sqref="P788">
    <cfRule type="expression" dxfId="705" priority="4354">
      <formula>IF(L788="NO BET", TRUE, FALSE)</formula>
    </cfRule>
    <cfRule type="expression" priority="4356">
      <formula>(P788="")</formula>
    </cfRule>
  </conditionalFormatting>
  <conditionalFormatting sqref="P788">
    <cfRule type="expression" priority="4355">
      <formula>(P788="")</formula>
    </cfRule>
  </conditionalFormatting>
  <conditionalFormatting sqref="P787">
    <cfRule type="expression" dxfId="704" priority="4351">
      <formula>IF(L787="NO BET", TRUE, FALSE)</formula>
    </cfRule>
    <cfRule type="expression" priority="4353">
      <formula>(P787="")</formula>
    </cfRule>
  </conditionalFormatting>
  <conditionalFormatting sqref="P787">
    <cfRule type="expression" priority="4352">
      <formula>(P787="")</formula>
    </cfRule>
  </conditionalFormatting>
  <conditionalFormatting sqref="P789:P792">
    <cfRule type="expression" dxfId="703" priority="4349">
      <formula>AND(NOT(K789=P789),NOT(P789=""))</formula>
    </cfRule>
    <cfRule type="expression" dxfId="702" priority="4350">
      <formula>AND((K789=P789),NOT(P789=""))</formula>
    </cfRule>
  </conditionalFormatting>
  <conditionalFormatting sqref="P789">
    <cfRule type="expression" priority="4348">
      <formula>(P789="")</formula>
    </cfRule>
  </conditionalFormatting>
  <conditionalFormatting sqref="P790">
    <cfRule type="expression" dxfId="701" priority="4341">
      <formula>IF(L790="NO BET", TRUE, FALSE)</formula>
    </cfRule>
    <cfRule type="expression" priority="4347">
      <formula>(P790="")</formula>
    </cfRule>
  </conditionalFormatting>
  <conditionalFormatting sqref="P791">
    <cfRule type="expression" priority="4346">
      <formula>(P791="")</formula>
    </cfRule>
  </conditionalFormatting>
  <conditionalFormatting sqref="P792">
    <cfRule type="expression" priority="4345">
      <formula>(P792="")</formula>
    </cfRule>
  </conditionalFormatting>
  <conditionalFormatting sqref="P790">
    <cfRule type="expression" priority="4344">
      <formula>(P790="")</formula>
    </cfRule>
  </conditionalFormatting>
  <conditionalFormatting sqref="P791">
    <cfRule type="expression" priority="4343">
      <formula>(P791="")</formula>
    </cfRule>
  </conditionalFormatting>
  <conditionalFormatting sqref="P792">
    <cfRule type="expression" priority="4342">
      <formula>(P792="")</formula>
    </cfRule>
  </conditionalFormatting>
  <conditionalFormatting sqref="P789">
    <cfRule type="expression" dxfId="700" priority="4338">
      <formula>IF(L789="NO BET", TRUE, FALSE)</formula>
    </cfRule>
    <cfRule type="expression" priority="4340">
      <formula>(P789="")</formula>
    </cfRule>
  </conditionalFormatting>
  <conditionalFormatting sqref="P789">
    <cfRule type="expression" priority="4339">
      <formula>(P789="")</formula>
    </cfRule>
  </conditionalFormatting>
  <conditionalFormatting sqref="P791">
    <cfRule type="expression" priority="4337">
      <formula>(P791="")</formula>
    </cfRule>
  </conditionalFormatting>
  <conditionalFormatting sqref="P792">
    <cfRule type="expression" dxfId="699" priority="4334">
      <formula>IF(L792="NO BET", TRUE, FALSE)</formula>
    </cfRule>
    <cfRule type="expression" priority="4336">
      <formula>(P792="")</formula>
    </cfRule>
  </conditionalFormatting>
  <conditionalFormatting sqref="P792">
    <cfRule type="expression" priority="4335">
      <formula>(P792="")</formula>
    </cfRule>
  </conditionalFormatting>
  <conditionalFormatting sqref="P791">
    <cfRule type="expression" dxfId="698" priority="4331">
      <formula>IF(L791="NO BET", TRUE, FALSE)</formula>
    </cfRule>
    <cfRule type="expression" priority="4333">
      <formula>(P791="")</formula>
    </cfRule>
  </conditionalFormatting>
  <conditionalFormatting sqref="P791">
    <cfRule type="expression" priority="4332">
      <formula>(P791="")</formula>
    </cfRule>
  </conditionalFormatting>
  <conditionalFormatting sqref="R783:R792">
    <cfRule type="expression" dxfId="697" priority="4330">
      <formula>R783=0</formula>
    </cfRule>
  </conditionalFormatting>
  <conditionalFormatting sqref="P794:P799">
    <cfRule type="expression" dxfId="696" priority="4306">
      <formula>AND(NOT(K794=P794),NOT(P794=""))</formula>
    </cfRule>
    <cfRule type="expression" dxfId="695" priority="4307">
      <formula>AND((K794=P794),NOT(P794=""))</formula>
    </cfRule>
  </conditionalFormatting>
  <conditionalFormatting sqref="P794">
    <cfRule type="expression" priority="4305">
      <formula>(P794="")</formula>
    </cfRule>
  </conditionalFormatting>
  <conditionalFormatting sqref="P795">
    <cfRule type="expression" dxfId="694" priority="4294">
      <formula>IF(L795="NO BET", TRUE, FALSE)</formula>
    </cfRule>
    <cfRule type="expression" priority="4304">
      <formula>(P795="")</formula>
    </cfRule>
  </conditionalFormatting>
  <conditionalFormatting sqref="P796">
    <cfRule type="expression" priority="4303">
      <formula>(P796="")</formula>
    </cfRule>
  </conditionalFormatting>
  <conditionalFormatting sqref="P797">
    <cfRule type="expression" priority="4302">
      <formula>(P797="")</formula>
    </cfRule>
  </conditionalFormatting>
  <conditionalFormatting sqref="P798">
    <cfRule type="expression" priority="4301">
      <formula>(P798="")</formula>
    </cfRule>
  </conditionalFormatting>
  <conditionalFormatting sqref="P799">
    <cfRule type="expression" priority="4300">
      <formula>(P799="")</formula>
    </cfRule>
  </conditionalFormatting>
  <conditionalFormatting sqref="P795">
    <cfRule type="expression" priority="4299">
      <formula>(P795="")</formula>
    </cfRule>
  </conditionalFormatting>
  <conditionalFormatting sqref="P796">
    <cfRule type="expression" priority="4298">
      <formula>(P796="")</formula>
    </cfRule>
  </conditionalFormatting>
  <conditionalFormatting sqref="P797">
    <cfRule type="expression" priority="4297">
      <formula>(P797="")</formula>
    </cfRule>
  </conditionalFormatting>
  <conditionalFormatting sqref="P798">
    <cfRule type="expression" priority="4296">
      <formula>(P798="")</formula>
    </cfRule>
  </conditionalFormatting>
  <conditionalFormatting sqref="P799">
    <cfRule type="expression" priority="4295">
      <formula>(P799="")</formula>
    </cfRule>
  </conditionalFormatting>
  <conditionalFormatting sqref="P794">
    <cfRule type="expression" dxfId="693" priority="4291">
      <formula>IF(L794="NO BET", TRUE, FALSE)</formula>
    </cfRule>
    <cfRule type="expression" priority="4293">
      <formula>(P794="")</formula>
    </cfRule>
  </conditionalFormatting>
  <conditionalFormatting sqref="P794">
    <cfRule type="expression" priority="4292">
      <formula>(P794="")</formula>
    </cfRule>
  </conditionalFormatting>
  <conditionalFormatting sqref="P796">
    <cfRule type="expression" priority="4290">
      <formula>(P796="")</formula>
    </cfRule>
  </conditionalFormatting>
  <conditionalFormatting sqref="P797">
    <cfRule type="expression" dxfId="692" priority="4287">
      <formula>IF(L797="NO BET", TRUE, FALSE)</formula>
    </cfRule>
    <cfRule type="expression" priority="4289">
      <formula>(P797="")</formula>
    </cfRule>
  </conditionalFormatting>
  <conditionalFormatting sqref="P797">
    <cfRule type="expression" priority="4288">
      <formula>(P797="")</formula>
    </cfRule>
  </conditionalFormatting>
  <conditionalFormatting sqref="P796">
    <cfRule type="expression" dxfId="691" priority="4284">
      <formula>IF(L796="NO BET", TRUE, FALSE)</formula>
    </cfRule>
    <cfRule type="expression" priority="4286">
      <formula>(P796="")</formula>
    </cfRule>
  </conditionalFormatting>
  <conditionalFormatting sqref="P796">
    <cfRule type="expression" priority="4285">
      <formula>(P796="")</formula>
    </cfRule>
  </conditionalFormatting>
  <conditionalFormatting sqref="P798">
    <cfRule type="expression" priority="4283">
      <formula>(P798="")</formula>
    </cfRule>
  </conditionalFormatting>
  <conditionalFormatting sqref="P799">
    <cfRule type="expression" dxfId="690" priority="4280">
      <formula>IF(L799="NO BET", TRUE, FALSE)</formula>
    </cfRule>
    <cfRule type="expression" priority="4282">
      <formula>(P799="")</formula>
    </cfRule>
  </conditionalFormatting>
  <conditionalFormatting sqref="P799">
    <cfRule type="expression" priority="4281">
      <formula>(P799="")</formula>
    </cfRule>
  </conditionalFormatting>
  <conditionalFormatting sqref="P798">
    <cfRule type="expression" dxfId="689" priority="4277">
      <formula>IF(L798="NO BET", TRUE, FALSE)</formula>
    </cfRule>
    <cfRule type="expression" priority="4279">
      <formula>(P798="")</formula>
    </cfRule>
  </conditionalFormatting>
  <conditionalFormatting sqref="P798">
    <cfRule type="expression" priority="4278">
      <formula>(P798="")</formula>
    </cfRule>
  </conditionalFormatting>
  <conditionalFormatting sqref="P800:P803">
    <cfRule type="expression" dxfId="688" priority="4275">
      <formula>AND(NOT(K800=P800),NOT(P800=""))</formula>
    </cfRule>
    <cfRule type="expression" dxfId="687" priority="4276">
      <formula>AND((K800=P800),NOT(P800=""))</formula>
    </cfRule>
  </conditionalFormatting>
  <conditionalFormatting sqref="P800">
    <cfRule type="expression" priority="4274">
      <formula>(P800="")</formula>
    </cfRule>
  </conditionalFormatting>
  <conditionalFormatting sqref="P801">
    <cfRule type="expression" dxfId="686" priority="4267">
      <formula>IF(L801="NO BET", TRUE, FALSE)</formula>
    </cfRule>
    <cfRule type="expression" priority="4273">
      <formula>(P801="")</formula>
    </cfRule>
  </conditionalFormatting>
  <conditionalFormatting sqref="P802">
    <cfRule type="expression" priority="4272">
      <formula>(P802="")</formula>
    </cfRule>
  </conditionalFormatting>
  <conditionalFormatting sqref="P803">
    <cfRule type="expression" priority="4271">
      <formula>(P803="")</formula>
    </cfRule>
  </conditionalFormatting>
  <conditionalFormatting sqref="P801">
    <cfRule type="expression" priority="4270">
      <formula>(P801="")</formula>
    </cfRule>
  </conditionalFormatting>
  <conditionalFormatting sqref="P802">
    <cfRule type="expression" priority="4269">
      <formula>(P802="")</formula>
    </cfRule>
  </conditionalFormatting>
  <conditionalFormatting sqref="P803">
    <cfRule type="expression" priority="4268">
      <formula>(P803="")</formula>
    </cfRule>
  </conditionalFormatting>
  <conditionalFormatting sqref="P800">
    <cfRule type="expression" dxfId="685" priority="4264">
      <formula>IF(L800="NO BET", TRUE, FALSE)</formula>
    </cfRule>
    <cfRule type="expression" priority="4266">
      <formula>(P800="")</formula>
    </cfRule>
  </conditionalFormatting>
  <conditionalFormatting sqref="P800">
    <cfRule type="expression" priority="4265">
      <formula>(P800="")</formula>
    </cfRule>
  </conditionalFormatting>
  <conditionalFormatting sqref="P802">
    <cfRule type="expression" priority="4263">
      <formula>(P802="")</formula>
    </cfRule>
  </conditionalFormatting>
  <conditionalFormatting sqref="P803">
    <cfRule type="expression" dxfId="684" priority="4260">
      <formula>IF(L803="NO BET", TRUE, FALSE)</formula>
    </cfRule>
    <cfRule type="expression" priority="4262">
      <formula>(P803="")</formula>
    </cfRule>
  </conditionalFormatting>
  <conditionalFormatting sqref="P803">
    <cfRule type="expression" priority="4261">
      <formula>(P803="")</formula>
    </cfRule>
  </conditionalFormatting>
  <conditionalFormatting sqref="P802">
    <cfRule type="expression" dxfId="683" priority="4257">
      <formula>IF(L802="NO BET", TRUE, FALSE)</formula>
    </cfRule>
    <cfRule type="expression" priority="4259">
      <formula>(P802="")</formula>
    </cfRule>
  </conditionalFormatting>
  <conditionalFormatting sqref="P802">
    <cfRule type="expression" priority="4258">
      <formula>(P802="")</formula>
    </cfRule>
  </conditionalFormatting>
  <conditionalFormatting sqref="R794:R803">
    <cfRule type="expression" dxfId="682" priority="4256">
      <formula>R794=0</formula>
    </cfRule>
  </conditionalFormatting>
  <conditionalFormatting sqref="L794:M799">
    <cfRule type="cellIs" dxfId="681" priority="4244" operator="between">
      <formula>0</formula>
      <formula>-100</formula>
    </cfRule>
    <cfRule type="cellIs" dxfId="680" priority="4245" operator="between">
      <formula>2</formula>
      <formula>100</formula>
    </cfRule>
    <cfRule type="cellIs" dxfId="679" priority="4246" operator="between">
      <formula>1</formula>
      <formula>2</formula>
    </cfRule>
    <cfRule type="cellIs" dxfId="678" priority="4247" operator="between">
      <formula>0</formula>
      <formula>1</formula>
    </cfRule>
  </conditionalFormatting>
  <conditionalFormatting sqref="L802:M803">
    <cfRule type="cellIs" dxfId="677" priority="4236" operator="between">
      <formula>0</formula>
      <formula>-100</formula>
    </cfRule>
    <cfRule type="cellIs" dxfId="676" priority="4237" operator="between">
      <formula>2</formula>
      <formula>100</formula>
    </cfRule>
    <cfRule type="cellIs" dxfId="675" priority="4238" operator="between">
      <formula>1</formula>
      <formula>2</formula>
    </cfRule>
    <cfRule type="cellIs" dxfId="674" priority="4239" operator="between">
      <formula>0</formula>
      <formula>1</formula>
    </cfRule>
  </conditionalFormatting>
  <conditionalFormatting sqref="L801:M801">
    <cfRule type="cellIs" dxfId="673" priority="4240" operator="between">
      <formula>0</formula>
      <formula>-100</formula>
    </cfRule>
    <cfRule type="cellIs" dxfId="672" priority="4241" operator="between">
      <formula>2</formula>
      <formula>100</formula>
    </cfRule>
    <cfRule type="cellIs" dxfId="671" priority="4242" operator="between">
      <formula>1</formula>
      <formula>2</formula>
    </cfRule>
    <cfRule type="cellIs" dxfId="670" priority="4243" operator="between">
      <formula>0</formula>
      <formula>1</formula>
    </cfRule>
  </conditionalFormatting>
  <conditionalFormatting sqref="L800:M800">
    <cfRule type="cellIs" dxfId="669" priority="4232" operator="between">
      <formula>0</formula>
      <formula>-100</formula>
    </cfRule>
    <cfRule type="cellIs" dxfId="668" priority="4233" operator="between">
      <formula>2</formula>
      <formula>100</formula>
    </cfRule>
    <cfRule type="cellIs" dxfId="667" priority="4234" operator="between">
      <formula>1</formula>
      <formula>2</formula>
    </cfRule>
    <cfRule type="cellIs" dxfId="666" priority="4235" operator="between">
      <formula>0</formula>
      <formula>1</formula>
    </cfRule>
  </conditionalFormatting>
  <conditionalFormatting sqref="P673:P682">
    <cfRule type="expression" dxfId="665" priority="9427">
      <formula>AND(NOT(K687=P673),NOT(P673=""))</formula>
    </cfRule>
    <cfRule type="expression" dxfId="664" priority="9428">
      <formula>AND((K687=P673),NOT(P673=""))</formula>
    </cfRule>
  </conditionalFormatting>
  <conditionalFormatting sqref="P673:P682">
    <cfRule type="expression" dxfId="663" priority="9429">
      <formula>IF(L687="NO BET", TRUE, FALSE)</formula>
    </cfRule>
    <cfRule type="expression" priority="9430">
      <formula>(P673="")</formula>
    </cfRule>
  </conditionalFormatting>
  <conditionalFormatting sqref="L673:M679">
    <cfRule type="cellIs" dxfId="662" priority="4224" operator="between">
      <formula>0</formula>
      <formula>-100</formula>
    </cfRule>
    <cfRule type="cellIs" dxfId="661" priority="4225" operator="between">
      <formula>2</formula>
      <formula>100</formula>
    </cfRule>
    <cfRule type="cellIs" dxfId="660" priority="4226" operator="between">
      <formula>1</formula>
      <formula>2</formula>
    </cfRule>
    <cfRule type="cellIs" dxfId="659" priority="4227" operator="between">
      <formula>0</formula>
      <formula>1</formula>
    </cfRule>
  </conditionalFormatting>
  <conditionalFormatting sqref="L681:M682">
    <cfRule type="cellIs" dxfId="658" priority="4216" operator="between">
      <formula>0</formula>
      <formula>-100</formula>
    </cfRule>
    <cfRule type="cellIs" dxfId="657" priority="4217" operator="between">
      <formula>2</formula>
      <formula>100</formula>
    </cfRule>
    <cfRule type="cellIs" dxfId="656" priority="4218" operator="between">
      <formula>1</formula>
      <formula>2</formula>
    </cfRule>
    <cfRule type="cellIs" dxfId="655" priority="4219" operator="between">
      <formula>0</formula>
      <formula>1</formula>
    </cfRule>
  </conditionalFormatting>
  <conditionalFormatting sqref="L680:M680">
    <cfRule type="cellIs" dxfId="654" priority="4220" operator="between">
      <formula>0</formula>
      <formula>-100</formula>
    </cfRule>
    <cfRule type="cellIs" dxfId="653" priority="4221" operator="between">
      <formula>2</formula>
      <formula>100</formula>
    </cfRule>
    <cfRule type="cellIs" dxfId="652" priority="4222" operator="between">
      <formula>1</formula>
      <formula>2</formula>
    </cfRule>
    <cfRule type="cellIs" dxfId="651" priority="4223" operator="between">
      <formula>0</formula>
      <formula>1</formula>
    </cfRule>
  </conditionalFormatting>
  <conditionalFormatting sqref="P687:P692">
    <cfRule type="expression" dxfId="650" priority="4129">
      <formula>AND(NOT(K687=P687),NOT(P687=""))</formula>
    </cfRule>
    <cfRule type="expression" dxfId="649" priority="4130">
      <formula>AND((K687=P687),NOT(P687=""))</formula>
    </cfRule>
  </conditionalFormatting>
  <conditionalFormatting sqref="P687">
    <cfRule type="expression" priority="4128">
      <formula>(P687="")</formula>
    </cfRule>
  </conditionalFormatting>
  <conditionalFormatting sqref="P688">
    <cfRule type="expression" dxfId="648" priority="4117">
      <formula>IF(L688="NO BET", TRUE, FALSE)</formula>
    </cfRule>
    <cfRule type="expression" priority="4127">
      <formula>(P688="")</formula>
    </cfRule>
  </conditionalFormatting>
  <conditionalFormatting sqref="P689">
    <cfRule type="expression" priority="4126">
      <formula>(P689="")</formula>
    </cfRule>
  </conditionalFormatting>
  <conditionalFormatting sqref="P690">
    <cfRule type="expression" priority="4125">
      <formula>(P690="")</formula>
    </cfRule>
  </conditionalFormatting>
  <conditionalFormatting sqref="P691">
    <cfRule type="expression" priority="4124">
      <formula>(P691="")</formula>
    </cfRule>
  </conditionalFormatting>
  <conditionalFormatting sqref="P692">
    <cfRule type="expression" priority="4123">
      <formula>(P692="")</formula>
    </cfRule>
  </conditionalFormatting>
  <conditionalFormatting sqref="P688">
    <cfRule type="expression" priority="4122">
      <formula>(P688="")</formula>
    </cfRule>
  </conditionalFormatting>
  <conditionalFormatting sqref="P689">
    <cfRule type="expression" priority="4121">
      <formula>(P689="")</formula>
    </cfRule>
  </conditionalFormatting>
  <conditionalFormatting sqref="P690">
    <cfRule type="expression" priority="4120">
      <formula>(P690="")</formula>
    </cfRule>
  </conditionalFormatting>
  <conditionalFormatting sqref="P691">
    <cfRule type="expression" priority="4119">
      <formula>(P691="")</formula>
    </cfRule>
  </conditionalFormatting>
  <conditionalFormatting sqref="P692">
    <cfRule type="expression" priority="4118">
      <formula>(P692="")</formula>
    </cfRule>
  </conditionalFormatting>
  <conditionalFormatting sqref="P687">
    <cfRule type="expression" dxfId="647" priority="4114">
      <formula>IF(L687="NO BET", TRUE, FALSE)</formula>
    </cfRule>
    <cfRule type="expression" priority="4116">
      <formula>(P687="")</formula>
    </cfRule>
  </conditionalFormatting>
  <conditionalFormatting sqref="P687">
    <cfRule type="expression" priority="4115">
      <formula>(P687="")</formula>
    </cfRule>
  </conditionalFormatting>
  <conditionalFormatting sqref="P689">
    <cfRule type="expression" priority="4113">
      <formula>(P689="")</formula>
    </cfRule>
  </conditionalFormatting>
  <conditionalFormatting sqref="P690">
    <cfRule type="expression" dxfId="646" priority="4110">
      <formula>IF(L690="NO BET", TRUE, FALSE)</formula>
    </cfRule>
    <cfRule type="expression" priority="4112">
      <formula>(P690="")</formula>
    </cfRule>
  </conditionalFormatting>
  <conditionalFormatting sqref="P690">
    <cfRule type="expression" priority="4111">
      <formula>(P690="")</formula>
    </cfRule>
  </conditionalFormatting>
  <conditionalFormatting sqref="P689">
    <cfRule type="expression" dxfId="645" priority="4107">
      <formula>IF(L689="NO BET", TRUE, FALSE)</formula>
    </cfRule>
    <cfRule type="expression" priority="4109">
      <formula>(P689="")</formula>
    </cfRule>
  </conditionalFormatting>
  <conditionalFormatting sqref="P689">
    <cfRule type="expression" priority="4108">
      <formula>(P689="")</formula>
    </cfRule>
  </conditionalFormatting>
  <conditionalFormatting sqref="P691">
    <cfRule type="expression" priority="4106">
      <formula>(P691="")</formula>
    </cfRule>
  </conditionalFormatting>
  <conditionalFormatting sqref="P692">
    <cfRule type="expression" dxfId="644" priority="4103">
      <formula>IF(L692="NO BET", TRUE, FALSE)</formula>
    </cfRule>
    <cfRule type="expression" priority="4105">
      <formula>(P692="")</formula>
    </cfRule>
  </conditionalFormatting>
  <conditionalFormatting sqref="P692">
    <cfRule type="expression" priority="4104">
      <formula>(P692="")</formula>
    </cfRule>
  </conditionalFormatting>
  <conditionalFormatting sqref="P691">
    <cfRule type="expression" dxfId="643" priority="4100">
      <formula>IF(L691="NO BET", TRUE, FALSE)</formula>
    </cfRule>
    <cfRule type="expression" priority="4102">
      <formula>(P691="")</formula>
    </cfRule>
  </conditionalFormatting>
  <conditionalFormatting sqref="P691">
    <cfRule type="expression" priority="4101">
      <formula>(P691="")</formula>
    </cfRule>
  </conditionalFormatting>
  <conditionalFormatting sqref="P693:P696">
    <cfRule type="expression" dxfId="642" priority="4098">
      <formula>AND(NOT(K693=P693),NOT(P693=""))</formula>
    </cfRule>
    <cfRule type="expression" dxfId="641" priority="4099">
      <formula>AND((K693=P693),NOT(P693=""))</formula>
    </cfRule>
  </conditionalFormatting>
  <conditionalFormatting sqref="P693">
    <cfRule type="expression" priority="4097">
      <formula>(P693="")</formula>
    </cfRule>
  </conditionalFormatting>
  <conditionalFormatting sqref="P694">
    <cfRule type="expression" dxfId="640" priority="4090">
      <formula>IF(L694="NO BET", TRUE, FALSE)</formula>
    </cfRule>
    <cfRule type="expression" priority="4096">
      <formula>(P694="")</formula>
    </cfRule>
  </conditionalFormatting>
  <conditionalFormatting sqref="P695">
    <cfRule type="expression" priority="4095">
      <formula>(P695="")</formula>
    </cfRule>
  </conditionalFormatting>
  <conditionalFormatting sqref="P696">
    <cfRule type="expression" priority="4094">
      <formula>(P696="")</formula>
    </cfRule>
  </conditionalFormatting>
  <conditionalFormatting sqref="P694">
    <cfRule type="expression" priority="4093">
      <formula>(P694="")</formula>
    </cfRule>
  </conditionalFormatting>
  <conditionalFormatting sqref="P695">
    <cfRule type="expression" priority="4092">
      <formula>(P695="")</formula>
    </cfRule>
  </conditionalFormatting>
  <conditionalFormatting sqref="P696">
    <cfRule type="expression" priority="4091">
      <formula>(P696="")</formula>
    </cfRule>
  </conditionalFormatting>
  <conditionalFormatting sqref="P693">
    <cfRule type="expression" dxfId="639" priority="4087">
      <formula>IF(L693="NO BET", TRUE, FALSE)</formula>
    </cfRule>
    <cfRule type="expression" priority="4089">
      <formula>(P693="")</formula>
    </cfRule>
  </conditionalFormatting>
  <conditionalFormatting sqref="P693">
    <cfRule type="expression" priority="4088">
      <formula>(P693="")</formula>
    </cfRule>
  </conditionalFormatting>
  <conditionalFormatting sqref="P695">
    <cfRule type="expression" priority="4086">
      <formula>(P695="")</formula>
    </cfRule>
  </conditionalFormatting>
  <conditionalFormatting sqref="P696">
    <cfRule type="expression" dxfId="638" priority="4083">
      <formula>IF(L696="NO BET", TRUE, FALSE)</formula>
    </cfRule>
    <cfRule type="expression" priority="4085">
      <formula>(P696="")</formula>
    </cfRule>
  </conditionalFormatting>
  <conditionalFormatting sqref="P696">
    <cfRule type="expression" priority="4084">
      <formula>(P696="")</formula>
    </cfRule>
  </conditionalFormatting>
  <conditionalFormatting sqref="P695">
    <cfRule type="expression" dxfId="637" priority="4080">
      <formula>IF(L695="NO BET", TRUE, FALSE)</formula>
    </cfRule>
    <cfRule type="expression" priority="4082">
      <formula>(P695="")</formula>
    </cfRule>
  </conditionalFormatting>
  <conditionalFormatting sqref="P695">
    <cfRule type="expression" priority="4081">
      <formula>(P695="")</formula>
    </cfRule>
  </conditionalFormatting>
  <conditionalFormatting sqref="R687:R696">
    <cfRule type="expression" dxfId="636" priority="4079">
      <formula>R687=0</formula>
    </cfRule>
  </conditionalFormatting>
  <conditionalFormatting sqref="R645:R654">
    <cfRule type="expression" dxfId="635" priority="4014">
      <formula>R645=0</formula>
    </cfRule>
  </conditionalFormatting>
  <conditionalFormatting sqref="L645:M651">
    <cfRule type="cellIs" dxfId="634" priority="4010" operator="between">
      <formula>0</formula>
      <formula>-100</formula>
    </cfRule>
    <cfRule type="cellIs" dxfId="633" priority="4011" operator="between">
      <formula>2</formula>
      <formula>100</formula>
    </cfRule>
    <cfRule type="cellIs" dxfId="632" priority="4012" operator="between">
      <formula>1</formula>
      <formula>2</formula>
    </cfRule>
    <cfRule type="cellIs" dxfId="631" priority="4013" operator="between">
      <formula>0</formula>
      <formula>1</formula>
    </cfRule>
  </conditionalFormatting>
  <conditionalFormatting sqref="L653:M654">
    <cfRule type="cellIs" dxfId="630" priority="4002" operator="between">
      <formula>0</formula>
      <formula>-100</formula>
    </cfRule>
    <cfRule type="cellIs" dxfId="629" priority="4003" operator="between">
      <formula>2</formula>
      <formula>100</formula>
    </cfRule>
    <cfRule type="cellIs" dxfId="628" priority="4004" operator="between">
      <formula>1</formula>
      <formula>2</formula>
    </cfRule>
    <cfRule type="cellIs" dxfId="627" priority="4005" operator="between">
      <formula>0</formula>
      <formula>1</formula>
    </cfRule>
  </conditionalFormatting>
  <conditionalFormatting sqref="L652:M652">
    <cfRule type="cellIs" dxfId="626" priority="4006" operator="between">
      <formula>0</formula>
      <formula>-100</formula>
    </cfRule>
    <cfRule type="cellIs" dxfId="625" priority="4007" operator="between">
      <formula>2</formula>
      <formula>100</formula>
    </cfRule>
    <cfRule type="cellIs" dxfId="624" priority="4008" operator="between">
      <formula>1</formula>
      <formula>2</formula>
    </cfRule>
    <cfRule type="cellIs" dxfId="623" priority="4009" operator="between">
      <formula>0</formula>
      <formula>1</formula>
    </cfRule>
  </conditionalFormatting>
  <conditionalFormatting sqref="D163 D396:D398">
    <cfRule type="expression" priority="3386">
      <formula>_xlfn.IFS(K163="",TRUE)</formula>
    </cfRule>
    <cfRule type="expression" dxfId="622" priority="3387">
      <formula>_xlfn.IFS(K163="T1",TRUE)</formula>
    </cfRule>
  </conditionalFormatting>
  <conditionalFormatting sqref="E163 E396:E398">
    <cfRule type="expression" priority="3384">
      <formula>_xlfn.IFS(L163="",TRUE)</formula>
    </cfRule>
    <cfRule type="expression" dxfId="621" priority="3385">
      <formula>_xlfn.IFS(K163="T2",TRUE)</formula>
    </cfRule>
  </conditionalFormatting>
  <conditionalFormatting sqref="D164:D172">
    <cfRule type="expression" priority="3382">
      <formula>_xlfn.IFS(K164="",TRUE)</formula>
    </cfRule>
    <cfRule type="expression" dxfId="620" priority="3383">
      <formula>_xlfn.IFS(K164="T1",TRUE)</formula>
    </cfRule>
  </conditionalFormatting>
  <conditionalFormatting sqref="E164:E172">
    <cfRule type="expression" priority="3380">
      <formula>_xlfn.IFS(L164="",TRUE)</formula>
    </cfRule>
    <cfRule type="expression" dxfId="619" priority="3381">
      <formula>_xlfn.IFS(K164="T2",TRUE)</formula>
    </cfRule>
  </conditionalFormatting>
  <conditionalFormatting sqref="D177">
    <cfRule type="expression" priority="3378">
      <formula>_xlfn.IFS(K177="",TRUE)</formula>
    </cfRule>
    <cfRule type="expression" dxfId="618" priority="3379">
      <formula>_xlfn.IFS(K177="T1",TRUE)</formula>
    </cfRule>
  </conditionalFormatting>
  <conditionalFormatting sqref="E177">
    <cfRule type="expression" priority="3376">
      <formula>_xlfn.IFS(L177="",TRUE)</formula>
    </cfRule>
    <cfRule type="expression" dxfId="617" priority="3377">
      <formula>_xlfn.IFS(K177="T2",TRUE)</formula>
    </cfRule>
  </conditionalFormatting>
  <conditionalFormatting sqref="D178:D186">
    <cfRule type="expression" priority="3374">
      <formula>_xlfn.IFS(K178="",TRUE)</formula>
    </cfRule>
    <cfRule type="expression" dxfId="616" priority="3375">
      <formula>_xlfn.IFS(K178="T1",TRUE)</formula>
    </cfRule>
  </conditionalFormatting>
  <conditionalFormatting sqref="E178:E186">
    <cfRule type="expression" priority="3372">
      <formula>_xlfn.IFS(L178="",TRUE)</formula>
    </cfRule>
    <cfRule type="expression" dxfId="615" priority="3373">
      <formula>_xlfn.IFS(K178="T2",TRUE)</formula>
    </cfRule>
  </conditionalFormatting>
  <conditionalFormatting sqref="D191">
    <cfRule type="expression" priority="3370">
      <formula>_xlfn.IFS(K191="",TRUE)</formula>
    </cfRule>
    <cfRule type="expression" dxfId="614" priority="3371">
      <formula>_xlfn.IFS(K191="T1",TRUE)</formula>
    </cfRule>
  </conditionalFormatting>
  <conditionalFormatting sqref="E191">
    <cfRule type="expression" priority="3368">
      <formula>_xlfn.IFS(L191="",TRUE)</formula>
    </cfRule>
    <cfRule type="expression" dxfId="613" priority="3369">
      <formula>_xlfn.IFS(K191="T2",TRUE)</formula>
    </cfRule>
  </conditionalFormatting>
  <conditionalFormatting sqref="D192:D200">
    <cfRule type="expression" priority="3366">
      <formula>_xlfn.IFS(K192="",TRUE)</formula>
    </cfRule>
    <cfRule type="expression" dxfId="612" priority="3367">
      <formula>_xlfn.IFS(K192="T1",TRUE)</formula>
    </cfRule>
  </conditionalFormatting>
  <conditionalFormatting sqref="E192:E200">
    <cfRule type="expression" priority="3364">
      <formula>_xlfn.IFS(L192="",TRUE)</formula>
    </cfRule>
    <cfRule type="expression" dxfId="611" priority="3365">
      <formula>_xlfn.IFS(K192="T2",TRUE)</formula>
    </cfRule>
  </conditionalFormatting>
  <conditionalFormatting sqref="D205">
    <cfRule type="expression" priority="3362">
      <formula>_xlfn.IFS(K205="",TRUE)</formula>
    </cfRule>
    <cfRule type="expression" dxfId="610" priority="3363">
      <formula>_xlfn.IFS(K205="T1",TRUE)</formula>
    </cfRule>
  </conditionalFormatting>
  <conditionalFormatting sqref="E205">
    <cfRule type="expression" priority="3360">
      <formula>_xlfn.IFS(L205="",TRUE)</formula>
    </cfRule>
    <cfRule type="expression" dxfId="609" priority="3361">
      <formula>_xlfn.IFS(K205="T2",TRUE)</formula>
    </cfRule>
  </conditionalFormatting>
  <conditionalFormatting sqref="D206:D214">
    <cfRule type="expression" priority="3358">
      <formula>_xlfn.IFS(K206="",TRUE)</formula>
    </cfRule>
    <cfRule type="expression" dxfId="608" priority="3359">
      <formula>_xlfn.IFS(K206="T1",TRUE)</formula>
    </cfRule>
  </conditionalFormatting>
  <conditionalFormatting sqref="E206:E214">
    <cfRule type="expression" priority="3356">
      <formula>_xlfn.IFS(L206="",TRUE)</formula>
    </cfRule>
    <cfRule type="expression" dxfId="607" priority="3357">
      <formula>_xlfn.IFS(K206="T2",TRUE)</formula>
    </cfRule>
  </conditionalFormatting>
  <conditionalFormatting sqref="D219">
    <cfRule type="expression" priority="3354">
      <formula>_xlfn.IFS(K219="",TRUE)</formula>
    </cfRule>
    <cfRule type="expression" dxfId="606" priority="3355">
      <formula>_xlfn.IFS(K219="T1",TRUE)</formula>
    </cfRule>
  </conditionalFormatting>
  <conditionalFormatting sqref="E219">
    <cfRule type="expression" priority="3352">
      <formula>_xlfn.IFS(L219="",TRUE)</formula>
    </cfRule>
    <cfRule type="expression" dxfId="605" priority="3353">
      <formula>_xlfn.IFS(K219="T2",TRUE)</formula>
    </cfRule>
  </conditionalFormatting>
  <conditionalFormatting sqref="D220:D228">
    <cfRule type="expression" priority="3350">
      <formula>_xlfn.IFS(K220="",TRUE)</formula>
    </cfRule>
    <cfRule type="expression" dxfId="604" priority="3351">
      <formula>_xlfn.IFS(K220="T1",TRUE)</formula>
    </cfRule>
  </conditionalFormatting>
  <conditionalFormatting sqref="E220:E228">
    <cfRule type="expression" priority="3348">
      <formula>_xlfn.IFS(L220="",TRUE)</formula>
    </cfRule>
    <cfRule type="expression" dxfId="603" priority="3349">
      <formula>_xlfn.IFS(K220="T2",TRUE)</formula>
    </cfRule>
  </conditionalFormatting>
  <conditionalFormatting sqref="D233">
    <cfRule type="expression" priority="3346">
      <formula>_xlfn.IFS(K233="",TRUE)</formula>
    </cfRule>
    <cfRule type="expression" dxfId="602" priority="3347">
      <formula>_xlfn.IFS(K233="T1",TRUE)</formula>
    </cfRule>
  </conditionalFormatting>
  <conditionalFormatting sqref="E233">
    <cfRule type="expression" priority="3344">
      <formula>_xlfn.IFS(L233="",TRUE)</formula>
    </cfRule>
    <cfRule type="expression" dxfId="601" priority="3345">
      <formula>_xlfn.IFS(K233="T2",TRUE)</formula>
    </cfRule>
  </conditionalFormatting>
  <conditionalFormatting sqref="D234:D242">
    <cfRule type="expression" priority="3342">
      <formula>_xlfn.IFS(K234="",TRUE)</formula>
    </cfRule>
    <cfRule type="expression" dxfId="600" priority="3343">
      <formula>_xlfn.IFS(K234="T1",TRUE)</formula>
    </cfRule>
  </conditionalFormatting>
  <conditionalFormatting sqref="E234:E242">
    <cfRule type="expression" priority="3340">
      <formula>_xlfn.IFS(L234="",TRUE)</formula>
    </cfRule>
    <cfRule type="expression" dxfId="599" priority="3341">
      <formula>_xlfn.IFS(K234="T2",TRUE)</formula>
    </cfRule>
  </conditionalFormatting>
  <conditionalFormatting sqref="D247">
    <cfRule type="expression" priority="3338">
      <formula>_xlfn.IFS(K247="",TRUE)</formula>
    </cfRule>
    <cfRule type="expression" dxfId="598" priority="3339">
      <formula>_xlfn.IFS(K247="T1",TRUE)</formula>
    </cfRule>
  </conditionalFormatting>
  <conditionalFormatting sqref="E247">
    <cfRule type="expression" priority="3336">
      <formula>_xlfn.IFS(L247="",TRUE)</formula>
    </cfRule>
    <cfRule type="expression" dxfId="597" priority="3337">
      <formula>_xlfn.IFS(K247="T2",TRUE)</formula>
    </cfRule>
  </conditionalFormatting>
  <conditionalFormatting sqref="D248:D256">
    <cfRule type="expression" priority="3334">
      <formula>_xlfn.IFS(K248="",TRUE)</formula>
    </cfRule>
    <cfRule type="expression" dxfId="596" priority="3335">
      <formula>_xlfn.IFS(K248="T1",TRUE)</formula>
    </cfRule>
  </conditionalFormatting>
  <conditionalFormatting sqref="E248:E256">
    <cfRule type="expression" priority="3332">
      <formula>_xlfn.IFS(L248="",TRUE)</formula>
    </cfRule>
    <cfRule type="expression" dxfId="595" priority="3333">
      <formula>_xlfn.IFS(K248="T2",TRUE)</formula>
    </cfRule>
  </conditionalFormatting>
  <conditionalFormatting sqref="D261">
    <cfRule type="expression" priority="3330">
      <formula>_xlfn.IFS(K261="",TRUE)</formula>
    </cfRule>
    <cfRule type="expression" dxfId="594" priority="3331">
      <formula>_xlfn.IFS(K261="T1",TRUE)</formula>
    </cfRule>
  </conditionalFormatting>
  <conditionalFormatting sqref="E261">
    <cfRule type="expression" priority="3328">
      <formula>_xlfn.IFS(L261="",TRUE)</formula>
    </cfRule>
    <cfRule type="expression" dxfId="593" priority="3329">
      <formula>_xlfn.IFS(K261="T2",TRUE)</formula>
    </cfRule>
  </conditionalFormatting>
  <conditionalFormatting sqref="D262:D270">
    <cfRule type="expression" priority="3326">
      <formula>_xlfn.IFS(K262="",TRUE)</formula>
    </cfRule>
    <cfRule type="expression" dxfId="592" priority="3327">
      <formula>_xlfn.IFS(K262="T1",TRUE)</formula>
    </cfRule>
  </conditionalFormatting>
  <conditionalFormatting sqref="E262:E270">
    <cfRule type="expression" priority="3324">
      <formula>_xlfn.IFS(L262="",TRUE)</formula>
    </cfRule>
    <cfRule type="expression" dxfId="591" priority="3325">
      <formula>_xlfn.IFS(K262="T2",TRUE)</formula>
    </cfRule>
  </conditionalFormatting>
  <conditionalFormatting sqref="D275">
    <cfRule type="expression" priority="3322">
      <formula>_xlfn.IFS(K275="",TRUE)</formula>
    </cfRule>
    <cfRule type="expression" dxfId="590" priority="3323">
      <formula>_xlfn.IFS(K275="T1",TRUE)</formula>
    </cfRule>
  </conditionalFormatting>
  <conditionalFormatting sqref="E275">
    <cfRule type="expression" priority="3320">
      <formula>_xlfn.IFS(L275="",TRUE)</formula>
    </cfRule>
    <cfRule type="expression" dxfId="589" priority="3321">
      <formula>_xlfn.IFS(K275="T2",TRUE)</formula>
    </cfRule>
  </conditionalFormatting>
  <conditionalFormatting sqref="D276:D284">
    <cfRule type="expression" priority="3318">
      <formula>_xlfn.IFS(K276="",TRUE)</formula>
    </cfRule>
    <cfRule type="expression" dxfId="588" priority="3319">
      <formula>_xlfn.IFS(K276="T1",TRUE)</formula>
    </cfRule>
  </conditionalFormatting>
  <conditionalFormatting sqref="E276:E284">
    <cfRule type="expression" priority="3316">
      <formula>_xlfn.IFS(L276="",TRUE)</formula>
    </cfRule>
    <cfRule type="expression" dxfId="587" priority="3317">
      <formula>_xlfn.IFS(K276="T2",TRUE)</formula>
    </cfRule>
  </conditionalFormatting>
  <conditionalFormatting sqref="D319">
    <cfRule type="expression" priority="3314">
      <formula>_xlfn.IFS(K319="",TRUE)</formula>
    </cfRule>
    <cfRule type="expression" dxfId="586" priority="3315">
      <formula>_xlfn.IFS(K319="T1",TRUE)</formula>
    </cfRule>
  </conditionalFormatting>
  <conditionalFormatting sqref="E319">
    <cfRule type="expression" priority="3312">
      <formula>_xlfn.IFS(L319="",TRUE)</formula>
    </cfRule>
    <cfRule type="expression" dxfId="585" priority="3313">
      <formula>_xlfn.IFS(K319="T2",TRUE)</formula>
    </cfRule>
  </conditionalFormatting>
  <conditionalFormatting sqref="D320:D328">
    <cfRule type="expression" priority="3310">
      <formula>_xlfn.IFS(K320="",TRUE)</formula>
    </cfRule>
    <cfRule type="expression" dxfId="584" priority="3311">
      <formula>_xlfn.IFS(K320="T1",TRUE)</formula>
    </cfRule>
  </conditionalFormatting>
  <conditionalFormatting sqref="E320:E328">
    <cfRule type="expression" priority="3308">
      <formula>_xlfn.IFS(L320="",TRUE)</formula>
    </cfRule>
    <cfRule type="expression" dxfId="583" priority="3309">
      <formula>_xlfn.IFS(K320="T2",TRUE)</formula>
    </cfRule>
  </conditionalFormatting>
  <conditionalFormatting sqref="D333">
    <cfRule type="expression" priority="3306">
      <formula>_xlfn.IFS(K333="",TRUE)</formula>
    </cfRule>
    <cfRule type="expression" dxfId="582" priority="3307">
      <formula>_xlfn.IFS(K333="T1",TRUE)</formula>
    </cfRule>
  </conditionalFormatting>
  <conditionalFormatting sqref="E333">
    <cfRule type="expression" priority="3304">
      <formula>_xlfn.IFS(L333="",TRUE)</formula>
    </cfRule>
    <cfRule type="expression" dxfId="581" priority="3305">
      <formula>_xlfn.IFS(K333="T2",TRUE)</formula>
    </cfRule>
  </conditionalFormatting>
  <conditionalFormatting sqref="D334:D342">
    <cfRule type="expression" priority="3302">
      <formula>_xlfn.IFS(K334="",TRUE)</formula>
    </cfRule>
    <cfRule type="expression" dxfId="580" priority="3303">
      <formula>_xlfn.IFS(K334="T1",TRUE)</formula>
    </cfRule>
  </conditionalFormatting>
  <conditionalFormatting sqref="E334:E342">
    <cfRule type="expression" priority="3300">
      <formula>_xlfn.IFS(L334="",TRUE)</formula>
    </cfRule>
    <cfRule type="expression" dxfId="579" priority="3301">
      <formula>_xlfn.IFS(K334="T2",TRUE)</formula>
    </cfRule>
  </conditionalFormatting>
  <conditionalFormatting sqref="D347">
    <cfRule type="expression" priority="3298">
      <formula>_xlfn.IFS(K347="",TRUE)</formula>
    </cfRule>
    <cfRule type="expression" dxfId="578" priority="3299">
      <formula>_xlfn.IFS(K347="T1",TRUE)</formula>
    </cfRule>
  </conditionalFormatting>
  <conditionalFormatting sqref="E347">
    <cfRule type="expression" priority="3296">
      <formula>_xlfn.IFS(L347="",TRUE)</formula>
    </cfRule>
    <cfRule type="expression" dxfId="577" priority="3297">
      <formula>_xlfn.IFS(K347="T2",TRUE)</formula>
    </cfRule>
  </conditionalFormatting>
  <conditionalFormatting sqref="D348:D356">
    <cfRule type="expression" priority="3294">
      <formula>_xlfn.IFS(K348="",TRUE)</formula>
    </cfRule>
    <cfRule type="expression" dxfId="576" priority="3295">
      <formula>_xlfn.IFS(K348="T1",TRUE)</formula>
    </cfRule>
  </conditionalFormatting>
  <conditionalFormatting sqref="E348:E356">
    <cfRule type="expression" priority="3292">
      <formula>_xlfn.IFS(L348="",TRUE)</formula>
    </cfRule>
    <cfRule type="expression" dxfId="575" priority="3293">
      <formula>_xlfn.IFS(K348="T2",TRUE)</formula>
    </cfRule>
  </conditionalFormatting>
  <conditionalFormatting sqref="D361">
    <cfRule type="expression" priority="3290">
      <formula>_xlfn.IFS(K361="",TRUE)</formula>
    </cfRule>
    <cfRule type="expression" dxfId="574" priority="3291">
      <formula>_xlfn.IFS(K361="T1",TRUE)</formula>
    </cfRule>
  </conditionalFormatting>
  <conditionalFormatting sqref="E361">
    <cfRule type="expression" priority="3288">
      <formula>_xlfn.IFS(L361="",TRUE)</formula>
    </cfRule>
    <cfRule type="expression" dxfId="573" priority="3289">
      <formula>_xlfn.IFS(K361="T2",TRUE)</formula>
    </cfRule>
  </conditionalFormatting>
  <conditionalFormatting sqref="D362:D370">
    <cfRule type="expression" priority="3286">
      <formula>_xlfn.IFS(K362="",TRUE)</formula>
    </cfRule>
    <cfRule type="expression" dxfId="572" priority="3287">
      <formula>_xlfn.IFS(K362="T1",TRUE)</formula>
    </cfRule>
  </conditionalFormatting>
  <conditionalFormatting sqref="E362:E370">
    <cfRule type="expression" priority="3284">
      <formula>_xlfn.IFS(L362="",TRUE)</formula>
    </cfRule>
    <cfRule type="expression" dxfId="571" priority="3285">
      <formula>_xlfn.IFS(K362="T2",TRUE)</formula>
    </cfRule>
  </conditionalFormatting>
  <conditionalFormatting sqref="D375">
    <cfRule type="expression" priority="3282">
      <formula>_xlfn.IFS(K375="",TRUE)</formula>
    </cfRule>
    <cfRule type="expression" dxfId="570" priority="3283">
      <formula>_xlfn.IFS(K375="T1",TRUE)</formula>
    </cfRule>
  </conditionalFormatting>
  <conditionalFormatting sqref="E375">
    <cfRule type="expression" priority="3280">
      <formula>_xlfn.IFS(L375="",TRUE)</formula>
    </cfRule>
    <cfRule type="expression" dxfId="569" priority="3281">
      <formula>_xlfn.IFS(K375="T2",TRUE)</formula>
    </cfRule>
  </conditionalFormatting>
  <conditionalFormatting sqref="D376:D384">
    <cfRule type="expression" priority="3278">
      <formula>_xlfn.IFS(K376="",TRUE)</formula>
    </cfRule>
    <cfRule type="expression" dxfId="568" priority="3279">
      <formula>_xlfn.IFS(K376="T1",TRUE)</formula>
    </cfRule>
  </conditionalFormatting>
  <conditionalFormatting sqref="E376:E384">
    <cfRule type="expression" priority="3276">
      <formula>_xlfn.IFS(L376="",TRUE)</formula>
    </cfRule>
    <cfRule type="expression" dxfId="567" priority="3277">
      <formula>_xlfn.IFS(K376="T2",TRUE)</formula>
    </cfRule>
  </conditionalFormatting>
  <conditionalFormatting sqref="D403">
    <cfRule type="expression" priority="3274">
      <formula>_xlfn.IFS(K403="",TRUE)</formula>
    </cfRule>
    <cfRule type="expression" dxfId="566" priority="3275">
      <formula>_xlfn.IFS(K403="T1",TRUE)</formula>
    </cfRule>
  </conditionalFormatting>
  <conditionalFormatting sqref="E403">
    <cfRule type="expression" priority="3272">
      <formula>_xlfn.IFS(L403="",TRUE)</formula>
    </cfRule>
    <cfRule type="expression" dxfId="565" priority="3273">
      <formula>_xlfn.IFS(K403="T2",TRUE)</formula>
    </cfRule>
  </conditionalFormatting>
  <conditionalFormatting sqref="D404:D412">
    <cfRule type="expression" priority="3270">
      <formula>_xlfn.IFS(K404="",TRUE)</formula>
    </cfRule>
    <cfRule type="expression" dxfId="564" priority="3271">
      <formula>_xlfn.IFS(K404="T1",TRUE)</formula>
    </cfRule>
  </conditionalFormatting>
  <conditionalFormatting sqref="E404:E412">
    <cfRule type="expression" priority="3268">
      <formula>_xlfn.IFS(L404="",TRUE)</formula>
    </cfRule>
    <cfRule type="expression" dxfId="563" priority="3269">
      <formula>_xlfn.IFS(K404="T2",TRUE)</formula>
    </cfRule>
  </conditionalFormatting>
  <conditionalFormatting sqref="D417">
    <cfRule type="expression" priority="3266">
      <formula>_xlfn.IFS(K417="",TRUE)</formula>
    </cfRule>
    <cfRule type="expression" dxfId="562" priority="3267">
      <formula>_xlfn.IFS(K417="T1",TRUE)</formula>
    </cfRule>
  </conditionalFormatting>
  <conditionalFormatting sqref="E417">
    <cfRule type="expression" priority="3264">
      <formula>_xlfn.IFS(L417="",TRUE)</formula>
    </cfRule>
    <cfRule type="expression" dxfId="561" priority="3265">
      <formula>_xlfn.IFS(K417="T2",TRUE)</formula>
    </cfRule>
  </conditionalFormatting>
  <conditionalFormatting sqref="D418:D426">
    <cfRule type="expression" priority="3262">
      <formula>_xlfn.IFS(K418="",TRUE)</formula>
    </cfRule>
    <cfRule type="expression" dxfId="560" priority="3263">
      <formula>_xlfn.IFS(K418="T1",TRUE)</formula>
    </cfRule>
  </conditionalFormatting>
  <conditionalFormatting sqref="E418:E426">
    <cfRule type="expression" priority="3260">
      <formula>_xlfn.IFS(L418="",TRUE)</formula>
    </cfRule>
    <cfRule type="expression" dxfId="559" priority="3261">
      <formula>_xlfn.IFS(K418="T2",TRUE)</formula>
    </cfRule>
  </conditionalFormatting>
  <conditionalFormatting sqref="D431">
    <cfRule type="expression" priority="3258">
      <formula>_xlfn.IFS(K431="",TRUE)</formula>
    </cfRule>
    <cfRule type="expression" dxfId="558" priority="3259">
      <formula>_xlfn.IFS(K431="T1",TRUE)</formula>
    </cfRule>
  </conditionalFormatting>
  <conditionalFormatting sqref="E431">
    <cfRule type="expression" priority="3256">
      <formula>_xlfn.IFS(L431="",TRUE)</formula>
    </cfRule>
    <cfRule type="expression" dxfId="557" priority="3257">
      <formula>_xlfn.IFS(K431="T2",TRUE)</formula>
    </cfRule>
  </conditionalFormatting>
  <conditionalFormatting sqref="D432:D440">
    <cfRule type="expression" priority="3254">
      <formula>_xlfn.IFS(K432="",TRUE)</formula>
    </cfRule>
    <cfRule type="expression" dxfId="556" priority="3255">
      <formula>_xlfn.IFS(K432="T1",TRUE)</formula>
    </cfRule>
  </conditionalFormatting>
  <conditionalFormatting sqref="E432:E440">
    <cfRule type="expression" priority="3252">
      <formula>_xlfn.IFS(L432="",TRUE)</formula>
    </cfRule>
    <cfRule type="expression" dxfId="555" priority="3253">
      <formula>_xlfn.IFS(K432="T2",TRUE)</formula>
    </cfRule>
  </conditionalFormatting>
  <conditionalFormatting sqref="D475">
    <cfRule type="expression" priority="3250">
      <formula>_xlfn.IFS(K475="",TRUE)</formula>
    </cfRule>
    <cfRule type="expression" dxfId="554" priority="3251">
      <formula>_xlfn.IFS(K475="T1",TRUE)</formula>
    </cfRule>
  </conditionalFormatting>
  <conditionalFormatting sqref="E475">
    <cfRule type="expression" priority="3248">
      <formula>_xlfn.IFS(L475="",TRUE)</formula>
    </cfRule>
    <cfRule type="expression" dxfId="553" priority="3249">
      <formula>_xlfn.IFS(K475="T2",TRUE)</formula>
    </cfRule>
  </conditionalFormatting>
  <conditionalFormatting sqref="D476:D484">
    <cfRule type="expression" priority="3246">
      <formula>_xlfn.IFS(K476="",TRUE)</formula>
    </cfRule>
    <cfRule type="expression" dxfId="552" priority="3247">
      <formula>_xlfn.IFS(K476="T1",TRUE)</formula>
    </cfRule>
  </conditionalFormatting>
  <conditionalFormatting sqref="E476:E484">
    <cfRule type="expression" priority="3244">
      <formula>_xlfn.IFS(L476="",TRUE)</formula>
    </cfRule>
    <cfRule type="expression" dxfId="551" priority="3245">
      <formula>_xlfn.IFS(K476="T2",TRUE)</formula>
    </cfRule>
  </conditionalFormatting>
  <conditionalFormatting sqref="D631">
    <cfRule type="expression" priority="3178">
      <formula>_xlfn.IFS(K631="",TRUE)</formula>
    </cfRule>
    <cfRule type="expression" dxfId="550" priority="3179">
      <formula>_xlfn.IFS(K631="T1",TRUE)</formula>
    </cfRule>
  </conditionalFormatting>
  <conditionalFormatting sqref="E631">
    <cfRule type="expression" priority="3176">
      <formula>_xlfn.IFS(L631="",TRUE)</formula>
    </cfRule>
    <cfRule type="expression" dxfId="549" priority="3177">
      <formula>_xlfn.IFS(K631="T2",TRUE)</formula>
    </cfRule>
  </conditionalFormatting>
  <conditionalFormatting sqref="D632:D637">
    <cfRule type="expression" priority="3174">
      <formula>_xlfn.IFS(K632="",TRUE)</formula>
    </cfRule>
    <cfRule type="expression" dxfId="548" priority="3175">
      <formula>_xlfn.IFS(K632="T1",TRUE)</formula>
    </cfRule>
  </conditionalFormatting>
  <conditionalFormatting sqref="E632:E637">
    <cfRule type="expression" priority="3172">
      <formula>_xlfn.IFS(L632="",TRUE)</formula>
    </cfRule>
    <cfRule type="expression" dxfId="547" priority="3173">
      <formula>_xlfn.IFS(K632="T2",TRUE)</formula>
    </cfRule>
  </conditionalFormatting>
  <conditionalFormatting sqref="D645">
    <cfRule type="expression" priority="3170">
      <formula>_xlfn.IFS(K645="",TRUE)</formula>
    </cfRule>
    <cfRule type="expression" dxfId="546" priority="3171">
      <formula>_xlfn.IFS(K645="T1",TRUE)</formula>
    </cfRule>
  </conditionalFormatting>
  <conditionalFormatting sqref="E645">
    <cfRule type="expression" priority="3168">
      <formula>_xlfn.IFS(L645="",TRUE)</formula>
    </cfRule>
    <cfRule type="expression" dxfId="545" priority="3169">
      <formula>_xlfn.IFS(K645="T2",TRUE)</formula>
    </cfRule>
  </conditionalFormatting>
  <conditionalFormatting sqref="D646:D654">
    <cfRule type="expression" priority="3166">
      <formula>_xlfn.IFS(K646="",TRUE)</formula>
    </cfRule>
    <cfRule type="expression" dxfId="544" priority="3167">
      <formula>_xlfn.IFS(K646="T1",TRUE)</formula>
    </cfRule>
  </conditionalFormatting>
  <conditionalFormatting sqref="E646:E654">
    <cfRule type="expression" priority="3164">
      <formula>_xlfn.IFS(L646="",TRUE)</formula>
    </cfRule>
    <cfRule type="expression" dxfId="543" priority="3165">
      <formula>_xlfn.IFS(K646="T2",TRUE)</formula>
    </cfRule>
  </conditionalFormatting>
  <conditionalFormatting sqref="D659">
    <cfRule type="expression" priority="3162">
      <formula>_xlfn.IFS(K659="",TRUE)</formula>
    </cfRule>
    <cfRule type="expression" dxfId="542" priority="3163">
      <formula>_xlfn.IFS(K659="T1",TRUE)</formula>
    </cfRule>
  </conditionalFormatting>
  <conditionalFormatting sqref="E659">
    <cfRule type="expression" priority="3160">
      <formula>_xlfn.IFS(L659="",TRUE)</formula>
    </cfRule>
    <cfRule type="expression" dxfId="541" priority="3161">
      <formula>_xlfn.IFS(K659="T2",TRUE)</formula>
    </cfRule>
  </conditionalFormatting>
  <conditionalFormatting sqref="D660:D668">
    <cfRule type="expression" priority="3158">
      <formula>_xlfn.IFS(K660="",TRUE)</formula>
    </cfRule>
    <cfRule type="expression" dxfId="540" priority="3159">
      <formula>_xlfn.IFS(K660="T1",TRUE)</formula>
    </cfRule>
  </conditionalFormatting>
  <conditionalFormatting sqref="E660:E668">
    <cfRule type="expression" priority="3156">
      <formula>_xlfn.IFS(L660="",TRUE)</formula>
    </cfRule>
    <cfRule type="expression" dxfId="539" priority="3157">
      <formula>_xlfn.IFS(K660="T2",TRUE)</formula>
    </cfRule>
  </conditionalFormatting>
  <conditionalFormatting sqref="D687">
    <cfRule type="expression" priority="3154">
      <formula>_xlfn.IFS(K687="",TRUE)</formula>
    </cfRule>
    <cfRule type="expression" dxfId="538" priority="3155">
      <formula>_xlfn.IFS(K687="T1",TRUE)</formula>
    </cfRule>
  </conditionalFormatting>
  <conditionalFormatting sqref="E687">
    <cfRule type="expression" priority="3152">
      <formula>_xlfn.IFS(L687="",TRUE)</formula>
    </cfRule>
    <cfRule type="expression" dxfId="537" priority="3153">
      <formula>_xlfn.IFS(K687="T2",TRUE)</formula>
    </cfRule>
  </conditionalFormatting>
  <conditionalFormatting sqref="D688:D696">
    <cfRule type="expression" priority="3150">
      <formula>_xlfn.IFS(K688="",TRUE)</formula>
    </cfRule>
    <cfRule type="expression" dxfId="536" priority="3151">
      <formula>_xlfn.IFS(K688="T1",TRUE)</formula>
    </cfRule>
  </conditionalFormatting>
  <conditionalFormatting sqref="E688:E696">
    <cfRule type="expression" priority="3148">
      <formula>_xlfn.IFS(L688="",TRUE)</formula>
    </cfRule>
    <cfRule type="expression" dxfId="535" priority="3149">
      <formula>_xlfn.IFS(K688="T2",TRUE)</formula>
    </cfRule>
  </conditionalFormatting>
  <conditionalFormatting sqref="D701">
    <cfRule type="expression" priority="3146">
      <formula>_xlfn.IFS(K701="",TRUE)</formula>
    </cfRule>
    <cfRule type="expression" dxfId="534" priority="3147">
      <formula>_xlfn.IFS(K701="T1",TRUE)</formula>
    </cfRule>
  </conditionalFormatting>
  <conditionalFormatting sqref="E701">
    <cfRule type="expression" priority="3144">
      <formula>_xlfn.IFS(L701="",TRUE)</formula>
    </cfRule>
    <cfRule type="expression" dxfId="533" priority="3145">
      <formula>_xlfn.IFS(K701="T2",TRUE)</formula>
    </cfRule>
  </conditionalFormatting>
  <conditionalFormatting sqref="D702:D710">
    <cfRule type="expression" priority="3142">
      <formula>_xlfn.IFS(K702="",TRUE)</formula>
    </cfRule>
    <cfRule type="expression" dxfId="532" priority="3143">
      <formula>_xlfn.IFS(K702="T1",TRUE)</formula>
    </cfRule>
  </conditionalFormatting>
  <conditionalFormatting sqref="E702:E710">
    <cfRule type="expression" priority="3140">
      <formula>_xlfn.IFS(L702="",TRUE)</formula>
    </cfRule>
    <cfRule type="expression" dxfId="531" priority="3141">
      <formula>_xlfn.IFS(K702="T2",TRUE)</formula>
    </cfRule>
  </conditionalFormatting>
  <conditionalFormatting sqref="D715">
    <cfRule type="expression" priority="3138">
      <formula>_xlfn.IFS(K715="",TRUE)</formula>
    </cfRule>
    <cfRule type="expression" dxfId="530" priority="3139">
      <formula>_xlfn.IFS(K715="T1",TRUE)</formula>
    </cfRule>
  </conditionalFormatting>
  <conditionalFormatting sqref="E715">
    <cfRule type="expression" priority="3136">
      <formula>_xlfn.IFS(L715="",TRUE)</formula>
    </cfRule>
    <cfRule type="expression" dxfId="529" priority="3137">
      <formula>_xlfn.IFS(K715="T2",TRUE)</formula>
    </cfRule>
  </conditionalFormatting>
  <conditionalFormatting sqref="D716:D724">
    <cfRule type="expression" priority="3134">
      <formula>_xlfn.IFS(K716="",TRUE)</formula>
    </cfRule>
    <cfRule type="expression" dxfId="528" priority="3135">
      <formula>_xlfn.IFS(K716="T1",TRUE)</formula>
    </cfRule>
  </conditionalFormatting>
  <conditionalFormatting sqref="E716:E724">
    <cfRule type="expression" priority="3132">
      <formula>_xlfn.IFS(L716="",TRUE)</formula>
    </cfRule>
    <cfRule type="expression" dxfId="527" priority="3133">
      <formula>_xlfn.IFS(K716="T2",TRUE)</formula>
    </cfRule>
  </conditionalFormatting>
  <conditionalFormatting sqref="D729">
    <cfRule type="expression" priority="3130">
      <formula>_xlfn.IFS(K729="",TRUE)</formula>
    </cfRule>
    <cfRule type="expression" dxfId="526" priority="3131">
      <formula>_xlfn.IFS(K729="T1",TRUE)</formula>
    </cfRule>
  </conditionalFormatting>
  <conditionalFormatting sqref="E729">
    <cfRule type="expression" priority="3128">
      <formula>_xlfn.IFS(L729="",TRUE)</formula>
    </cfRule>
    <cfRule type="expression" dxfId="525" priority="3129">
      <formula>_xlfn.IFS(K729="T2",TRUE)</formula>
    </cfRule>
  </conditionalFormatting>
  <conditionalFormatting sqref="D730:D738">
    <cfRule type="expression" priority="3126">
      <formula>_xlfn.IFS(K730="",TRUE)</formula>
    </cfRule>
    <cfRule type="expression" dxfId="524" priority="3127">
      <formula>_xlfn.IFS(K730="T1",TRUE)</formula>
    </cfRule>
  </conditionalFormatting>
  <conditionalFormatting sqref="E730:E738">
    <cfRule type="expression" priority="3124">
      <formula>_xlfn.IFS(L730="",TRUE)</formula>
    </cfRule>
    <cfRule type="expression" dxfId="523" priority="3125">
      <formula>_xlfn.IFS(K730="T2",TRUE)</formula>
    </cfRule>
  </conditionalFormatting>
  <conditionalFormatting sqref="D743">
    <cfRule type="expression" priority="3122">
      <formula>_xlfn.IFS(K743="",TRUE)</formula>
    </cfRule>
    <cfRule type="expression" dxfId="522" priority="3123">
      <formula>_xlfn.IFS(K743="T1",TRUE)</formula>
    </cfRule>
  </conditionalFormatting>
  <conditionalFormatting sqref="E743">
    <cfRule type="expression" priority="3120">
      <formula>_xlfn.IFS(L743="",TRUE)</formula>
    </cfRule>
    <cfRule type="expression" dxfId="521" priority="3121">
      <formula>_xlfn.IFS(K743="T2",TRUE)</formula>
    </cfRule>
  </conditionalFormatting>
  <conditionalFormatting sqref="D744:D752">
    <cfRule type="expression" priority="3118">
      <formula>_xlfn.IFS(K744="",TRUE)</formula>
    </cfRule>
    <cfRule type="expression" dxfId="520" priority="3119">
      <formula>_xlfn.IFS(K744="T1",TRUE)</formula>
    </cfRule>
  </conditionalFormatting>
  <conditionalFormatting sqref="E744:E752">
    <cfRule type="expression" priority="3116">
      <formula>_xlfn.IFS(L744="",TRUE)</formula>
    </cfRule>
    <cfRule type="expression" dxfId="519" priority="3117">
      <formula>_xlfn.IFS(K744="T2",TRUE)</formula>
    </cfRule>
  </conditionalFormatting>
  <conditionalFormatting sqref="D638:D640">
    <cfRule type="expression" priority="3114">
      <formula>_xlfn.IFS(K638="",TRUE)</formula>
    </cfRule>
    <cfRule type="expression" dxfId="518" priority="3115">
      <formula>_xlfn.IFS(K638="T1",TRUE)</formula>
    </cfRule>
  </conditionalFormatting>
  <conditionalFormatting sqref="E638:E640">
    <cfRule type="expression" priority="3112">
      <formula>_xlfn.IFS(L638="",TRUE)</formula>
    </cfRule>
    <cfRule type="expression" dxfId="517" priority="3113">
      <formula>_xlfn.IFS(K638="T2",TRUE)</formula>
    </cfRule>
  </conditionalFormatting>
  <conditionalFormatting sqref="D673">
    <cfRule type="expression" priority="3110">
      <formula>_xlfn.IFS(K673="",TRUE)</formula>
    </cfRule>
    <cfRule type="expression" dxfId="516" priority="3111">
      <formula>_xlfn.IFS(K673="T1",TRUE)</formula>
    </cfRule>
  </conditionalFormatting>
  <conditionalFormatting sqref="E673">
    <cfRule type="expression" priority="3108">
      <formula>_xlfn.IFS(L673="",TRUE)</formula>
    </cfRule>
    <cfRule type="expression" dxfId="515" priority="3109">
      <formula>_xlfn.IFS(K673="T2",TRUE)</formula>
    </cfRule>
  </conditionalFormatting>
  <conditionalFormatting sqref="D674:D682">
    <cfRule type="expression" priority="3106">
      <formula>_xlfn.IFS(K674="",TRUE)</formula>
    </cfRule>
    <cfRule type="expression" dxfId="514" priority="3107">
      <formula>_xlfn.IFS(K674="T1",TRUE)</formula>
    </cfRule>
  </conditionalFormatting>
  <conditionalFormatting sqref="E674:E682">
    <cfRule type="expression" priority="3104">
      <formula>_xlfn.IFS(L674="",TRUE)</formula>
    </cfRule>
    <cfRule type="expression" dxfId="513" priority="3105">
      <formula>_xlfn.IFS(K674="T2",TRUE)</formula>
    </cfRule>
  </conditionalFormatting>
  <conditionalFormatting sqref="D389:D395">
    <cfRule type="expression" priority="3102">
      <formula>_xlfn.IFS(H389="",TRUE)</formula>
    </cfRule>
    <cfRule type="expression" dxfId="512" priority="3103">
      <formula>_xlfn.IFS(H389="T1",TRUE)</formula>
    </cfRule>
  </conditionalFormatting>
  <conditionalFormatting sqref="E389:E395">
    <cfRule type="expression" priority="3100">
      <formula>_xlfn.IFS(I389="",TRUE)</formula>
    </cfRule>
    <cfRule type="expression" dxfId="511" priority="3101">
      <formula>_xlfn.IFS(H389="T2",TRUE)</formula>
    </cfRule>
  </conditionalFormatting>
  <conditionalFormatting sqref="D149">
    <cfRule type="expression" priority="3098">
      <formula>_xlfn.IFS(K149="",TRUE)</formula>
    </cfRule>
    <cfRule type="expression" dxfId="510" priority="3099">
      <formula>_xlfn.IFS(K149="T1",TRUE)</formula>
    </cfRule>
  </conditionalFormatting>
  <conditionalFormatting sqref="E149">
    <cfRule type="expression" priority="3096">
      <formula>_xlfn.IFS(L149="",TRUE)</formula>
    </cfRule>
    <cfRule type="expression" dxfId="509" priority="3097">
      <formula>_xlfn.IFS(K149="T2",TRUE)</formula>
    </cfRule>
  </conditionalFormatting>
  <conditionalFormatting sqref="D150:D158">
    <cfRule type="expression" priority="3094">
      <formula>_xlfn.IFS(K150="",TRUE)</formula>
    </cfRule>
    <cfRule type="expression" dxfId="508" priority="3095">
      <formula>_xlfn.IFS(K150="T1",TRUE)</formula>
    </cfRule>
  </conditionalFormatting>
  <conditionalFormatting sqref="E150:E158">
    <cfRule type="expression" priority="3092">
      <formula>_xlfn.IFS(L150="",TRUE)</formula>
    </cfRule>
    <cfRule type="expression" dxfId="507" priority="3093">
      <formula>_xlfn.IFS(K150="T2",TRUE)</formula>
    </cfRule>
  </conditionalFormatting>
  <conditionalFormatting sqref="D305">
    <cfRule type="expression" priority="3090">
      <formula>_xlfn.IFS(K305="",TRUE)</formula>
    </cfRule>
    <cfRule type="expression" dxfId="506" priority="3091">
      <formula>_xlfn.IFS(K305="T1",TRUE)</formula>
    </cfRule>
  </conditionalFormatting>
  <conditionalFormatting sqref="E305">
    <cfRule type="expression" priority="3088">
      <formula>_xlfn.IFS(L305="",TRUE)</formula>
    </cfRule>
    <cfRule type="expression" dxfId="505" priority="3089">
      <formula>_xlfn.IFS(K305="T2",TRUE)</formula>
    </cfRule>
  </conditionalFormatting>
  <conditionalFormatting sqref="D306:D314">
    <cfRule type="expression" priority="3086">
      <formula>_xlfn.IFS(K306="",TRUE)</formula>
    </cfRule>
    <cfRule type="expression" dxfId="504" priority="3087">
      <formula>_xlfn.IFS(K306="T1",TRUE)</formula>
    </cfRule>
  </conditionalFormatting>
  <conditionalFormatting sqref="E306:E314">
    <cfRule type="expression" priority="3084">
      <formula>_xlfn.IFS(L306="",TRUE)</formula>
    </cfRule>
    <cfRule type="expression" dxfId="503" priority="3085">
      <formula>_xlfn.IFS(K306="T2",TRUE)</formula>
    </cfRule>
  </conditionalFormatting>
  <conditionalFormatting sqref="G389:G395">
    <cfRule type="expression" priority="1490">
      <formula>_xlfn.IFS(K389="",TRUE)</formula>
    </cfRule>
    <cfRule type="expression" dxfId="502" priority="1491">
      <formula>_xlfn.IFS(K389="T1",TRUE)</formula>
    </cfRule>
  </conditionalFormatting>
  <conditionalFormatting sqref="H389:H395">
    <cfRule type="expression" priority="1488">
      <formula>_xlfn.IFS(L389="",TRUE)</formula>
    </cfRule>
    <cfRule type="expression" dxfId="501" priority="1489">
      <formula>_xlfn.IFS(K389="T2",TRUE)</formula>
    </cfRule>
  </conditionalFormatting>
  <conditionalFormatting sqref="R461">
    <cfRule type="expression" dxfId="500" priority="914">
      <formula>R461=0</formula>
    </cfRule>
    <cfRule type="expression" dxfId="499" priority="625">
      <formula>N461="NO BET"</formula>
    </cfRule>
  </conditionalFormatting>
  <conditionalFormatting sqref="D461">
    <cfRule type="expression" priority="710">
      <formula>_xlfn.IFS(K461="",TRUE)</formula>
    </cfRule>
    <cfRule type="expression" dxfId="498" priority="711">
      <formula>_xlfn.IFS(K461="T1",TRUE)</formula>
    </cfRule>
  </conditionalFormatting>
  <conditionalFormatting sqref="E461">
    <cfRule type="expression" priority="708">
      <formula>_xlfn.IFS(L461="",TRUE)</formula>
    </cfRule>
    <cfRule type="expression" dxfId="497" priority="709">
      <formula>_xlfn.IFS(K461="T2",TRUE)</formula>
    </cfRule>
  </conditionalFormatting>
  <conditionalFormatting sqref="D462:D470">
    <cfRule type="expression" priority="706">
      <formula>_xlfn.IFS(K462="",TRUE)</formula>
    </cfRule>
    <cfRule type="expression" dxfId="496" priority="707">
      <formula>_xlfn.IFS(K462="T1",TRUE)</formula>
    </cfRule>
  </conditionalFormatting>
  <conditionalFormatting sqref="E462:E470">
    <cfRule type="expression" priority="704">
      <formula>_xlfn.IFS(L462="",TRUE)</formula>
    </cfRule>
    <cfRule type="expression" dxfId="495" priority="705">
      <formula>_xlfn.IFS(K462="T2",TRUE)</formula>
    </cfRule>
  </conditionalFormatting>
  <conditionalFormatting sqref="D489">
    <cfRule type="expression" priority="702">
      <formula>_xlfn.IFS(K489="",TRUE)</formula>
    </cfRule>
    <cfRule type="expression" dxfId="494" priority="703">
      <formula>_xlfn.IFS(K489="T1",TRUE)</formula>
    </cfRule>
  </conditionalFormatting>
  <conditionalFormatting sqref="E489">
    <cfRule type="expression" priority="700">
      <formula>_xlfn.IFS(L489="",TRUE)</formula>
    </cfRule>
    <cfRule type="expression" dxfId="493" priority="701">
      <formula>_xlfn.IFS(K489="T2",TRUE)</formula>
    </cfRule>
  </conditionalFormatting>
  <conditionalFormatting sqref="D490:D498">
    <cfRule type="expression" priority="698">
      <formula>_xlfn.IFS(K490="",TRUE)</formula>
    </cfRule>
    <cfRule type="expression" dxfId="492" priority="699">
      <formula>_xlfn.IFS(K490="T1",TRUE)</formula>
    </cfRule>
  </conditionalFormatting>
  <conditionalFormatting sqref="E490:E498">
    <cfRule type="expression" priority="696">
      <formula>_xlfn.IFS(L490="",TRUE)</formula>
    </cfRule>
    <cfRule type="expression" dxfId="491" priority="697">
      <formula>_xlfn.IFS(K490="T2",TRUE)</formula>
    </cfRule>
  </conditionalFormatting>
  <conditionalFormatting sqref="D503">
    <cfRule type="expression" priority="694">
      <formula>_xlfn.IFS(K503="",TRUE)</formula>
    </cfRule>
    <cfRule type="expression" dxfId="490" priority="695">
      <formula>_xlfn.IFS(K503="T1",TRUE)</formula>
    </cfRule>
  </conditionalFormatting>
  <conditionalFormatting sqref="E503">
    <cfRule type="expression" priority="692">
      <formula>_xlfn.IFS(L503="",TRUE)</formula>
    </cfRule>
    <cfRule type="expression" dxfId="489" priority="693">
      <formula>_xlfn.IFS(K503="T2",TRUE)</formula>
    </cfRule>
  </conditionalFormatting>
  <conditionalFormatting sqref="D504:D512">
    <cfRule type="expression" priority="690">
      <formula>_xlfn.IFS(K504="",TRUE)</formula>
    </cfRule>
    <cfRule type="expression" dxfId="488" priority="691">
      <formula>_xlfn.IFS(K504="T1",TRUE)</formula>
    </cfRule>
  </conditionalFormatting>
  <conditionalFormatting sqref="E504:E512">
    <cfRule type="expression" priority="688">
      <formula>_xlfn.IFS(L504="",TRUE)</formula>
    </cfRule>
    <cfRule type="expression" dxfId="487" priority="689">
      <formula>_xlfn.IFS(K504="T2",TRUE)</formula>
    </cfRule>
  </conditionalFormatting>
  <conditionalFormatting sqref="D517">
    <cfRule type="expression" priority="686">
      <formula>_xlfn.IFS(K517="",TRUE)</formula>
    </cfRule>
    <cfRule type="expression" dxfId="486" priority="687">
      <formula>_xlfn.IFS(K517="T1",TRUE)</formula>
    </cfRule>
  </conditionalFormatting>
  <conditionalFormatting sqref="E517">
    <cfRule type="expression" priority="684">
      <formula>_xlfn.IFS(L517="",TRUE)</formula>
    </cfRule>
    <cfRule type="expression" dxfId="485" priority="685">
      <formula>_xlfn.IFS(K517="T2",TRUE)</formula>
    </cfRule>
  </conditionalFormatting>
  <conditionalFormatting sqref="D518:D526">
    <cfRule type="expression" priority="682">
      <formula>_xlfn.IFS(K518="",TRUE)</formula>
    </cfRule>
    <cfRule type="expression" dxfId="484" priority="683">
      <formula>_xlfn.IFS(K518="T1",TRUE)</formula>
    </cfRule>
  </conditionalFormatting>
  <conditionalFormatting sqref="E518:E526">
    <cfRule type="expression" priority="680">
      <formula>_xlfn.IFS(L518="",TRUE)</formula>
    </cfRule>
    <cfRule type="expression" dxfId="483" priority="681">
      <formula>_xlfn.IFS(K518="T2",TRUE)</formula>
    </cfRule>
  </conditionalFormatting>
  <conditionalFormatting sqref="D531">
    <cfRule type="expression" priority="678">
      <formula>_xlfn.IFS(K531="",TRUE)</formula>
    </cfRule>
    <cfRule type="expression" dxfId="482" priority="679">
      <formula>_xlfn.IFS(K531="T1",TRUE)</formula>
    </cfRule>
  </conditionalFormatting>
  <conditionalFormatting sqref="E531">
    <cfRule type="expression" priority="676">
      <formula>_xlfn.IFS(L531="",TRUE)</formula>
    </cfRule>
    <cfRule type="expression" dxfId="481" priority="677">
      <formula>_xlfn.IFS(K531="T2",TRUE)</formula>
    </cfRule>
  </conditionalFormatting>
  <conditionalFormatting sqref="D532:D540">
    <cfRule type="expression" priority="674">
      <formula>_xlfn.IFS(K532="",TRUE)</formula>
    </cfRule>
    <cfRule type="expression" dxfId="480" priority="675">
      <formula>_xlfn.IFS(K532="T1",TRUE)</formula>
    </cfRule>
  </conditionalFormatting>
  <conditionalFormatting sqref="E532:E540">
    <cfRule type="expression" priority="672">
      <formula>_xlfn.IFS(L532="",TRUE)</formula>
    </cfRule>
    <cfRule type="expression" dxfId="479" priority="673">
      <formula>_xlfn.IFS(K532="T2",TRUE)</formula>
    </cfRule>
  </conditionalFormatting>
  <conditionalFormatting sqref="D545">
    <cfRule type="expression" priority="670">
      <formula>_xlfn.IFS(K545="",TRUE)</formula>
    </cfRule>
    <cfRule type="expression" dxfId="478" priority="671">
      <formula>_xlfn.IFS(K545="T1",TRUE)</formula>
    </cfRule>
  </conditionalFormatting>
  <conditionalFormatting sqref="E545">
    <cfRule type="expression" priority="668">
      <formula>_xlfn.IFS(L545="",TRUE)</formula>
    </cfRule>
    <cfRule type="expression" dxfId="477" priority="669">
      <formula>_xlfn.IFS(K545="T2",TRUE)</formula>
    </cfRule>
  </conditionalFormatting>
  <conditionalFormatting sqref="D546:D554">
    <cfRule type="expression" priority="666">
      <formula>_xlfn.IFS(K546="",TRUE)</formula>
    </cfRule>
    <cfRule type="expression" dxfId="476" priority="667">
      <formula>_xlfn.IFS(K546="T1",TRUE)</formula>
    </cfRule>
  </conditionalFormatting>
  <conditionalFormatting sqref="E546:E554">
    <cfRule type="expression" priority="664">
      <formula>_xlfn.IFS(L546="",TRUE)</formula>
    </cfRule>
    <cfRule type="expression" dxfId="475" priority="665">
      <formula>_xlfn.IFS(K546="T2",TRUE)</formula>
    </cfRule>
  </conditionalFormatting>
  <conditionalFormatting sqref="D559">
    <cfRule type="expression" priority="662">
      <formula>_xlfn.IFS(K559="",TRUE)</formula>
    </cfRule>
    <cfRule type="expression" dxfId="474" priority="663">
      <formula>_xlfn.IFS(K559="T1",TRUE)</formula>
    </cfRule>
  </conditionalFormatting>
  <conditionalFormatting sqref="E559">
    <cfRule type="expression" priority="660">
      <formula>_xlfn.IFS(L559="",TRUE)</formula>
    </cfRule>
    <cfRule type="expression" dxfId="473" priority="661">
      <formula>_xlfn.IFS(K559="T2",TRUE)</formula>
    </cfRule>
  </conditionalFormatting>
  <conditionalFormatting sqref="D560:D568">
    <cfRule type="expression" priority="658">
      <formula>_xlfn.IFS(K560="",TRUE)</formula>
    </cfRule>
    <cfRule type="expression" dxfId="472" priority="659">
      <formula>_xlfn.IFS(K560="T1",TRUE)</formula>
    </cfRule>
  </conditionalFormatting>
  <conditionalFormatting sqref="E560:E568">
    <cfRule type="expression" priority="656">
      <formula>_xlfn.IFS(L560="",TRUE)</formula>
    </cfRule>
    <cfRule type="expression" dxfId="471" priority="657">
      <formula>_xlfn.IFS(K560="T2",TRUE)</formula>
    </cfRule>
  </conditionalFormatting>
  <conditionalFormatting sqref="D573">
    <cfRule type="expression" priority="654">
      <formula>_xlfn.IFS(K573="",TRUE)</formula>
    </cfRule>
    <cfRule type="expression" dxfId="470" priority="655">
      <formula>_xlfn.IFS(K573="T1",TRUE)</formula>
    </cfRule>
  </conditionalFormatting>
  <conditionalFormatting sqref="E573">
    <cfRule type="expression" priority="652">
      <formula>_xlfn.IFS(L573="",TRUE)</formula>
    </cfRule>
    <cfRule type="expression" dxfId="469" priority="653">
      <formula>_xlfn.IFS(K573="T2",TRUE)</formula>
    </cfRule>
  </conditionalFormatting>
  <conditionalFormatting sqref="D574:D582">
    <cfRule type="expression" priority="650">
      <formula>_xlfn.IFS(K574="",TRUE)</formula>
    </cfRule>
    <cfRule type="expression" dxfId="468" priority="651">
      <formula>_xlfn.IFS(K574="T1",TRUE)</formula>
    </cfRule>
  </conditionalFormatting>
  <conditionalFormatting sqref="E574:E582">
    <cfRule type="expression" priority="648">
      <formula>_xlfn.IFS(L574="",TRUE)</formula>
    </cfRule>
    <cfRule type="expression" dxfId="467" priority="649">
      <formula>_xlfn.IFS(K574="T2",TRUE)</formula>
    </cfRule>
  </conditionalFormatting>
  <conditionalFormatting sqref="D587">
    <cfRule type="expression" priority="646">
      <formula>_xlfn.IFS(K587="",TRUE)</formula>
    </cfRule>
    <cfRule type="expression" dxfId="466" priority="647">
      <formula>_xlfn.IFS(K587="T1",TRUE)</formula>
    </cfRule>
  </conditionalFormatting>
  <conditionalFormatting sqref="E587">
    <cfRule type="expression" priority="644">
      <formula>_xlfn.IFS(L587="",TRUE)</formula>
    </cfRule>
    <cfRule type="expression" dxfId="465" priority="645">
      <formula>_xlfn.IFS(K587="T2",TRUE)</formula>
    </cfRule>
  </conditionalFormatting>
  <conditionalFormatting sqref="D588:D596">
    <cfRule type="expression" priority="642">
      <formula>_xlfn.IFS(K588="",TRUE)</formula>
    </cfRule>
    <cfRule type="expression" dxfId="464" priority="643">
      <formula>_xlfn.IFS(K588="T1",TRUE)</formula>
    </cfRule>
  </conditionalFormatting>
  <conditionalFormatting sqref="E588:E596">
    <cfRule type="expression" priority="640">
      <formula>_xlfn.IFS(L588="",TRUE)</formula>
    </cfRule>
    <cfRule type="expression" dxfId="463" priority="641">
      <formula>_xlfn.IFS(K588="T2",TRUE)</formula>
    </cfRule>
  </conditionalFormatting>
  <conditionalFormatting sqref="P461">
    <cfRule type="expression" priority="632">
      <formula>(P461="")</formula>
    </cfRule>
    <cfRule type="expression" dxfId="462" priority="633">
      <formula>AND(NOT(K461=P461),NOT(P461=""))</formula>
    </cfRule>
    <cfRule type="expression" dxfId="461" priority="634">
      <formula>AND((K461=P461),NOT(P461=""))</formula>
    </cfRule>
  </conditionalFormatting>
  <conditionalFormatting sqref="P461">
    <cfRule type="expression" dxfId="460" priority="631">
      <formula>IF(L461="NO BET", TRUE, FALSE)</formula>
    </cfRule>
  </conditionalFormatting>
  <conditionalFormatting sqref="P462:P470">
    <cfRule type="expression" priority="628">
      <formula>(P462="")</formula>
    </cfRule>
    <cfRule type="expression" dxfId="459" priority="629">
      <formula>AND(NOT(K462=P462),NOT(P462=""))</formula>
    </cfRule>
    <cfRule type="expression" dxfId="458" priority="630">
      <formula>AND((K462=P462),NOT(P462=""))</formula>
    </cfRule>
  </conditionalFormatting>
  <conditionalFormatting sqref="P462:P470">
    <cfRule type="expression" dxfId="457" priority="627">
      <formula>IF(N462="NO BET", TRUE, FALSE)</formula>
    </cfRule>
  </conditionalFormatting>
  <conditionalFormatting sqref="O461:O470">
    <cfRule type="expression" dxfId="456" priority="626">
      <formula>N461="NO BET"</formula>
    </cfRule>
  </conditionalFormatting>
  <conditionalFormatting sqref="R462:R470">
    <cfRule type="expression" dxfId="455" priority="623">
      <formula>N462="NO BET"</formula>
    </cfRule>
    <cfRule type="expression" dxfId="454" priority="624">
      <formula>R462=0</formula>
    </cfRule>
  </conditionalFormatting>
  <conditionalFormatting sqref="R475">
    <cfRule type="expression" dxfId="453" priority="608">
      <formula>N475="NO BET"</formula>
    </cfRule>
    <cfRule type="expression" dxfId="452" priority="622">
      <formula>R475=0</formula>
    </cfRule>
  </conditionalFormatting>
  <conditionalFormatting sqref="P475">
    <cfRule type="expression" priority="615">
      <formula>(P475="")</formula>
    </cfRule>
    <cfRule type="expression" dxfId="451" priority="616">
      <formula>AND(NOT(K475=P475),NOT(P475=""))</formula>
    </cfRule>
    <cfRule type="expression" dxfId="450" priority="617">
      <formula>AND((K475=P475),NOT(P475=""))</formula>
    </cfRule>
  </conditionalFormatting>
  <conditionalFormatting sqref="P475">
    <cfRule type="expression" dxfId="449" priority="614">
      <formula>IF(L475="NO BET", TRUE, FALSE)</formula>
    </cfRule>
  </conditionalFormatting>
  <conditionalFormatting sqref="P476:P484">
    <cfRule type="expression" priority="611">
      <formula>(P476="")</formula>
    </cfRule>
    <cfRule type="expression" dxfId="448" priority="612">
      <formula>AND(NOT(K476=P476),NOT(P476=""))</formula>
    </cfRule>
    <cfRule type="expression" dxfId="447" priority="613">
      <formula>AND((K476=P476),NOT(P476=""))</formula>
    </cfRule>
  </conditionalFormatting>
  <conditionalFormatting sqref="P476:P484">
    <cfRule type="expression" dxfId="446" priority="610">
      <formula>IF(N476="NO BET", TRUE, FALSE)</formula>
    </cfRule>
  </conditionalFormatting>
  <conditionalFormatting sqref="O475:O484">
    <cfRule type="expression" dxfId="445" priority="609">
      <formula>N475="NO BET"</formula>
    </cfRule>
  </conditionalFormatting>
  <conditionalFormatting sqref="R476:R484">
    <cfRule type="expression" dxfId="444" priority="606">
      <formula>N476="NO BET"</formula>
    </cfRule>
    <cfRule type="expression" dxfId="443" priority="607">
      <formula>R476=0</formula>
    </cfRule>
  </conditionalFormatting>
  <conditionalFormatting sqref="R489">
    <cfRule type="expression" dxfId="442" priority="591">
      <formula>N489="NO BET"</formula>
    </cfRule>
    <cfRule type="expression" dxfId="441" priority="605">
      <formula>R489=0</formula>
    </cfRule>
  </conditionalFormatting>
  <conditionalFormatting sqref="P489">
    <cfRule type="expression" priority="598">
      <formula>(P489="")</formula>
    </cfRule>
    <cfRule type="expression" dxfId="440" priority="599">
      <formula>AND(NOT(K489=P489),NOT(P489=""))</formula>
    </cfRule>
    <cfRule type="expression" dxfId="439" priority="600">
      <formula>AND((K489=P489),NOT(P489=""))</formula>
    </cfRule>
  </conditionalFormatting>
  <conditionalFormatting sqref="P489">
    <cfRule type="expression" dxfId="438" priority="597">
      <formula>IF(L489="NO BET", TRUE, FALSE)</formula>
    </cfRule>
  </conditionalFormatting>
  <conditionalFormatting sqref="P490:P498">
    <cfRule type="expression" priority="594">
      <formula>(P490="")</formula>
    </cfRule>
    <cfRule type="expression" dxfId="437" priority="595">
      <formula>AND(NOT(K490=P490),NOT(P490=""))</formula>
    </cfRule>
    <cfRule type="expression" dxfId="436" priority="596">
      <formula>AND((K490=P490),NOT(P490=""))</formula>
    </cfRule>
  </conditionalFormatting>
  <conditionalFormatting sqref="P490:P498">
    <cfRule type="expression" dxfId="435" priority="593">
      <formula>IF(N490="NO BET", TRUE, FALSE)</formula>
    </cfRule>
  </conditionalFormatting>
  <conditionalFormatting sqref="O489:O498">
    <cfRule type="expression" dxfId="434" priority="592">
      <formula>N489="NO BET"</formula>
    </cfRule>
  </conditionalFormatting>
  <conditionalFormatting sqref="R490:R498">
    <cfRule type="expression" dxfId="433" priority="589">
      <formula>N490="NO BET"</formula>
    </cfRule>
    <cfRule type="expression" dxfId="432" priority="590">
      <formula>R490=0</formula>
    </cfRule>
  </conditionalFormatting>
  <conditionalFormatting sqref="R503">
    <cfRule type="expression" dxfId="431" priority="574">
      <formula>N503="NO BET"</formula>
    </cfRule>
    <cfRule type="expression" dxfId="430" priority="588">
      <formula>R503=0</formula>
    </cfRule>
  </conditionalFormatting>
  <conditionalFormatting sqref="P503">
    <cfRule type="expression" priority="581">
      <formula>(P503="")</formula>
    </cfRule>
    <cfRule type="expression" dxfId="429" priority="582">
      <formula>AND(NOT(K503=P503),NOT(P503=""))</formula>
    </cfRule>
    <cfRule type="expression" dxfId="428" priority="583">
      <formula>AND((K503=P503),NOT(P503=""))</formula>
    </cfRule>
  </conditionalFormatting>
  <conditionalFormatting sqref="P503">
    <cfRule type="expression" dxfId="427" priority="580">
      <formula>IF(L503="NO BET", TRUE, FALSE)</formula>
    </cfRule>
  </conditionalFormatting>
  <conditionalFormatting sqref="P504:P512">
    <cfRule type="expression" priority="577">
      <formula>(P504="")</formula>
    </cfRule>
    <cfRule type="expression" dxfId="426" priority="578">
      <formula>AND(NOT(K504=P504),NOT(P504=""))</formula>
    </cfRule>
    <cfRule type="expression" dxfId="425" priority="579">
      <formula>AND((K504=P504),NOT(P504=""))</formula>
    </cfRule>
  </conditionalFormatting>
  <conditionalFormatting sqref="P504:P512">
    <cfRule type="expression" dxfId="424" priority="576">
      <formula>IF(N504="NO BET", TRUE, FALSE)</formula>
    </cfRule>
  </conditionalFormatting>
  <conditionalFormatting sqref="O503:O512">
    <cfRule type="expression" dxfId="423" priority="575">
      <formula>N503="NO BET"</formula>
    </cfRule>
  </conditionalFormatting>
  <conditionalFormatting sqref="R504:R512">
    <cfRule type="expression" dxfId="422" priority="572">
      <formula>N504="NO BET"</formula>
    </cfRule>
    <cfRule type="expression" dxfId="421" priority="573">
      <formula>R504=0</formula>
    </cfRule>
  </conditionalFormatting>
  <conditionalFormatting sqref="R517">
    <cfRule type="expression" dxfId="420" priority="557">
      <formula>N517="NO BET"</formula>
    </cfRule>
    <cfRule type="expression" dxfId="419" priority="571">
      <formula>R517=0</formula>
    </cfRule>
  </conditionalFormatting>
  <conditionalFormatting sqref="P517">
    <cfRule type="expression" priority="564">
      <formula>(P517="")</formula>
    </cfRule>
    <cfRule type="expression" dxfId="418" priority="565">
      <formula>AND(NOT(K517=P517),NOT(P517=""))</formula>
    </cfRule>
    <cfRule type="expression" dxfId="417" priority="566">
      <formula>AND((K517=P517),NOT(P517=""))</formula>
    </cfRule>
  </conditionalFormatting>
  <conditionalFormatting sqref="P517">
    <cfRule type="expression" dxfId="416" priority="563">
      <formula>IF(L517="NO BET", TRUE, FALSE)</formula>
    </cfRule>
  </conditionalFormatting>
  <conditionalFormatting sqref="P518:P526">
    <cfRule type="expression" priority="560">
      <formula>(P518="")</formula>
    </cfRule>
    <cfRule type="expression" dxfId="415" priority="561">
      <formula>AND(NOT(K518=P518),NOT(P518=""))</formula>
    </cfRule>
    <cfRule type="expression" dxfId="414" priority="562">
      <formula>AND((K518=P518),NOT(P518=""))</formula>
    </cfRule>
  </conditionalFormatting>
  <conditionalFormatting sqref="P518:P526">
    <cfRule type="expression" dxfId="413" priority="559">
      <formula>IF(N518="NO BET", TRUE, FALSE)</formula>
    </cfRule>
  </conditionalFormatting>
  <conditionalFormatting sqref="O517:O526">
    <cfRule type="expression" dxfId="412" priority="558">
      <formula>N517="NO BET"</formula>
    </cfRule>
  </conditionalFormatting>
  <conditionalFormatting sqref="R518:R526">
    <cfRule type="expression" dxfId="411" priority="555">
      <formula>N518="NO BET"</formula>
    </cfRule>
    <cfRule type="expression" dxfId="410" priority="556">
      <formula>R518=0</formula>
    </cfRule>
  </conditionalFormatting>
  <conditionalFormatting sqref="R531">
    <cfRule type="expression" dxfId="409" priority="540">
      <formula>N531="NO BET"</formula>
    </cfRule>
    <cfRule type="expression" dxfId="408" priority="554">
      <formula>R531=0</formula>
    </cfRule>
  </conditionalFormatting>
  <conditionalFormatting sqref="P531">
    <cfRule type="expression" priority="547">
      <formula>(P531="")</formula>
    </cfRule>
    <cfRule type="expression" dxfId="407" priority="548">
      <formula>AND(NOT(K531=P531),NOT(P531=""))</formula>
    </cfRule>
    <cfRule type="expression" dxfId="406" priority="549">
      <formula>AND((K531=P531),NOT(P531=""))</formula>
    </cfRule>
  </conditionalFormatting>
  <conditionalFormatting sqref="P531">
    <cfRule type="expression" dxfId="405" priority="546">
      <formula>IF(L531="NO BET", TRUE, FALSE)</formula>
    </cfRule>
  </conditionalFormatting>
  <conditionalFormatting sqref="P532:P540">
    <cfRule type="expression" priority="543">
      <formula>(P532="")</formula>
    </cfRule>
    <cfRule type="expression" dxfId="404" priority="544">
      <formula>AND(NOT(K532=P532),NOT(P532=""))</formula>
    </cfRule>
    <cfRule type="expression" dxfId="403" priority="545">
      <formula>AND((K532=P532),NOT(P532=""))</formula>
    </cfRule>
  </conditionalFormatting>
  <conditionalFormatting sqref="P532:P540">
    <cfRule type="expression" dxfId="402" priority="542">
      <formula>IF(N532="NO BET", TRUE, FALSE)</formula>
    </cfRule>
  </conditionalFormatting>
  <conditionalFormatting sqref="O531:O540">
    <cfRule type="expression" dxfId="401" priority="541">
      <formula>N531="NO BET"</formula>
    </cfRule>
  </conditionalFormatting>
  <conditionalFormatting sqref="R532:R540">
    <cfRule type="expression" dxfId="400" priority="538">
      <formula>N532="NO BET"</formula>
    </cfRule>
    <cfRule type="expression" dxfId="399" priority="539">
      <formula>R532=0</formula>
    </cfRule>
  </conditionalFormatting>
  <conditionalFormatting sqref="R545">
    <cfRule type="expression" dxfId="398" priority="523">
      <formula>N545="NO BET"</formula>
    </cfRule>
    <cfRule type="expression" dxfId="397" priority="537">
      <formula>R545=0</formula>
    </cfRule>
  </conditionalFormatting>
  <conditionalFormatting sqref="P545">
    <cfRule type="expression" priority="530">
      <formula>(P545="")</formula>
    </cfRule>
    <cfRule type="expression" dxfId="396" priority="531">
      <formula>AND(NOT(K545=P545),NOT(P545=""))</formula>
    </cfRule>
    <cfRule type="expression" dxfId="395" priority="532">
      <formula>AND((K545=P545),NOT(P545=""))</formula>
    </cfRule>
  </conditionalFormatting>
  <conditionalFormatting sqref="P545">
    <cfRule type="expression" dxfId="394" priority="529">
      <formula>IF(L545="NO BET", TRUE, FALSE)</formula>
    </cfRule>
  </conditionalFormatting>
  <conditionalFormatting sqref="P546:P554">
    <cfRule type="expression" priority="526">
      <formula>(P546="")</formula>
    </cfRule>
    <cfRule type="expression" dxfId="393" priority="527">
      <formula>AND(NOT(K546=P546),NOT(P546=""))</formula>
    </cfRule>
    <cfRule type="expression" dxfId="392" priority="528">
      <formula>AND((K546=P546),NOT(P546=""))</formula>
    </cfRule>
  </conditionalFormatting>
  <conditionalFormatting sqref="P546:P554">
    <cfRule type="expression" dxfId="391" priority="525">
      <formula>IF(N546="NO BET", TRUE, FALSE)</formula>
    </cfRule>
  </conditionalFormatting>
  <conditionalFormatting sqref="O545:O554">
    <cfRule type="expression" dxfId="390" priority="524">
      <formula>N545="NO BET"</formula>
    </cfRule>
  </conditionalFormatting>
  <conditionalFormatting sqref="R546:R554">
    <cfRule type="expression" dxfId="389" priority="521">
      <formula>N546="NO BET"</formula>
    </cfRule>
    <cfRule type="expression" dxfId="388" priority="522">
      <formula>R546=0</formula>
    </cfRule>
  </conditionalFormatting>
  <conditionalFormatting sqref="R559">
    <cfRule type="expression" dxfId="387" priority="506">
      <formula>N559="NO BET"</formula>
    </cfRule>
    <cfRule type="expression" dxfId="386" priority="520">
      <formula>R559=0</formula>
    </cfRule>
  </conditionalFormatting>
  <conditionalFormatting sqref="P559">
    <cfRule type="expression" priority="513">
      <formula>(P559="")</formula>
    </cfRule>
    <cfRule type="expression" dxfId="385" priority="514">
      <formula>AND(NOT(K559=P559),NOT(P559=""))</formula>
    </cfRule>
    <cfRule type="expression" dxfId="384" priority="515">
      <formula>AND((K559=P559),NOT(P559=""))</formula>
    </cfRule>
  </conditionalFormatting>
  <conditionalFormatting sqref="P559">
    <cfRule type="expression" dxfId="383" priority="512">
      <formula>IF(L559="NO BET", TRUE, FALSE)</formula>
    </cfRule>
  </conditionalFormatting>
  <conditionalFormatting sqref="P560:P568">
    <cfRule type="expression" priority="509">
      <formula>(P560="")</formula>
    </cfRule>
    <cfRule type="expression" dxfId="382" priority="510">
      <formula>AND(NOT(K560=P560),NOT(P560=""))</formula>
    </cfRule>
    <cfRule type="expression" dxfId="381" priority="511">
      <formula>AND((K560=P560),NOT(P560=""))</formula>
    </cfRule>
  </conditionalFormatting>
  <conditionalFormatting sqref="P560:P568">
    <cfRule type="expression" dxfId="380" priority="508">
      <formula>IF(N560="NO BET", TRUE, FALSE)</formula>
    </cfRule>
  </conditionalFormatting>
  <conditionalFormatting sqref="O559:O568">
    <cfRule type="expression" dxfId="379" priority="507">
      <formula>N559="NO BET"</formula>
    </cfRule>
  </conditionalFormatting>
  <conditionalFormatting sqref="R560:R568">
    <cfRule type="expression" dxfId="378" priority="504">
      <formula>N560="NO BET"</formula>
    </cfRule>
    <cfRule type="expression" dxfId="377" priority="505">
      <formula>R560=0</formula>
    </cfRule>
  </conditionalFormatting>
  <conditionalFormatting sqref="R573">
    <cfRule type="expression" dxfId="376" priority="489">
      <formula>N573="NO BET"</formula>
    </cfRule>
    <cfRule type="expression" dxfId="375" priority="503">
      <formula>R573=0</formula>
    </cfRule>
  </conditionalFormatting>
  <conditionalFormatting sqref="P573">
    <cfRule type="expression" priority="496">
      <formula>(P573="")</formula>
    </cfRule>
    <cfRule type="expression" dxfId="374" priority="497">
      <formula>AND(NOT(K573=P573),NOT(P573=""))</formula>
    </cfRule>
    <cfRule type="expression" dxfId="373" priority="498">
      <formula>AND((K573=P573),NOT(P573=""))</formula>
    </cfRule>
  </conditionalFormatting>
  <conditionalFormatting sqref="P573">
    <cfRule type="expression" dxfId="372" priority="495">
      <formula>IF(L573="NO BET", TRUE, FALSE)</formula>
    </cfRule>
  </conditionalFormatting>
  <conditionalFormatting sqref="P574:P582">
    <cfRule type="expression" priority="492">
      <formula>(P574="")</formula>
    </cfRule>
    <cfRule type="expression" dxfId="371" priority="493">
      <formula>AND(NOT(K574=P574),NOT(P574=""))</formula>
    </cfRule>
    <cfRule type="expression" dxfId="370" priority="494">
      <formula>AND((K574=P574),NOT(P574=""))</formula>
    </cfRule>
  </conditionalFormatting>
  <conditionalFormatting sqref="P574:P582">
    <cfRule type="expression" dxfId="369" priority="491">
      <formula>IF(N574="NO BET", TRUE, FALSE)</formula>
    </cfRule>
  </conditionalFormatting>
  <conditionalFormatting sqref="O573:O582">
    <cfRule type="expression" dxfId="368" priority="490">
      <formula>N573="NO BET"</formula>
    </cfRule>
  </conditionalFormatting>
  <conditionalFormatting sqref="R574:R582">
    <cfRule type="expression" dxfId="367" priority="487">
      <formula>N574="NO BET"</formula>
    </cfRule>
    <cfRule type="expression" dxfId="366" priority="488">
      <formula>R574=0</formula>
    </cfRule>
  </conditionalFormatting>
  <conditionalFormatting sqref="R587">
    <cfRule type="expression" dxfId="365" priority="472">
      <formula>N587="NO BET"</formula>
    </cfRule>
    <cfRule type="expression" dxfId="364" priority="486">
      <formula>R587=0</formula>
    </cfRule>
  </conditionalFormatting>
  <conditionalFormatting sqref="P587">
    <cfRule type="expression" priority="479">
      <formula>(P587="")</formula>
    </cfRule>
    <cfRule type="expression" dxfId="363" priority="480">
      <formula>AND(NOT(K587=P587),NOT(P587=""))</formula>
    </cfRule>
    <cfRule type="expression" dxfId="362" priority="481">
      <formula>AND((K587=P587),NOT(P587=""))</formula>
    </cfRule>
  </conditionalFormatting>
  <conditionalFormatting sqref="P587">
    <cfRule type="expression" dxfId="361" priority="478">
      <formula>IF(L587="NO BET", TRUE, FALSE)</formula>
    </cfRule>
  </conditionalFormatting>
  <conditionalFormatting sqref="P588:P596">
    <cfRule type="expression" priority="475">
      <formula>(P588="")</formula>
    </cfRule>
    <cfRule type="expression" dxfId="360" priority="476">
      <formula>AND(NOT(K588=P588),NOT(P588=""))</formula>
    </cfRule>
    <cfRule type="expression" dxfId="359" priority="477">
      <formula>AND((K588=P588),NOT(P588=""))</formula>
    </cfRule>
  </conditionalFormatting>
  <conditionalFormatting sqref="P588:P596">
    <cfRule type="expression" dxfId="358" priority="474">
      <formula>IF(N588="NO BET", TRUE, FALSE)</formula>
    </cfRule>
  </conditionalFormatting>
  <conditionalFormatting sqref="O587:O596">
    <cfRule type="expression" dxfId="357" priority="473">
      <formula>N587="NO BET"</formula>
    </cfRule>
  </conditionalFormatting>
  <conditionalFormatting sqref="R588:R596">
    <cfRule type="expression" dxfId="356" priority="470">
      <formula>N588="NO BET"</formula>
    </cfRule>
    <cfRule type="expression" dxfId="355" priority="471">
      <formula>R588=0</formula>
    </cfRule>
  </conditionalFormatting>
  <conditionalFormatting sqref="R617">
    <cfRule type="expression" dxfId="354" priority="455">
      <formula>N617="NO BET"</formula>
    </cfRule>
    <cfRule type="expression" dxfId="353" priority="469">
      <formula>R617=0</formula>
    </cfRule>
  </conditionalFormatting>
  <conditionalFormatting sqref="N617:N626">
    <cfRule type="expression" dxfId="352" priority="467">
      <formula>N617="BET365"</formula>
    </cfRule>
    <cfRule type="expression" dxfId="351" priority="468">
      <formula>N617="PINNACLE"</formula>
    </cfRule>
  </conditionalFormatting>
  <conditionalFormatting sqref="N617">
    <cfRule type="expression" dxfId="350" priority="466">
      <formula>N617="NO BET"</formula>
    </cfRule>
  </conditionalFormatting>
  <conditionalFormatting sqref="N618:N626">
    <cfRule type="expression" dxfId="349" priority="465">
      <formula>N618="NO BET"</formula>
    </cfRule>
  </conditionalFormatting>
  <conditionalFormatting sqref="P617">
    <cfRule type="expression" priority="462">
      <formula>(P617="")</formula>
    </cfRule>
    <cfRule type="expression" dxfId="348" priority="463">
      <formula>AND(NOT(K617=P617),NOT(P617=""))</formula>
    </cfRule>
    <cfRule type="expression" dxfId="347" priority="464">
      <formula>AND((K617=P617),NOT(P617=""))</formula>
    </cfRule>
  </conditionalFormatting>
  <conditionalFormatting sqref="P617">
    <cfRule type="expression" dxfId="346" priority="461">
      <formula>IF(L617="NO BET", TRUE, FALSE)</formula>
    </cfRule>
  </conditionalFormatting>
  <conditionalFormatting sqref="P618:P626">
    <cfRule type="expression" priority="458">
      <formula>(P618="")</formula>
    </cfRule>
    <cfRule type="expression" dxfId="345" priority="459">
      <formula>AND(NOT(K618=P618),NOT(P618=""))</formula>
    </cfRule>
    <cfRule type="expression" dxfId="344" priority="460">
      <formula>AND((K618=P618),NOT(P618=""))</formula>
    </cfRule>
  </conditionalFormatting>
  <conditionalFormatting sqref="P618:P626">
    <cfRule type="expression" dxfId="343" priority="457">
      <formula>IF(N618="NO BET", TRUE, FALSE)</formula>
    </cfRule>
  </conditionalFormatting>
  <conditionalFormatting sqref="O617:O626">
    <cfRule type="expression" dxfId="342" priority="456">
      <formula>N617="NO BET"</formula>
    </cfRule>
  </conditionalFormatting>
  <conditionalFormatting sqref="R618:R626">
    <cfRule type="expression" dxfId="341" priority="453">
      <formula>N618="NO BET"</formula>
    </cfRule>
    <cfRule type="expression" dxfId="340" priority="454">
      <formula>R618=0</formula>
    </cfRule>
  </conditionalFormatting>
  <conditionalFormatting sqref="R431">
    <cfRule type="expression" dxfId="339" priority="438">
      <formula>N431="NO BET"</formula>
    </cfRule>
    <cfRule type="expression" dxfId="338" priority="452">
      <formula>R431=0</formula>
    </cfRule>
  </conditionalFormatting>
  <conditionalFormatting sqref="P431">
    <cfRule type="expression" priority="445">
      <formula>(P431="")</formula>
    </cfRule>
    <cfRule type="expression" dxfId="337" priority="446">
      <formula>AND(NOT(K431=P431),NOT(P431=""))</formula>
    </cfRule>
    <cfRule type="expression" dxfId="336" priority="447">
      <formula>AND((K431=P431),NOT(P431=""))</formula>
    </cfRule>
  </conditionalFormatting>
  <conditionalFormatting sqref="P431">
    <cfRule type="expression" dxfId="335" priority="444">
      <formula>IF(L431="NO BET", TRUE, FALSE)</formula>
    </cfRule>
  </conditionalFormatting>
  <conditionalFormatting sqref="P432:P440">
    <cfRule type="expression" priority="441">
      <formula>(P432="")</formula>
    </cfRule>
    <cfRule type="expression" dxfId="334" priority="442">
      <formula>AND(NOT(K432=P432),NOT(P432=""))</formula>
    </cfRule>
    <cfRule type="expression" dxfId="333" priority="443">
      <formula>AND((K432=P432),NOT(P432=""))</formula>
    </cfRule>
  </conditionalFormatting>
  <conditionalFormatting sqref="P432:P440">
    <cfRule type="expression" dxfId="332" priority="440">
      <formula>IF(N432="NO BET", TRUE, FALSE)</formula>
    </cfRule>
  </conditionalFormatting>
  <conditionalFormatting sqref="O431:O440">
    <cfRule type="expression" dxfId="331" priority="439">
      <formula>N431="NO BET"</formula>
    </cfRule>
  </conditionalFormatting>
  <conditionalFormatting sqref="R432:R440">
    <cfRule type="expression" dxfId="330" priority="436">
      <formula>N432="NO BET"</formula>
    </cfRule>
    <cfRule type="expression" dxfId="329" priority="437">
      <formula>R432=0</formula>
    </cfRule>
  </conditionalFormatting>
  <conditionalFormatting sqref="R417">
    <cfRule type="expression" dxfId="328" priority="421">
      <formula>N417="NO BET"</formula>
    </cfRule>
    <cfRule type="expression" dxfId="327" priority="435">
      <formula>R417=0</formula>
    </cfRule>
  </conditionalFormatting>
  <conditionalFormatting sqref="P417">
    <cfRule type="expression" priority="428">
      <formula>(P417="")</formula>
    </cfRule>
    <cfRule type="expression" dxfId="326" priority="429">
      <formula>AND(NOT(K417=P417),NOT(P417=""))</formula>
    </cfRule>
    <cfRule type="expression" dxfId="325" priority="430">
      <formula>AND((K417=P417),NOT(P417=""))</formula>
    </cfRule>
  </conditionalFormatting>
  <conditionalFormatting sqref="P417">
    <cfRule type="expression" dxfId="324" priority="427">
      <formula>IF(L417="NO BET", TRUE, FALSE)</formula>
    </cfRule>
  </conditionalFormatting>
  <conditionalFormatting sqref="P418:P426">
    <cfRule type="expression" priority="424">
      <formula>(P418="")</formula>
    </cfRule>
    <cfRule type="expression" dxfId="323" priority="425">
      <formula>AND(NOT(K418=P418),NOT(P418=""))</formula>
    </cfRule>
    <cfRule type="expression" dxfId="322" priority="426">
      <formula>AND((K418=P418),NOT(P418=""))</formula>
    </cfRule>
  </conditionalFormatting>
  <conditionalFormatting sqref="P418:P426">
    <cfRule type="expression" dxfId="321" priority="423">
      <formula>IF(N418="NO BET", TRUE, FALSE)</formula>
    </cfRule>
  </conditionalFormatting>
  <conditionalFormatting sqref="O417:O426">
    <cfRule type="expression" dxfId="320" priority="422">
      <formula>N417="NO BET"</formula>
    </cfRule>
  </conditionalFormatting>
  <conditionalFormatting sqref="R418:R426">
    <cfRule type="expression" dxfId="319" priority="419">
      <formula>N418="NO BET"</formula>
    </cfRule>
    <cfRule type="expression" dxfId="318" priority="420">
      <formula>R418=0</formula>
    </cfRule>
  </conditionalFormatting>
  <conditionalFormatting sqref="R403">
    <cfRule type="expression" dxfId="317" priority="404">
      <formula>N403="NO BET"</formula>
    </cfRule>
    <cfRule type="expression" dxfId="316" priority="418">
      <formula>R403=0</formula>
    </cfRule>
  </conditionalFormatting>
  <conditionalFormatting sqref="P403">
    <cfRule type="expression" priority="411">
      <formula>(P403="")</formula>
    </cfRule>
    <cfRule type="expression" dxfId="315" priority="412">
      <formula>AND(NOT(K403=P403),NOT(P403=""))</formula>
    </cfRule>
    <cfRule type="expression" dxfId="314" priority="413">
      <formula>AND((K403=P403),NOT(P403=""))</formula>
    </cfRule>
  </conditionalFormatting>
  <conditionalFormatting sqref="P403">
    <cfRule type="expression" dxfId="313" priority="410">
      <formula>IF(L403="NO BET", TRUE, FALSE)</formula>
    </cfRule>
  </conditionalFormatting>
  <conditionalFormatting sqref="P404:P412">
    <cfRule type="expression" priority="407">
      <formula>(P404="")</formula>
    </cfRule>
    <cfRule type="expression" dxfId="312" priority="408">
      <formula>AND(NOT(K404=P404),NOT(P404=""))</formula>
    </cfRule>
    <cfRule type="expression" dxfId="311" priority="409">
      <formula>AND((K404=P404),NOT(P404=""))</formula>
    </cfRule>
  </conditionalFormatting>
  <conditionalFormatting sqref="P404:P412">
    <cfRule type="expression" dxfId="310" priority="406">
      <formula>IF(N404="NO BET", TRUE, FALSE)</formula>
    </cfRule>
  </conditionalFormatting>
  <conditionalFormatting sqref="O403:O412">
    <cfRule type="expression" dxfId="309" priority="405">
      <formula>N403="NO BET"</formula>
    </cfRule>
  </conditionalFormatting>
  <conditionalFormatting sqref="R404:R412">
    <cfRule type="expression" dxfId="308" priority="402">
      <formula>N404="NO BET"</formula>
    </cfRule>
    <cfRule type="expression" dxfId="307" priority="403">
      <formula>R404=0</formula>
    </cfRule>
  </conditionalFormatting>
  <conditionalFormatting sqref="R389">
    <cfRule type="expression" dxfId="306" priority="387">
      <formula>N389="NO BET"</formula>
    </cfRule>
    <cfRule type="expression" dxfId="305" priority="401">
      <formula>R389=0</formula>
    </cfRule>
  </conditionalFormatting>
  <conditionalFormatting sqref="P389">
    <cfRule type="expression" priority="394">
      <formula>(P389="")</formula>
    </cfRule>
    <cfRule type="expression" dxfId="304" priority="395">
      <formula>AND(NOT(K389=P389),NOT(P389=""))</formula>
    </cfRule>
    <cfRule type="expression" dxfId="303" priority="396">
      <formula>AND((K389=P389),NOT(P389=""))</formula>
    </cfRule>
  </conditionalFormatting>
  <conditionalFormatting sqref="P389">
    <cfRule type="expression" dxfId="302" priority="393">
      <formula>IF(L389="NO BET", TRUE, FALSE)</formula>
    </cfRule>
  </conditionalFormatting>
  <conditionalFormatting sqref="P390:P398">
    <cfRule type="expression" priority="390">
      <formula>(P390="")</formula>
    </cfRule>
    <cfRule type="expression" dxfId="301" priority="391">
      <formula>AND(NOT(K390=P390),NOT(P390=""))</formula>
    </cfRule>
    <cfRule type="expression" dxfId="300" priority="392">
      <formula>AND((K390=P390),NOT(P390=""))</formula>
    </cfRule>
  </conditionalFormatting>
  <conditionalFormatting sqref="P390:P398">
    <cfRule type="expression" dxfId="299" priority="389">
      <formula>IF(N390="NO BET", TRUE, FALSE)</formula>
    </cfRule>
  </conditionalFormatting>
  <conditionalFormatting sqref="O389:O398">
    <cfRule type="expression" dxfId="298" priority="388">
      <formula>N389="NO BET"</formula>
    </cfRule>
  </conditionalFormatting>
  <conditionalFormatting sqref="R390:R398">
    <cfRule type="expression" dxfId="297" priority="385">
      <formula>N390="NO BET"</formula>
    </cfRule>
    <cfRule type="expression" dxfId="296" priority="386">
      <formula>R390=0</formula>
    </cfRule>
  </conditionalFormatting>
  <conditionalFormatting sqref="R375">
    <cfRule type="expression" dxfId="295" priority="370">
      <formula>N375="NO BET"</formula>
    </cfRule>
    <cfRule type="expression" dxfId="294" priority="384">
      <formula>R375=0</formula>
    </cfRule>
  </conditionalFormatting>
  <conditionalFormatting sqref="P375">
    <cfRule type="expression" priority="377">
      <formula>(P375="")</formula>
    </cfRule>
    <cfRule type="expression" dxfId="293" priority="378">
      <formula>AND(NOT(K375=P375),NOT(P375=""))</formula>
    </cfRule>
    <cfRule type="expression" dxfId="292" priority="379">
      <formula>AND((K375=P375),NOT(P375=""))</formula>
    </cfRule>
  </conditionalFormatting>
  <conditionalFormatting sqref="P375">
    <cfRule type="expression" dxfId="291" priority="376">
      <formula>IF(L375="NO BET", TRUE, FALSE)</formula>
    </cfRule>
  </conditionalFormatting>
  <conditionalFormatting sqref="P376:P384">
    <cfRule type="expression" priority="373">
      <formula>(P376="")</formula>
    </cfRule>
    <cfRule type="expression" dxfId="290" priority="374">
      <formula>AND(NOT(K376=P376),NOT(P376=""))</formula>
    </cfRule>
    <cfRule type="expression" dxfId="289" priority="375">
      <formula>AND((K376=P376),NOT(P376=""))</formula>
    </cfRule>
  </conditionalFormatting>
  <conditionalFormatting sqref="P376:P384">
    <cfRule type="expression" dxfId="288" priority="372">
      <formula>IF(N376="NO BET", TRUE, FALSE)</formula>
    </cfRule>
  </conditionalFormatting>
  <conditionalFormatting sqref="O375:O384">
    <cfRule type="expression" dxfId="287" priority="371">
      <formula>N375="NO BET"</formula>
    </cfRule>
  </conditionalFormatting>
  <conditionalFormatting sqref="R376:R384">
    <cfRule type="expression" dxfId="286" priority="368">
      <formula>N376="NO BET"</formula>
    </cfRule>
    <cfRule type="expression" dxfId="285" priority="369">
      <formula>R376=0</formula>
    </cfRule>
  </conditionalFormatting>
  <conditionalFormatting sqref="R361">
    <cfRule type="expression" dxfId="284" priority="353">
      <formula>N361="NO BET"</formula>
    </cfRule>
    <cfRule type="expression" dxfId="283" priority="367">
      <formula>R361=0</formula>
    </cfRule>
  </conditionalFormatting>
  <conditionalFormatting sqref="P361">
    <cfRule type="expression" priority="360">
      <formula>(P361="")</formula>
    </cfRule>
    <cfRule type="expression" dxfId="282" priority="361">
      <formula>AND(NOT(K361=P361),NOT(P361=""))</formula>
    </cfRule>
    <cfRule type="expression" dxfId="281" priority="362">
      <formula>AND((K361=P361),NOT(P361=""))</formula>
    </cfRule>
  </conditionalFormatting>
  <conditionalFormatting sqref="P361">
    <cfRule type="expression" dxfId="280" priority="359">
      <formula>IF(L361="NO BET", TRUE, FALSE)</formula>
    </cfRule>
  </conditionalFormatting>
  <conditionalFormatting sqref="P362:P370">
    <cfRule type="expression" priority="356">
      <formula>(P362="")</formula>
    </cfRule>
    <cfRule type="expression" dxfId="279" priority="357">
      <formula>AND(NOT(K362=P362),NOT(P362=""))</formula>
    </cfRule>
    <cfRule type="expression" dxfId="278" priority="358">
      <formula>AND((K362=P362),NOT(P362=""))</formula>
    </cfRule>
  </conditionalFormatting>
  <conditionalFormatting sqref="P362:P370">
    <cfRule type="expression" dxfId="277" priority="355">
      <formula>IF(N362="NO BET", TRUE, FALSE)</formula>
    </cfRule>
  </conditionalFormatting>
  <conditionalFormatting sqref="O361:O370">
    <cfRule type="expression" dxfId="276" priority="354">
      <formula>N361="NO BET"</formula>
    </cfRule>
  </conditionalFormatting>
  <conditionalFormatting sqref="R362:R370">
    <cfRule type="expression" dxfId="275" priority="351">
      <formula>N362="NO BET"</formula>
    </cfRule>
    <cfRule type="expression" dxfId="274" priority="352">
      <formula>R362=0</formula>
    </cfRule>
  </conditionalFormatting>
  <conditionalFormatting sqref="R347">
    <cfRule type="expression" dxfId="273" priority="336">
      <formula>N347="NO BET"</formula>
    </cfRule>
    <cfRule type="expression" dxfId="272" priority="350">
      <formula>R347=0</formula>
    </cfRule>
  </conditionalFormatting>
  <conditionalFormatting sqref="P347">
    <cfRule type="expression" priority="343">
      <formula>(P347="")</formula>
    </cfRule>
    <cfRule type="expression" dxfId="271" priority="344">
      <formula>AND(NOT(K347=P347),NOT(P347=""))</formula>
    </cfRule>
    <cfRule type="expression" dxfId="270" priority="345">
      <formula>AND((K347=P347),NOT(P347=""))</formula>
    </cfRule>
  </conditionalFormatting>
  <conditionalFormatting sqref="P347">
    <cfRule type="expression" dxfId="269" priority="342">
      <formula>IF(L347="NO BET", TRUE, FALSE)</formula>
    </cfRule>
  </conditionalFormatting>
  <conditionalFormatting sqref="P348:P356">
    <cfRule type="expression" priority="339">
      <formula>(P348="")</formula>
    </cfRule>
    <cfRule type="expression" dxfId="268" priority="340">
      <formula>AND(NOT(K348=P348),NOT(P348=""))</formula>
    </cfRule>
    <cfRule type="expression" dxfId="267" priority="341">
      <formula>AND((K348=P348),NOT(P348=""))</formula>
    </cfRule>
  </conditionalFormatting>
  <conditionalFormatting sqref="P348:P356">
    <cfRule type="expression" dxfId="266" priority="338">
      <formula>IF(N348="NO BET", TRUE, FALSE)</formula>
    </cfRule>
  </conditionalFormatting>
  <conditionalFormatting sqref="O347:O356">
    <cfRule type="expression" dxfId="265" priority="337">
      <formula>N347="NO BET"</formula>
    </cfRule>
  </conditionalFormatting>
  <conditionalFormatting sqref="R348:R356">
    <cfRule type="expression" dxfId="264" priority="334">
      <formula>N348="NO BET"</formula>
    </cfRule>
    <cfRule type="expression" dxfId="263" priority="335">
      <formula>R348=0</formula>
    </cfRule>
  </conditionalFormatting>
  <conditionalFormatting sqref="R333">
    <cfRule type="expression" dxfId="262" priority="319">
      <formula>N333="NO BET"</formula>
    </cfRule>
    <cfRule type="expression" dxfId="261" priority="333">
      <formula>R333=0</formula>
    </cfRule>
  </conditionalFormatting>
  <conditionalFormatting sqref="P333">
    <cfRule type="expression" priority="326">
      <formula>(P333="")</formula>
    </cfRule>
    <cfRule type="expression" dxfId="260" priority="327">
      <formula>AND(NOT(K333=P333),NOT(P333=""))</formula>
    </cfRule>
    <cfRule type="expression" dxfId="259" priority="328">
      <formula>AND((K333=P333),NOT(P333=""))</formula>
    </cfRule>
  </conditionalFormatting>
  <conditionalFormatting sqref="P333">
    <cfRule type="expression" dxfId="258" priority="325">
      <formula>IF(L333="NO BET", TRUE, FALSE)</formula>
    </cfRule>
  </conditionalFormatting>
  <conditionalFormatting sqref="P334:P342">
    <cfRule type="expression" priority="322">
      <formula>(P334="")</formula>
    </cfRule>
    <cfRule type="expression" dxfId="257" priority="323">
      <formula>AND(NOT(K334=P334),NOT(P334=""))</formula>
    </cfRule>
    <cfRule type="expression" dxfId="256" priority="324">
      <formula>AND((K334=P334),NOT(P334=""))</formula>
    </cfRule>
  </conditionalFormatting>
  <conditionalFormatting sqref="P334:P342">
    <cfRule type="expression" dxfId="255" priority="321">
      <formula>IF(N334="NO BET", TRUE, FALSE)</formula>
    </cfRule>
  </conditionalFormatting>
  <conditionalFormatting sqref="O333:O342">
    <cfRule type="expression" dxfId="254" priority="320">
      <formula>N333="NO BET"</formula>
    </cfRule>
  </conditionalFormatting>
  <conditionalFormatting sqref="R334:R342">
    <cfRule type="expression" dxfId="253" priority="317">
      <formula>N334="NO BET"</formula>
    </cfRule>
    <cfRule type="expression" dxfId="252" priority="318">
      <formula>R334=0</formula>
    </cfRule>
  </conditionalFormatting>
  <conditionalFormatting sqref="R319">
    <cfRule type="expression" dxfId="251" priority="302">
      <formula>N319="NO BET"</formula>
    </cfRule>
    <cfRule type="expression" dxfId="250" priority="316">
      <formula>R319=0</formula>
    </cfRule>
  </conditionalFormatting>
  <conditionalFormatting sqref="P319">
    <cfRule type="expression" priority="309">
      <formula>(P319="")</formula>
    </cfRule>
    <cfRule type="expression" dxfId="249" priority="310">
      <formula>AND(NOT(K319=P319),NOT(P319=""))</formula>
    </cfRule>
    <cfRule type="expression" dxfId="248" priority="311">
      <formula>AND((K319=P319),NOT(P319=""))</formula>
    </cfRule>
  </conditionalFormatting>
  <conditionalFormatting sqref="P319">
    <cfRule type="expression" dxfId="247" priority="308">
      <formula>IF(L319="NO BET", TRUE, FALSE)</formula>
    </cfRule>
  </conditionalFormatting>
  <conditionalFormatting sqref="P320:P328">
    <cfRule type="expression" priority="305">
      <formula>(P320="")</formula>
    </cfRule>
    <cfRule type="expression" dxfId="246" priority="306">
      <formula>AND(NOT(K320=P320),NOT(P320=""))</formula>
    </cfRule>
    <cfRule type="expression" dxfId="245" priority="307">
      <formula>AND((K320=P320),NOT(P320=""))</formula>
    </cfRule>
  </conditionalFormatting>
  <conditionalFormatting sqref="P320:P328">
    <cfRule type="expression" dxfId="244" priority="304">
      <formula>IF(N320="NO BET", TRUE, FALSE)</formula>
    </cfRule>
  </conditionalFormatting>
  <conditionalFormatting sqref="O319:O328">
    <cfRule type="expression" dxfId="243" priority="303">
      <formula>N319="NO BET"</formula>
    </cfRule>
  </conditionalFormatting>
  <conditionalFormatting sqref="R320:R328">
    <cfRule type="expression" dxfId="242" priority="300">
      <formula>N320="NO BET"</formula>
    </cfRule>
    <cfRule type="expression" dxfId="241" priority="301">
      <formula>R320=0</formula>
    </cfRule>
  </conditionalFormatting>
  <conditionalFormatting sqref="R305">
    <cfRule type="expression" dxfId="240" priority="285">
      <formula>N305="NO BET"</formula>
    </cfRule>
    <cfRule type="expression" dxfId="239" priority="299">
      <formula>R305=0</formula>
    </cfRule>
  </conditionalFormatting>
  <conditionalFormatting sqref="P305">
    <cfRule type="expression" priority="292">
      <formula>(P305="")</formula>
    </cfRule>
    <cfRule type="expression" dxfId="238" priority="293">
      <formula>AND(NOT(K305=P305),NOT(P305=""))</formula>
    </cfRule>
    <cfRule type="expression" dxfId="237" priority="294">
      <formula>AND((K305=P305),NOT(P305=""))</formula>
    </cfRule>
  </conditionalFormatting>
  <conditionalFormatting sqref="P305">
    <cfRule type="expression" dxfId="236" priority="291">
      <formula>IF(L305="NO BET", TRUE, FALSE)</formula>
    </cfRule>
  </conditionalFormatting>
  <conditionalFormatting sqref="P306:P314">
    <cfRule type="expression" priority="288">
      <formula>(P306="")</formula>
    </cfRule>
    <cfRule type="expression" dxfId="235" priority="289">
      <formula>AND(NOT(K306=P306),NOT(P306=""))</formula>
    </cfRule>
    <cfRule type="expression" dxfId="234" priority="290">
      <formula>AND((K306=P306),NOT(P306=""))</formula>
    </cfRule>
  </conditionalFormatting>
  <conditionalFormatting sqref="P306:P314">
    <cfRule type="expression" dxfId="233" priority="287">
      <formula>IF(N306="NO BET", TRUE, FALSE)</formula>
    </cfRule>
  </conditionalFormatting>
  <conditionalFormatting sqref="O305:O314">
    <cfRule type="expression" dxfId="232" priority="286">
      <formula>N305="NO BET"</formula>
    </cfRule>
  </conditionalFormatting>
  <conditionalFormatting sqref="R306:R314">
    <cfRule type="expression" dxfId="231" priority="283">
      <formula>N306="NO BET"</formula>
    </cfRule>
    <cfRule type="expression" dxfId="230" priority="284">
      <formula>R306=0</formula>
    </cfRule>
  </conditionalFormatting>
  <conditionalFormatting sqref="R275">
    <cfRule type="expression" dxfId="229" priority="268">
      <formula>N275="NO BET"</formula>
    </cfRule>
    <cfRule type="expression" dxfId="228" priority="282">
      <formula>R275=0</formula>
    </cfRule>
  </conditionalFormatting>
  <conditionalFormatting sqref="P275">
    <cfRule type="expression" priority="275">
      <formula>(P275="")</formula>
    </cfRule>
    <cfRule type="expression" dxfId="227" priority="276">
      <formula>AND(NOT(K275=P275),NOT(P275=""))</formula>
    </cfRule>
    <cfRule type="expression" dxfId="226" priority="277">
      <formula>AND((K275=P275),NOT(P275=""))</formula>
    </cfRule>
  </conditionalFormatting>
  <conditionalFormatting sqref="P275">
    <cfRule type="expression" dxfId="225" priority="274">
      <formula>IF(L275="NO BET", TRUE, FALSE)</formula>
    </cfRule>
  </conditionalFormatting>
  <conditionalFormatting sqref="P276:P284">
    <cfRule type="expression" priority="271">
      <formula>(P276="")</formula>
    </cfRule>
    <cfRule type="expression" dxfId="224" priority="272">
      <formula>AND(NOT(K276=P276),NOT(P276=""))</formula>
    </cfRule>
    <cfRule type="expression" dxfId="223" priority="273">
      <formula>AND((K276=P276),NOT(P276=""))</formula>
    </cfRule>
  </conditionalFormatting>
  <conditionalFormatting sqref="P276:P284">
    <cfRule type="expression" dxfId="222" priority="270">
      <formula>IF(N276="NO BET", TRUE, FALSE)</formula>
    </cfRule>
  </conditionalFormatting>
  <conditionalFormatting sqref="O275:O284">
    <cfRule type="expression" dxfId="221" priority="269">
      <formula>N275="NO BET"</formula>
    </cfRule>
  </conditionalFormatting>
  <conditionalFormatting sqref="R276:R284">
    <cfRule type="expression" dxfId="220" priority="266">
      <formula>N276="NO BET"</formula>
    </cfRule>
    <cfRule type="expression" dxfId="219" priority="267">
      <formula>R276=0</formula>
    </cfRule>
  </conditionalFormatting>
  <conditionalFormatting sqref="R261">
    <cfRule type="expression" dxfId="218" priority="251">
      <formula>N261="NO BET"</formula>
    </cfRule>
    <cfRule type="expression" dxfId="217" priority="265">
      <formula>R261=0</formula>
    </cfRule>
  </conditionalFormatting>
  <conditionalFormatting sqref="P261">
    <cfRule type="expression" priority="258">
      <formula>(P261="")</formula>
    </cfRule>
    <cfRule type="expression" dxfId="216" priority="259">
      <formula>AND(NOT(K261=P261),NOT(P261=""))</formula>
    </cfRule>
    <cfRule type="expression" dxfId="215" priority="260">
      <formula>AND((K261=P261),NOT(P261=""))</formula>
    </cfRule>
  </conditionalFormatting>
  <conditionalFormatting sqref="P261">
    <cfRule type="expression" dxfId="214" priority="257">
      <formula>IF(L261="NO BET", TRUE, FALSE)</formula>
    </cfRule>
  </conditionalFormatting>
  <conditionalFormatting sqref="P262:P270">
    <cfRule type="expression" priority="254">
      <formula>(P262="")</formula>
    </cfRule>
    <cfRule type="expression" dxfId="213" priority="255">
      <formula>AND(NOT(K262=P262),NOT(P262=""))</formula>
    </cfRule>
    <cfRule type="expression" dxfId="212" priority="256">
      <formula>AND((K262=P262),NOT(P262=""))</formula>
    </cfRule>
  </conditionalFormatting>
  <conditionalFormatting sqref="P262:P270">
    <cfRule type="expression" dxfId="211" priority="253">
      <formula>IF(N262="NO BET", TRUE, FALSE)</formula>
    </cfRule>
  </conditionalFormatting>
  <conditionalFormatting sqref="O261:O270">
    <cfRule type="expression" dxfId="210" priority="252">
      <formula>N261="NO BET"</formula>
    </cfRule>
  </conditionalFormatting>
  <conditionalFormatting sqref="R262:R270">
    <cfRule type="expression" dxfId="209" priority="249">
      <formula>N262="NO BET"</formula>
    </cfRule>
    <cfRule type="expression" dxfId="208" priority="250">
      <formula>R262=0</formula>
    </cfRule>
  </conditionalFormatting>
  <conditionalFormatting sqref="R247">
    <cfRule type="expression" dxfId="207" priority="234">
      <formula>N247="NO BET"</formula>
    </cfRule>
    <cfRule type="expression" dxfId="206" priority="248">
      <formula>R247=0</formula>
    </cfRule>
  </conditionalFormatting>
  <conditionalFormatting sqref="P247">
    <cfRule type="expression" priority="241">
      <formula>(P247="")</formula>
    </cfRule>
    <cfRule type="expression" dxfId="205" priority="242">
      <formula>AND(NOT(K247=P247),NOT(P247=""))</formula>
    </cfRule>
    <cfRule type="expression" dxfId="204" priority="243">
      <formula>AND((K247=P247),NOT(P247=""))</formula>
    </cfRule>
  </conditionalFormatting>
  <conditionalFormatting sqref="P247">
    <cfRule type="expression" dxfId="203" priority="240">
      <formula>IF(L247="NO BET", TRUE, FALSE)</formula>
    </cfRule>
  </conditionalFormatting>
  <conditionalFormatting sqref="P248:P256">
    <cfRule type="expression" priority="237">
      <formula>(P248="")</formula>
    </cfRule>
    <cfRule type="expression" dxfId="202" priority="238">
      <formula>AND(NOT(K248=P248),NOT(P248=""))</formula>
    </cfRule>
    <cfRule type="expression" dxfId="201" priority="239">
      <formula>AND((K248=P248),NOT(P248=""))</formula>
    </cfRule>
  </conditionalFormatting>
  <conditionalFormatting sqref="P248:P256">
    <cfRule type="expression" dxfId="200" priority="236">
      <formula>IF(N248="NO BET", TRUE, FALSE)</formula>
    </cfRule>
  </conditionalFormatting>
  <conditionalFormatting sqref="O247:O256">
    <cfRule type="expression" dxfId="199" priority="235">
      <formula>N247="NO BET"</formula>
    </cfRule>
  </conditionalFormatting>
  <conditionalFormatting sqref="R248:R256">
    <cfRule type="expression" dxfId="198" priority="232">
      <formula>N248="NO BET"</formula>
    </cfRule>
    <cfRule type="expression" dxfId="197" priority="233">
      <formula>R248=0</formula>
    </cfRule>
  </conditionalFormatting>
  <conditionalFormatting sqref="R233">
    <cfRule type="expression" dxfId="196" priority="217">
      <formula>N233="NO BET"</formula>
    </cfRule>
    <cfRule type="expression" dxfId="195" priority="231">
      <formula>R233=0</formula>
    </cfRule>
  </conditionalFormatting>
  <conditionalFormatting sqref="P233">
    <cfRule type="expression" priority="224">
      <formula>(P233="")</formula>
    </cfRule>
    <cfRule type="expression" dxfId="194" priority="225">
      <formula>AND(NOT(K233=P233),NOT(P233=""))</formula>
    </cfRule>
    <cfRule type="expression" dxfId="193" priority="226">
      <formula>AND((K233=P233),NOT(P233=""))</formula>
    </cfRule>
  </conditionalFormatting>
  <conditionalFormatting sqref="P233">
    <cfRule type="expression" dxfId="192" priority="223">
      <formula>IF(L233="NO BET", TRUE, FALSE)</formula>
    </cfRule>
  </conditionalFormatting>
  <conditionalFormatting sqref="P234:P242">
    <cfRule type="expression" priority="220">
      <formula>(P234="")</formula>
    </cfRule>
    <cfRule type="expression" dxfId="191" priority="221">
      <formula>AND(NOT(K234=P234),NOT(P234=""))</formula>
    </cfRule>
    <cfRule type="expression" dxfId="190" priority="222">
      <formula>AND((K234=P234),NOT(P234=""))</formula>
    </cfRule>
  </conditionalFormatting>
  <conditionalFormatting sqref="P234:P242">
    <cfRule type="expression" dxfId="189" priority="219">
      <formula>IF(N234="NO BET", TRUE, FALSE)</formula>
    </cfRule>
  </conditionalFormatting>
  <conditionalFormatting sqref="O233:O242">
    <cfRule type="expression" dxfId="188" priority="218">
      <formula>N233="NO BET"</formula>
    </cfRule>
  </conditionalFormatting>
  <conditionalFormatting sqref="R234:R242">
    <cfRule type="expression" dxfId="187" priority="215">
      <formula>N234="NO BET"</formula>
    </cfRule>
    <cfRule type="expression" dxfId="186" priority="216">
      <formula>R234=0</formula>
    </cfRule>
  </conditionalFormatting>
  <conditionalFormatting sqref="R219">
    <cfRule type="expression" dxfId="185" priority="200">
      <formula>N219="NO BET"</formula>
    </cfRule>
    <cfRule type="expression" dxfId="184" priority="214">
      <formula>R219=0</formula>
    </cfRule>
  </conditionalFormatting>
  <conditionalFormatting sqref="P219">
    <cfRule type="expression" priority="207">
      <formula>(P219="")</formula>
    </cfRule>
    <cfRule type="expression" dxfId="183" priority="208">
      <formula>AND(NOT(K219=P219),NOT(P219=""))</formula>
    </cfRule>
    <cfRule type="expression" dxfId="182" priority="209">
      <formula>AND((K219=P219),NOT(P219=""))</formula>
    </cfRule>
  </conditionalFormatting>
  <conditionalFormatting sqref="P219">
    <cfRule type="expression" dxfId="181" priority="206">
      <formula>IF(L219="NO BET", TRUE, FALSE)</formula>
    </cfRule>
  </conditionalFormatting>
  <conditionalFormatting sqref="P220:P228">
    <cfRule type="expression" priority="203">
      <formula>(P220="")</formula>
    </cfRule>
    <cfRule type="expression" dxfId="180" priority="204">
      <formula>AND(NOT(K220=P220),NOT(P220=""))</formula>
    </cfRule>
    <cfRule type="expression" dxfId="179" priority="205">
      <formula>AND((K220=P220),NOT(P220=""))</formula>
    </cfRule>
  </conditionalFormatting>
  <conditionalFormatting sqref="P220:P228">
    <cfRule type="expression" dxfId="178" priority="202">
      <formula>IF(N220="NO BET", TRUE, FALSE)</formula>
    </cfRule>
  </conditionalFormatting>
  <conditionalFormatting sqref="O219:O228">
    <cfRule type="expression" dxfId="177" priority="201">
      <formula>N219="NO BET"</formula>
    </cfRule>
  </conditionalFormatting>
  <conditionalFormatting sqref="R220:R228">
    <cfRule type="expression" dxfId="176" priority="198">
      <formula>N220="NO BET"</formula>
    </cfRule>
    <cfRule type="expression" dxfId="175" priority="199">
      <formula>R220=0</formula>
    </cfRule>
  </conditionalFormatting>
  <conditionalFormatting sqref="R205">
    <cfRule type="expression" dxfId="174" priority="183">
      <formula>N205="NO BET"</formula>
    </cfRule>
    <cfRule type="expression" dxfId="173" priority="197">
      <formula>R205=0</formula>
    </cfRule>
  </conditionalFormatting>
  <conditionalFormatting sqref="P205">
    <cfRule type="expression" priority="190">
      <formula>(P205="")</formula>
    </cfRule>
    <cfRule type="expression" dxfId="172" priority="191">
      <formula>AND(NOT(K205=P205),NOT(P205=""))</formula>
    </cfRule>
    <cfRule type="expression" dxfId="171" priority="192">
      <formula>AND((K205=P205),NOT(P205=""))</formula>
    </cfRule>
  </conditionalFormatting>
  <conditionalFormatting sqref="P205">
    <cfRule type="expression" dxfId="170" priority="189">
      <formula>IF(L205="NO BET", TRUE, FALSE)</formula>
    </cfRule>
  </conditionalFormatting>
  <conditionalFormatting sqref="P206:P214">
    <cfRule type="expression" priority="186">
      <formula>(P206="")</formula>
    </cfRule>
    <cfRule type="expression" dxfId="169" priority="187">
      <formula>AND(NOT(K206=P206),NOT(P206=""))</formula>
    </cfRule>
    <cfRule type="expression" dxfId="168" priority="188">
      <formula>AND((K206=P206),NOT(P206=""))</formula>
    </cfRule>
  </conditionalFormatting>
  <conditionalFormatting sqref="P206:P214">
    <cfRule type="expression" dxfId="167" priority="185">
      <formula>IF(N206="NO BET", TRUE, FALSE)</formula>
    </cfRule>
  </conditionalFormatting>
  <conditionalFormatting sqref="O205:O214">
    <cfRule type="expression" dxfId="166" priority="184">
      <formula>N205="NO BET"</formula>
    </cfRule>
  </conditionalFormatting>
  <conditionalFormatting sqref="R206:R214">
    <cfRule type="expression" dxfId="165" priority="181">
      <formula>N206="NO BET"</formula>
    </cfRule>
    <cfRule type="expression" dxfId="164" priority="182">
      <formula>R206=0</formula>
    </cfRule>
  </conditionalFormatting>
  <conditionalFormatting sqref="R191">
    <cfRule type="expression" dxfId="163" priority="166">
      <formula>N191="NO BET"</formula>
    </cfRule>
    <cfRule type="expression" dxfId="162" priority="180">
      <formula>R191=0</formula>
    </cfRule>
  </conditionalFormatting>
  <conditionalFormatting sqref="P191">
    <cfRule type="expression" priority="173">
      <formula>(P191="")</formula>
    </cfRule>
    <cfRule type="expression" dxfId="161" priority="174">
      <formula>AND(NOT(K191=P191),NOT(P191=""))</formula>
    </cfRule>
    <cfRule type="expression" dxfId="160" priority="175">
      <formula>AND((K191=P191),NOT(P191=""))</formula>
    </cfRule>
  </conditionalFormatting>
  <conditionalFormatting sqref="P191">
    <cfRule type="expression" dxfId="159" priority="172">
      <formula>IF(L191="NO BET", TRUE, FALSE)</formula>
    </cfRule>
  </conditionalFormatting>
  <conditionalFormatting sqref="P192:P200">
    <cfRule type="expression" priority="169">
      <formula>(P192="")</formula>
    </cfRule>
    <cfRule type="expression" dxfId="158" priority="170">
      <formula>AND(NOT(K192=P192),NOT(P192=""))</formula>
    </cfRule>
    <cfRule type="expression" dxfId="157" priority="171">
      <formula>AND((K192=P192),NOT(P192=""))</formula>
    </cfRule>
  </conditionalFormatting>
  <conditionalFormatting sqref="P192:P200">
    <cfRule type="expression" dxfId="156" priority="168">
      <formula>IF(N192="NO BET", TRUE, FALSE)</formula>
    </cfRule>
  </conditionalFormatting>
  <conditionalFormatting sqref="O191:O200">
    <cfRule type="expression" dxfId="155" priority="167">
      <formula>N191="NO BET"</formula>
    </cfRule>
  </conditionalFormatting>
  <conditionalFormatting sqref="R192:R200">
    <cfRule type="expression" dxfId="154" priority="164">
      <formula>N192="NO BET"</formula>
    </cfRule>
    <cfRule type="expression" dxfId="153" priority="165">
      <formula>R192=0</formula>
    </cfRule>
  </conditionalFormatting>
  <conditionalFormatting sqref="R177">
    <cfRule type="expression" dxfId="152" priority="149">
      <formula>N177="NO BET"</formula>
    </cfRule>
    <cfRule type="expression" dxfId="151" priority="163">
      <formula>R177=0</formula>
    </cfRule>
  </conditionalFormatting>
  <conditionalFormatting sqref="P177">
    <cfRule type="expression" priority="156">
      <formula>(P177="")</formula>
    </cfRule>
    <cfRule type="expression" dxfId="150" priority="157">
      <formula>AND(NOT(K177=P177),NOT(P177=""))</formula>
    </cfRule>
    <cfRule type="expression" dxfId="149" priority="158">
      <formula>AND((K177=P177),NOT(P177=""))</formula>
    </cfRule>
  </conditionalFormatting>
  <conditionalFormatting sqref="P177">
    <cfRule type="expression" dxfId="148" priority="155">
      <formula>IF(L177="NO BET", TRUE, FALSE)</formula>
    </cfRule>
  </conditionalFormatting>
  <conditionalFormatting sqref="P178:P186">
    <cfRule type="expression" priority="152">
      <formula>(P178="")</formula>
    </cfRule>
    <cfRule type="expression" dxfId="147" priority="153">
      <formula>AND(NOT(K178=P178),NOT(P178=""))</formula>
    </cfRule>
    <cfRule type="expression" dxfId="146" priority="154">
      <formula>AND((K178=P178),NOT(P178=""))</formula>
    </cfRule>
  </conditionalFormatting>
  <conditionalFormatting sqref="P178:P186">
    <cfRule type="expression" dxfId="145" priority="151">
      <formula>IF(N178="NO BET", TRUE, FALSE)</formula>
    </cfRule>
  </conditionalFormatting>
  <conditionalFormatting sqref="O177:O186">
    <cfRule type="expression" dxfId="144" priority="150">
      <formula>N177="NO BET"</formula>
    </cfRule>
  </conditionalFormatting>
  <conditionalFormatting sqref="R178:R186">
    <cfRule type="expression" dxfId="143" priority="147">
      <formula>N178="NO BET"</formula>
    </cfRule>
    <cfRule type="expression" dxfId="142" priority="148">
      <formula>R178=0</formula>
    </cfRule>
  </conditionalFormatting>
  <conditionalFormatting sqref="R163">
    <cfRule type="expression" dxfId="141" priority="132">
      <formula>N163="NO BET"</formula>
    </cfRule>
    <cfRule type="expression" dxfId="140" priority="146">
      <formula>R163=0</formula>
    </cfRule>
  </conditionalFormatting>
  <conditionalFormatting sqref="N163:N172">
    <cfRule type="expression" dxfId="139" priority="144">
      <formula>N163="BET365"</formula>
    </cfRule>
    <cfRule type="expression" dxfId="138" priority="145">
      <formula>N163="PINNACLE"</formula>
    </cfRule>
  </conditionalFormatting>
  <conditionalFormatting sqref="N163">
    <cfRule type="expression" dxfId="137" priority="143">
      <formula>N163="NO BET"</formula>
    </cfRule>
  </conditionalFormatting>
  <conditionalFormatting sqref="N164:N172">
    <cfRule type="expression" dxfId="136" priority="142">
      <formula>N164="NO BET"</formula>
    </cfRule>
  </conditionalFormatting>
  <conditionalFormatting sqref="P163">
    <cfRule type="expression" priority="139">
      <formula>(P163="")</formula>
    </cfRule>
    <cfRule type="expression" dxfId="135" priority="140">
      <formula>AND(NOT(K163=P163),NOT(P163=""))</formula>
    </cfRule>
    <cfRule type="expression" dxfId="134" priority="141">
      <formula>AND((K163=P163),NOT(P163=""))</formula>
    </cfRule>
  </conditionalFormatting>
  <conditionalFormatting sqref="P163">
    <cfRule type="expression" dxfId="133" priority="138">
      <formula>IF(L163="NO BET", TRUE, FALSE)</formula>
    </cfRule>
  </conditionalFormatting>
  <conditionalFormatting sqref="P164:P172">
    <cfRule type="expression" priority="135">
      <formula>(P164="")</formula>
    </cfRule>
    <cfRule type="expression" dxfId="132" priority="136">
      <formula>AND(NOT(K164=P164),NOT(P164=""))</formula>
    </cfRule>
    <cfRule type="expression" dxfId="131" priority="137">
      <formula>AND((K164=P164),NOT(P164=""))</formula>
    </cfRule>
  </conditionalFormatting>
  <conditionalFormatting sqref="P164:P172">
    <cfRule type="expression" dxfId="130" priority="134">
      <formula>IF(N164="NO BET", TRUE, FALSE)</formula>
    </cfRule>
  </conditionalFormatting>
  <conditionalFormatting sqref="O163:O172">
    <cfRule type="expression" dxfId="129" priority="133">
      <formula>N163="NO BET"</formula>
    </cfRule>
  </conditionalFormatting>
  <conditionalFormatting sqref="R164:R172">
    <cfRule type="expression" dxfId="128" priority="130">
      <formula>N164="NO BET"</formula>
    </cfRule>
    <cfRule type="expression" dxfId="127" priority="131">
      <formula>R164=0</formula>
    </cfRule>
  </conditionalFormatting>
  <conditionalFormatting sqref="R149">
    <cfRule type="expression" dxfId="126" priority="115">
      <formula>N149="NO BET"</formula>
    </cfRule>
    <cfRule type="expression" dxfId="125" priority="129">
      <formula>R149=0</formula>
    </cfRule>
  </conditionalFormatting>
  <conditionalFormatting sqref="N149:N158">
    <cfRule type="expression" dxfId="124" priority="127">
      <formula>N149="BET365"</formula>
    </cfRule>
    <cfRule type="expression" dxfId="123" priority="128">
      <formula>N149="PINNACLE"</formula>
    </cfRule>
  </conditionalFormatting>
  <conditionalFormatting sqref="N149">
    <cfRule type="expression" dxfId="122" priority="126">
      <formula>N149="NO BET"</formula>
    </cfRule>
  </conditionalFormatting>
  <conditionalFormatting sqref="N150:N158">
    <cfRule type="expression" dxfId="121" priority="125">
      <formula>N150="NO BET"</formula>
    </cfRule>
  </conditionalFormatting>
  <conditionalFormatting sqref="P149">
    <cfRule type="expression" priority="122">
      <formula>(P149="")</formula>
    </cfRule>
    <cfRule type="expression" dxfId="120" priority="123">
      <formula>AND(NOT(K149=P149),NOT(P149=""))</formula>
    </cfRule>
    <cfRule type="expression" dxfId="119" priority="124">
      <formula>AND((K149=P149),NOT(P149=""))</formula>
    </cfRule>
  </conditionalFormatting>
  <conditionalFormatting sqref="P149">
    <cfRule type="expression" dxfId="118" priority="121">
      <formula>IF(L149="NO BET", TRUE, FALSE)</formula>
    </cfRule>
  </conditionalFormatting>
  <conditionalFormatting sqref="P150:P158">
    <cfRule type="expression" priority="118">
      <formula>(P150="")</formula>
    </cfRule>
    <cfRule type="expression" dxfId="117" priority="119">
      <formula>AND(NOT(K150=P150),NOT(P150=""))</formula>
    </cfRule>
    <cfRule type="expression" dxfId="116" priority="120">
      <formula>AND((K150=P150),NOT(P150=""))</formula>
    </cfRule>
  </conditionalFormatting>
  <conditionalFormatting sqref="P150:P158">
    <cfRule type="expression" dxfId="115" priority="117">
      <formula>IF(N150="NO BET", TRUE, FALSE)</formula>
    </cfRule>
  </conditionalFormatting>
  <conditionalFormatting sqref="O149:O158">
    <cfRule type="expression" dxfId="114" priority="116">
      <formula>N149="NO BET"</formula>
    </cfRule>
  </conditionalFormatting>
  <conditionalFormatting sqref="R150:R158">
    <cfRule type="expression" dxfId="113" priority="113">
      <formula>N150="NO BET"</formula>
    </cfRule>
    <cfRule type="expression" dxfId="112" priority="114">
      <formula>R150=0</formula>
    </cfRule>
  </conditionalFormatting>
  <conditionalFormatting sqref="N177:N186">
    <cfRule type="expression" dxfId="111" priority="111">
      <formula>N177="BET365"</formula>
    </cfRule>
    <cfRule type="expression" dxfId="110" priority="112">
      <formula>N177="PINNACLE"</formula>
    </cfRule>
  </conditionalFormatting>
  <conditionalFormatting sqref="N177">
    <cfRule type="expression" dxfId="109" priority="110">
      <formula>N177="NO BET"</formula>
    </cfRule>
  </conditionalFormatting>
  <conditionalFormatting sqref="N178:N186">
    <cfRule type="expression" dxfId="108" priority="109">
      <formula>N178="NO BET"</formula>
    </cfRule>
  </conditionalFormatting>
  <conditionalFormatting sqref="N191:N200">
    <cfRule type="expression" dxfId="107" priority="107">
      <formula>N191="BET365"</formula>
    </cfRule>
    <cfRule type="expression" dxfId="106" priority="108">
      <formula>N191="PINNACLE"</formula>
    </cfRule>
  </conditionalFormatting>
  <conditionalFormatting sqref="N191">
    <cfRule type="expression" dxfId="105" priority="106">
      <formula>N191="NO BET"</formula>
    </cfRule>
  </conditionalFormatting>
  <conditionalFormatting sqref="N192:N200">
    <cfRule type="expression" dxfId="104" priority="105">
      <formula>N192="NO BET"</formula>
    </cfRule>
  </conditionalFormatting>
  <conditionalFormatting sqref="N205:N214">
    <cfRule type="expression" dxfId="103" priority="103">
      <formula>N205="BET365"</formula>
    </cfRule>
    <cfRule type="expression" dxfId="102" priority="104">
      <formula>N205="PINNACLE"</formula>
    </cfRule>
  </conditionalFormatting>
  <conditionalFormatting sqref="N205">
    <cfRule type="expression" dxfId="101" priority="102">
      <formula>N205="NO BET"</formula>
    </cfRule>
  </conditionalFormatting>
  <conditionalFormatting sqref="N206:N214">
    <cfRule type="expression" dxfId="100" priority="101">
      <formula>N206="NO BET"</formula>
    </cfRule>
  </conditionalFormatting>
  <conditionalFormatting sqref="N219:N228">
    <cfRule type="expression" dxfId="99" priority="99">
      <formula>N219="BET365"</formula>
    </cfRule>
    <cfRule type="expression" dxfId="98" priority="100">
      <formula>N219="PINNACLE"</formula>
    </cfRule>
  </conditionalFormatting>
  <conditionalFormatting sqref="N219">
    <cfRule type="expression" dxfId="97" priority="98">
      <formula>N219="NO BET"</formula>
    </cfRule>
  </conditionalFormatting>
  <conditionalFormatting sqref="N220:N228">
    <cfRule type="expression" dxfId="96" priority="97">
      <formula>N220="NO BET"</formula>
    </cfRule>
  </conditionalFormatting>
  <conditionalFormatting sqref="N233:N242">
    <cfRule type="expression" dxfId="95" priority="95">
      <formula>N233="BET365"</formula>
    </cfRule>
    <cfRule type="expression" dxfId="94" priority="96">
      <formula>N233="PINNACLE"</formula>
    </cfRule>
  </conditionalFormatting>
  <conditionalFormatting sqref="N233">
    <cfRule type="expression" dxfId="93" priority="94">
      <formula>N233="NO BET"</formula>
    </cfRule>
  </conditionalFormatting>
  <conditionalFormatting sqref="N234:N242">
    <cfRule type="expression" dxfId="92" priority="93">
      <formula>N234="NO BET"</formula>
    </cfRule>
  </conditionalFormatting>
  <conditionalFormatting sqref="N247:N256">
    <cfRule type="expression" dxfId="91" priority="91">
      <formula>N247="BET365"</formula>
    </cfRule>
    <cfRule type="expression" dxfId="90" priority="92">
      <formula>N247="PINNACLE"</formula>
    </cfRule>
  </conditionalFormatting>
  <conditionalFormatting sqref="N247">
    <cfRule type="expression" dxfId="89" priority="90">
      <formula>N247="NO BET"</formula>
    </cfRule>
  </conditionalFormatting>
  <conditionalFormatting sqref="N248:N256">
    <cfRule type="expression" dxfId="88" priority="89">
      <formula>N248="NO BET"</formula>
    </cfRule>
  </conditionalFormatting>
  <conditionalFormatting sqref="N261:N270">
    <cfRule type="expression" dxfId="87" priority="87">
      <formula>N261="BET365"</formula>
    </cfRule>
    <cfRule type="expression" dxfId="86" priority="88">
      <formula>N261="PINNACLE"</formula>
    </cfRule>
  </conditionalFormatting>
  <conditionalFormatting sqref="N261">
    <cfRule type="expression" dxfId="85" priority="86">
      <formula>N261="NO BET"</formula>
    </cfRule>
  </conditionalFormatting>
  <conditionalFormatting sqref="N262:N270">
    <cfRule type="expression" dxfId="84" priority="85">
      <formula>N262="NO BET"</formula>
    </cfRule>
  </conditionalFormatting>
  <conditionalFormatting sqref="N275:N284">
    <cfRule type="expression" dxfId="83" priority="83">
      <formula>N275="BET365"</formula>
    </cfRule>
    <cfRule type="expression" dxfId="82" priority="84">
      <formula>N275="PINNACLE"</formula>
    </cfRule>
  </conditionalFormatting>
  <conditionalFormatting sqref="N275">
    <cfRule type="expression" dxfId="81" priority="82">
      <formula>N275="NO BET"</formula>
    </cfRule>
  </conditionalFormatting>
  <conditionalFormatting sqref="N276:N284">
    <cfRule type="expression" dxfId="80" priority="81">
      <formula>N276="NO BET"</formula>
    </cfRule>
  </conditionalFormatting>
  <conditionalFormatting sqref="N305:N314">
    <cfRule type="expression" dxfId="79" priority="79">
      <formula>N305="BET365"</formula>
    </cfRule>
    <cfRule type="expression" dxfId="78" priority="80">
      <formula>N305="PINNACLE"</formula>
    </cfRule>
  </conditionalFormatting>
  <conditionalFormatting sqref="N305">
    <cfRule type="expression" dxfId="77" priority="78">
      <formula>N305="NO BET"</formula>
    </cfRule>
  </conditionalFormatting>
  <conditionalFormatting sqref="N306:N314">
    <cfRule type="expression" dxfId="76" priority="77">
      <formula>N306="NO BET"</formula>
    </cfRule>
  </conditionalFormatting>
  <conditionalFormatting sqref="N319:N328">
    <cfRule type="expression" dxfId="75" priority="75">
      <formula>N319="BET365"</formula>
    </cfRule>
    <cfRule type="expression" dxfId="74" priority="76">
      <formula>N319="PINNACLE"</formula>
    </cfRule>
  </conditionalFormatting>
  <conditionalFormatting sqref="N319">
    <cfRule type="expression" dxfId="73" priority="74">
      <formula>N319="NO BET"</formula>
    </cfRule>
  </conditionalFormatting>
  <conditionalFormatting sqref="N320:N328">
    <cfRule type="expression" dxfId="72" priority="73">
      <formula>N320="NO BET"</formula>
    </cfRule>
  </conditionalFormatting>
  <conditionalFormatting sqref="N333:N342">
    <cfRule type="expression" dxfId="71" priority="71">
      <formula>N333="BET365"</formula>
    </cfRule>
    <cfRule type="expression" dxfId="70" priority="72">
      <formula>N333="PINNACLE"</formula>
    </cfRule>
  </conditionalFormatting>
  <conditionalFormatting sqref="N333">
    <cfRule type="expression" dxfId="69" priority="70">
      <formula>N333="NO BET"</formula>
    </cfRule>
  </conditionalFormatting>
  <conditionalFormatting sqref="N334:N342">
    <cfRule type="expression" dxfId="68" priority="69">
      <formula>N334="NO BET"</formula>
    </cfRule>
  </conditionalFormatting>
  <conditionalFormatting sqref="N347:N356">
    <cfRule type="expression" dxfId="67" priority="67">
      <formula>N347="BET365"</formula>
    </cfRule>
    <cfRule type="expression" dxfId="66" priority="68">
      <formula>N347="PINNACLE"</formula>
    </cfRule>
  </conditionalFormatting>
  <conditionalFormatting sqref="N347">
    <cfRule type="expression" dxfId="65" priority="66">
      <formula>N347="NO BET"</formula>
    </cfRule>
  </conditionalFormatting>
  <conditionalFormatting sqref="N348:N356">
    <cfRule type="expression" dxfId="64" priority="65">
      <formula>N348="NO BET"</formula>
    </cfRule>
  </conditionalFormatting>
  <conditionalFormatting sqref="N361:N370">
    <cfRule type="expression" dxfId="63" priority="63">
      <formula>N361="BET365"</formula>
    </cfRule>
    <cfRule type="expression" dxfId="62" priority="64">
      <formula>N361="PINNACLE"</formula>
    </cfRule>
  </conditionalFormatting>
  <conditionalFormatting sqref="N361">
    <cfRule type="expression" dxfId="61" priority="62">
      <formula>N361="NO BET"</formula>
    </cfRule>
  </conditionalFormatting>
  <conditionalFormatting sqref="N362:N370">
    <cfRule type="expression" dxfId="60" priority="61">
      <formula>N362="NO BET"</formula>
    </cfRule>
  </conditionalFormatting>
  <conditionalFormatting sqref="N375:N384">
    <cfRule type="expression" dxfId="59" priority="59">
      <formula>N375="BET365"</formula>
    </cfRule>
    <cfRule type="expression" dxfId="58" priority="60">
      <formula>N375="PINNACLE"</formula>
    </cfRule>
  </conditionalFormatting>
  <conditionalFormatting sqref="N375">
    <cfRule type="expression" dxfId="57" priority="58">
      <formula>N375="NO BET"</formula>
    </cfRule>
  </conditionalFormatting>
  <conditionalFormatting sqref="N376:N384">
    <cfRule type="expression" dxfId="56" priority="57">
      <formula>N376="NO BET"</formula>
    </cfRule>
  </conditionalFormatting>
  <conditionalFormatting sqref="N389:N398">
    <cfRule type="expression" dxfId="55" priority="55">
      <formula>N389="BET365"</formula>
    </cfRule>
    <cfRule type="expression" dxfId="54" priority="56">
      <formula>N389="PINNACLE"</formula>
    </cfRule>
  </conditionalFormatting>
  <conditionalFormatting sqref="N389">
    <cfRule type="expression" dxfId="53" priority="54">
      <formula>N389="NO BET"</formula>
    </cfRule>
  </conditionalFormatting>
  <conditionalFormatting sqref="N390:N398">
    <cfRule type="expression" dxfId="52" priority="53">
      <formula>N390="NO BET"</formula>
    </cfRule>
  </conditionalFormatting>
  <conditionalFormatting sqref="N403:N412">
    <cfRule type="expression" dxfId="51" priority="51">
      <formula>N403="BET365"</formula>
    </cfRule>
    <cfRule type="expression" dxfId="50" priority="52">
      <formula>N403="PINNACLE"</formula>
    </cfRule>
  </conditionalFormatting>
  <conditionalFormatting sqref="N403">
    <cfRule type="expression" dxfId="49" priority="50">
      <formula>N403="NO BET"</formula>
    </cfRule>
  </conditionalFormatting>
  <conditionalFormatting sqref="N404:N412">
    <cfRule type="expression" dxfId="48" priority="49">
      <formula>N404="NO BET"</formula>
    </cfRule>
  </conditionalFormatting>
  <conditionalFormatting sqref="N417:N426">
    <cfRule type="expression" dxfId="47" priority="47">
      <formula>N417="BET365"</formula>
    </cfRule>
    <cfRule type="expression" dxfId="46" priority="48">
      <formula>N417="PINNACLE"</formula>
    </cfRule>
  </conditionalFormatting>
  <conditionalFormatting sqref="N417">
    <cfRule type="expression" dxfId="45" priority="46">
      <formula>N417="NO BET"</formula>
    </cfRule>
  </conditionalFormatting>
  <conditionalFormatting sqref="N418:N426">
    <cfRule type="expression" dxfId="44" priority="45">
      <formula>N418="NO BET"</formula>
    </cfRule>
  </conditionalFormatting>
  <conditionalFormatting sqref="N431:N440">
    <cfRule type="expression" dxfId="43" priority="43">
      <formula>N431="BET365"</formula>
    </cfRule>
    <cfRule type="expression" dxfId="42" priority="44">
      <formula>N431="PINNACLE"</formula>
    </cfRule>
  </conditionalFormatting>
  <conditionalFormatting sqref="N431">
    <cfRule type="expression" dxfId="41" priority="42">
      <formula>N431="NO BET"</formula>
    </cfRule>
  </conditionalFormatting>
  <conditionalFormatting sqref="N432:N440">
    <cfRule type="expression" dxfId="40" priority="41">
      <formula>N432="NO BET"</formula>
    </cfRule>
  </conditionalFormatting>
  <conditionalFormatting sqref="N461:N470">
    <cfRule type="expression" dxfId="39" priority="39">
      <formula>N461="BET365"</formula>
    </cfRule>
    <cfRule type="expression" dxfId="38" priority="40">
      <formula>N461="PINNACLE"</formula>
    </cfRule>
  </conditionalFormatting>
  <conditionalFormatting sqref="N461">
    <cfRule type="expression" dxfId="37" priority="38">
      <formula>N461="NO BET"</formula>
    </cfRule>
  </conditionalFormatting>
  <conditionalFormatting sqref="N462:N470">
    <cfRule type="expression" dxfId="36" priority="37">
      <formula>N462="NO BET"</formula>
    </cfRule>
  </conditionalFormatting>
  <conditionalFormatting sqref="N475:N484">
    <cfRule type="expression" dxfId="35" priority="35">
      <formula>N475="BET365"</formula>
    </cfRule>
    <cfRule type="expression" dxfId="34" priority="36">
      <formula>N475="PINNACLE"</formula>
    </cfRule>
  </conditionalFormatting>
  <conditionalFormatting sqref="N475">
    <cfRule type="expression" dxfId="33" priority="34">
      <formula>N475="NO BET"</formula>
    </cfRule>
  </conditionalFormatting>
  <conditionalFormatting sqref="N476:N484">
    <cfRule type="expression" dxfId="32" priority="33">
      <formula>N476="NO BET"</formula>
    </cfRule>
  </conditionalFormatting>
  <conditionalFormatting sqref="N489:N498">
    <cfRule type="expression" dxfId="31" priority="31">
      <formula>N489="BET365"</formula>
    </cfRule>
    <cfRule type="expression" dxfId="30" priority="32">
      <formula>N489="PINNACLE"</formula>
    </cfRule>
  </conditionalFormatting>
  <conditionalFormatting sqref="N489">
    <cfRule type="expression" dxfId="29" priority="30">
      <formula>N489="NO BET"</formula>
    </cfRule>
  </conditionalFormatting>
  <conditionalFormatting sqref="N490:N498">
    <cfRule type="expression" dxfId="28" priority="29">
      <formula>N490="NO BET"</formula>
    </cfRule>
  </conditionalFormatting>
  <conditionalFormatting sqref="N503:N512">
    <cfRule type="expression" dxfId="27" priority="27">
      <formula>N503="BET365"</formula>
    </cfRule>
    <cfRule type="expression" dxfId="26" priority="28">
      <formula>N503="PINNACLE"</formula>
    </cfRule>
  </conditionalFormatting>
  <conditionalFormatting sqref="N503">
    <cfRule type="expression" dxfId="25" priority="26">
      <formula>N503="NO BET"</formula>
    </cfRule>
  </conditionalFormatting>
  <conditionalFormatting sqref="N504:N512">
    <cfRule type="expression" dxfId="24" priority="25">
      <formula>N504="NO BET"</formula>
    </cfRule>
  </conditionalFormatting>
  <conditionalFormatting sqref="N517:N526">
    <cfRule type="expression" dxfId="23" priority="23">
      <formula>N517="BET365"</formula>
    </cfRule>
    <cfRule type="expression" dxfId="22" priority="24">
      <formula>N517="PINNACLE"</formula>
    </cfRule>
  </conditionalFormatting>
  <conditionalFormatting sqref="N517">
    <cfRule type="expression" dxfId="21" priority="22">
      <formula>N517="NO BET"</formula>
    </cfRule>
  </conditionalFormatting>
  <conditionalFormatting sqref="N518:N526">
    <cfRule type="expression" dxfId="20" priority="21">
      <formula>N518="NO BET"</formula>
    </cfRule>
  </conditionalFormatting>
  <conditionalFormatting sqref="N531:N540">
    <cfRule type="expression" dxfId="19" priority="19">
      <formula>N531="BET365"</formula>
    </cfRule>
    <cfRule type="expression" dxfId="18" priority="20">
      <formula>N531="PINNACLE"</formula>
    </cfRule>
  </conditionalFormatting>
  <conditionalFormatting sqref="N531">
    <cfRule type="expression" dxfId="17" priority="18">
      <formula>N531="NO BET"</formula>
    </cfRule>
  </conditionalFormatting>
  <conditionalFormatting sqref="N532:N540">
    <cfRule type="expression" dxfId="16" priority="17">
      <formula>N532="NO BET"</formula>
    </cfRule>
  </conditionalFormatting>
  <conditionalFormatting sqref="N545:N554">
    <cfRule type="expression" dxfId="15" priority="15">
      <formula>N545="BET365"</formula>
    </cfRule>
    <cfRule type="expression" dxfId="14" priority="16">
      <formula>N545="PINNACLE"</formula>
    </cfRule>
  </conditionalFormatting>
  <conditionalFormatting sqref="N545">
    <cfRule type="expression" dxfId="13" priority="14">
      <formula>N545="NO BET"</formula>
    </cfRule>
  </conditionalFormatting>
  <conditionalFormatting sqref="N546:N554">
    <cfRule type="expression" dxfId="12" priority="13">
      <formula>N546="NO BET"</formula>
    </cfRule>
  </conditionalFormatting>
  <conditionalFormatting sqref="N559:N568">
    <cfRule type="expression" dxfId="11" priority="11">
      <formula>N559="BET365"</formula>
    </cfRule>
    <cfRule type="expression" dxfId="10" priority="12">
      <formula>N559="PINNACLE"</formula>
    </cfRule>
  </conditionalFormatting>
  <conditionalFormatting sqref="N559">
    <cfRule type="expression" dxfId="9" priority="10">
      <formula>N559="NO BET"</formula>
    </cfRule>
  </conditionalFormatting>
  <conditionalFormatting sqref="N560:N568">
    <cfRule type="expression" dxfId="8" priority="9">
      <formula>N560="NO BET"</formula>
    </cfRule>
  </conditionalFormatting>
  <conditionalFormatting sqref="N573:N582">
    <cfRule type="expression" dxfId="7" priority="7">
      <formula>N573="BET365"</formula>
    </cfRule>
    <cfRule type="expression" dxfId="6" priority="8">
      <formula>N573="PINNACLE"</formula>
    </cfRule>
  </conditionalFormatting>
  <conditionalFormatting sqref="N573">
    <cfRule type="expression" dxfId="5" priority="6">
      <formula>N573="NO BET"</formula>
    </cfRule>
  </conditionalFormatting>
  <conditionalFormatting sqref="N574:N582">
    <cfRule type="expression" dxfId="4" priority="5">
      <formula>N574="NO BET"</formula>
    </cfRule>
  </conditionalFormatting>
  <conditionalFormatting sqref="N587:N596">
    <cfRule type="expression" dxfId="3" priority="3">
      <formula>N587="BET365"</formula>
    </cfRule>
    <cfRule type="expression" dxfId="2" priority="4">
      <formula>N587="PINNACLE"</formula>
    </cfRule>
  </conditionalFormatting>
  <conditionalFormatting sqref="N587">
    <cfRule type="expression" dxfId="1" priority="2">
      <formula>N587="NO BET"</formula>
    </cfRule>
  </conditionalFormatting>
  <conditionalFormatting sqref="N588:N596">
    <cfRule type="expression" dxfId="0" priority="1">
      <formula>N588="NO BET"</formula>
    </cfRule>
  </conditionalFormatting>
  <pageMargins left="0.7" right="0.7" top="0.78740157499999996" bottom="0.78740157499999996" header="0.3" footer="0.3"/>
  <pageSetup paperSize="9" orientation="portrait" horizontalDpi="4294967293" r:id="rId1"/>
  <ignoredErrors>
    <ignoredError sqref="F9:H9 G8:H8 G10:H10" twoDigitTextYear="1"/>
  </ignoredErrors>
  <drawing r:id="rId2"/>
  <legacyDrawing r:id="rId3"/>
  <controls>
    <mc:AlternateContent xmlns:mc="http://schemas.openxmlformats.org/markup-compatibility/2006">
      <mc:Choice Requires="x14">
        <control shapeId="1166" r:id="rId4" name="cav">
          <controlPr defaultSize="0" autoLine="0" r:id="rId5">
            <anchor moveWithCells="1">
              <from>
                <xdr:col>3</xdr:col>
                <xdr:colOff>38100</xdr:colOff>
                <xdr:row>2</xdr:row>
                <xdr:rowOff>38100</xdr:rowOff>
              </from>
              <to>
                <xdr:col>3</xdr:col>
                <xdr:colOff>1419225</xdr:colOff>
                <xdr:row>3</xdr:row>
                <xdr:rowOff>152400</xdr:rowOff>
              </to>
            </anchor>
          </controlPr>
        </control>
      </mc:Choice>
      <mc:Fallback>
        <control shapeId="1166" r:id="rId4" name="cav"/>
      </mc:Fallback>
    </mc:AlternateContent>
    <mc:AlternateContent xmlns:mc="http://schemas.openxmlformats.org/markup-compatibility/2006">
      <mc:Choice Requires="x14">
        <control shapeId="1194" r:id="rId6" name="jumpToInfo">
          <controlPr defaultSize="0" autoLine="0" r:id="rId7">
            <anchor moveWithCells="1">
              <from>
                <xdr:col>2</xdr:col>
                <xdr:colOff>19050</xdr:colOff>
                <xdr:row>2</xdr:row>
                <xdr:rowOff>38100</xdr:rowOff>
              </from>
              <to>
                <xdr:col>3</xdr:col>
                <xdr:colOff>9525</xdr:colOff>
                <xdr:row>3</xdr:row>
                <xdr:rowOff>152400</xdr:rowOff>
              </to>
            </anchor>
          </controlPr>
        </control>
      </mc:Choice>
      <mc:Fallback>
        <control shapeId="1194" r:id="rId6" name="jumpToInfo"/>
      </mc:Fallback>
    </mc:AlternateContent>
    <mc:AlternateContent xmlns:mc="http://schemas.openxmlformats.org/markup-compatibility/2006">
      <mc:Choice Requires="x14">
        <control shapeId="1028" r:id="rId8" name="Button 4">
          <controlPr defaultSize="0" print="0" autoFill="0" autoPict="0" macro="[0]!jumpToLeague_LCK_Click" altText="League of Legends">
            <anchor moveWithCells="1" sizeWithCells="1">
              <from>
                <xdr:col>1</xdr:col>
                <xdr:colOff>104775</xdr:colOff>
                <xdr:row>49</xdr:row>
                <xdr:rowOff>123825</xdr:rowOff>
              </from>
              <to>
                <xdr:col>2</xdr:col>
                <xdr:colOff>647700</xdr:colOff>
                <xdr:row>51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9" name="Button 5">
          <controlPr defaultSize="0" print="0" autoFill="0" autoPict="0" macro="[0]!jumpToLeague_EULCS_Click" altText="League of Legends">
            <anchor moveWithCells="1" sizeWithCells="1">
              <from>
                <xdr:col>1</xdr:col>
                <xdr:colOff>104775</xdr:colOff>
                <xdr:row>51</xdr:row>
                <xdr:rowOff>114300</xdr:rowOff>
              </from>
              <to>
                <xdr:col>2</xdr:col>
                <xdr:colOff>647700</xdr:colOff>
                <xdr:row>53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0" name="Button 6">
          <controlPr defaultSize="0" print="0" autoFill="0" autoPict="0" macro="[0]!jumpToLeague_NALCS_Click" altText="League of Legends">
            <anchor moveWithCells="1" sizeWithCells="1">
              <from>
                <xdr:col>1</xdr:col>
                <xdr:colOff>104775</xdr:colOff>
                <xdr:row>53</xdr:row>
                <xdr:rowOff>114300</xdr:rowOff>
              </from>
              <to>
                <xdr:col>2</xdr:col>
                <xdr:colOff>647700</xdr:colOff>
                <xdr:row>55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1" name="Button 7">
          <controlPr defaultSize="0" print="0" autoFill="0" autoPict="0" macro="[0]!jumptToLeague_LCK_Week1_Click" altText="League of Legends">
            <anchor moveWithCells="1" sizeWithCells="1">
              <from>
                <xdr:col>1</xdr:col>
                <xdr:colOff>142875</xdr:colOff>
                <xdr:row>74</xdr:row>
                <xdr:rowOff>104775</xdr:rowOff>
              </from>
              <to>
                <xdr:col>3</xdr:col>
                <xdr:colOff>266700</xdr:colOff>
                <xdr:row>75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2" name="Button 8">
          <controlPr defaultSize="0" print="0" autoFill="0" autoPict="0" macro="[0]!jumptToLeague_LCK_Week2_Click" altText="League of Legends">
            <anchor moveWithCells="1" sizeWithCells="1">
              <from>
                <xdr:col>1</xdr:col>
                <xdr:colOff>142875</xdr:colOff>
                <xdr:row>76</xdr:row>
                <xdr:rowOff>104775</xdr:rowOff>
              </from>
              <to>
                <xdr:col>3</xdr:col>
                <xdr:colOff>266700</xdr:colOff>
                <xdr:row>77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3" name="Button 9">
          <controlPr defaultSize="0" print="0" autoFill="0" autoPict="0" macro="[0]!jumptToLeague_LCK_Week3_Click" altText="League of Legends">
            <anchor moveWithCells="1" sizeWithCells="1">
              <from>
                <xdr:col>1</xdr:col>
                <xdr:colOff>142875</xdr:colOff>
                <xdr:row>78</xdr:row>
                <xdr:rowOff>104775</xdr:rowOff>
              </from>
              <to>
                <xdr:col>3</xdr:col>
                <xdr:colOff>266700</xdr:colOff>
                <xdr:row>80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4" name="Schaltfläche 10">
          <controlPr defaultSize="0" print="0" autoFill="0" autoPict="0" macro="[0]!jumptToLeague_LCK_Week4_Click" altText="League of Legends">
            <anchor moveWithCells="1" sizeWithCells="1">
              <from>
                <xdr:col>3</xdr:col>
                <xdr:colOff>371475</xdr:colOff>
                <xdr:row>74</xdr:row>
                <xdr:rowOff>104775</xdr:rowOff>
              </from>
              <to>
                <xdr:col>5</xdr:col>
                <xdr:colOff>228600</xdr:colOff>
                <xdr:row>75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5" name="Schaltfläche 11">
          <controlPr defaultSize="0" print="0" autoFill="0" autoPict="0" macro="[0]!jumptToLeague_LCK_Week5_Click" altText="League of Legends">
            <anchor moveWithCells="1" sizeWithCells="1">
              <from>
                <xdr:col>3</xdr:col>
                <xdr:colOff>371475</xdr:colOff>
                <xdr:row>76</xdr:row>
                <xdr:rowOff>104775</xdr:rowOff>
              </from>
              <to>
                <xdr:col>5</xdr:col>
                <xdr:colOff>228600</xdr:colOff>
                <xdr:row>77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6" name="Schaltfläche 12">
          <controlPr defaultSize="0" print="0" autoFill="0" autoPict="0" macro="[0]!jumptToLeague_LCK_Week6_Click" altText="League of Legends">
            <anchor moveWithCells="1" sizeWithCells="1">
              <from>
                <xdr:col>3</xdr:col>
                <xdr:colOff>371475</xdr:colOff>
                <xdr:row>78</xdr:row>
                <xdr:rowOff>104775</xdr:rowOff>
              </from>
              <to>
                <xdr:col>5</xdr:col>
                <xdr:colOff>228600</xdr:colOff>
                <xdr:row>80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17" name="Schaltfläche 13">
          <controlPr defaultSize="0" print="0" autoFill="0" autoPict="0" macro="[0]!jumptToLeague_LCK_Week7_Click" altText="League of Legends">
            <anchor moveWithCells="1" sizeWithCells="1">
              <from>
                <xdr:col>5</xdr:col>
                <xdr:colOff>352425</xdr:colOff>
                <xdr:row>74</xdr:row>
                <xdr:rowOff>104775</xdr:rowOff>
              </from>
              <to>
                <xdr:col>8</xdr:col>
                <xdr:colOff>266700</xdr:colOff>
                <xdr:row>75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18" name="Schaltfläche 14">
          <controlPr defaultSize="0" print="0" autoFill="0" autoPict="0" macro="[0]!jumptToLeague_LCK_Week8_Click" altText="League of Legends">
            <anchor moveWithCells="1" sizeWithCells="1">
              <from>
                <xdr:col>5</xdr:col>
                <xdr:colOff>352425</xdr:colOff>
                <xdr:row>76</xdr:row>
                <xdr:rowOff>104775</xdr:rowOff>
              </from>
              <to>
                <xdr:col>8</xdr:col>
                <xdr:colOff>266700</xdr:colOff>
                <xdr:row>77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19" name="Schaltfläche 15">
          <controlPr defaultSize="0" print="0" autoFill="0" autoPict="0" macro="[0]!jumptToLeague_LCK_Week9_Click" altText="League of Legends">
            <anchor moveWithCells="1" sizeWithCells="1">
              <from>
                <xdr:col>5</xdr:col>
                <xdr:colOff>352425</xdr:colOff>
                <xdr:row>78</xdr:row>
                <xdr:rowOff>104775</xdr:rowOff>
              </from>
              <to>
                <xdr:col>8</xdr:col>
                <xdr:colOff>266700</xdr:colOff>
                <xdr:row>80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20" name="Schaltfläche 16">
          <controlPr defaultSize="0" print="0" autoFill="0" autoPict="0" macro="[0]!jumptToLeague_LCK_Week10_Click" altText="League of Legends">
            <anchor moveWithCells="1" sizeWithCells="1">
              <from>
                <xdr:col>8</xdr:col>
                <xdr:colOff>371475</xdr:colOff>
                <xdr:row>74</xdr:row>
                <xdr:rowOff>104775</xdr:rowOff>
              </from>
              <to>
                <xdr:col>10</xdr:col>
                <xdr:colOff>276225</xdr:colOff>
                <xdr:row>76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21" name="Schaltfläche 17">
          <controlPr defaultSize="0" print="0" autoFill="0" autoPict="0" macro="[0]!jumpToLeague_Click" altText="League of Legends">
            <anchor moveWithCells="1" sizeWithCells="1">
              <from>
                <xdr:col>9</xdr:col>
                <xdr:colOff>104775</xdr:colOff>
                <xdr:row>78</xdr:row>
                <xdr:rowOff>104775</xdr:rowOff>
              </from>
              <to>
                <xdr:col>10</xdr:col>
                <xdr:colOff>276225</xdr:colOff>
                <xdr:row>80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22" name="Button 18">
          <controlPr defaultSize="0" print="0" autoFill="0" autoPict="0" macro="[0]!jumptToLeague_EULCS_Week1_Click" altText="League of Legends">
            <anchor moveWithCells="1" sizeWithCells="1">
              <from>
                <xdr:col>1</xdr:col>
                <xdr:colOff>142875</xdr:colOff>
                <xdr:row>89</xdr:row>
                <xdr:rowOff>104775</xdr:rowOff>
              </from>
              <to>
                <xdr:col>3</xdr:col>
                <xdr:colOff>266700</xdr:colOff>
                <xdr:row>90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3" name="Button 19">
          <controlPr defaultSize="0" print="0" autoFill="0" autoPict="0" macro="[0]!jumptToLeague_EULCS_Week2_Click" altText="League of Legends">
            <anchor moveWithCells="1" sizeWithCells="1">
              <from>
                <xdr:col>1</xdr:col>
                <xdr:colOff>142875</xdr:colOff>
                <xdr:row>91</xdr:row>
                <xdr:rowOff>104775</xdr:rowOff>
              </from>
              <to>
                <xdr:col>3</xdr:col>
                <xdr:colOff>266700</xdr:colOff>
                <xdr:row>92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24" name="Button 20">
          <controlPr defaultSize="0" print="0" autoFill="0" autoPict="0" macro="[0]!jumptToLeague_EULCS_Week3_Click" altText="League of Legends">
            <anchor moveWithCells="1" sizeWithCells="1">
              <from>
                <xdr:col>1</xdr:col>
                <xdr:colOff>142875</xdr:colOff>
                <xdr:row>93</xdr:row>
                <xdr:rowOff>104775</xdr:rowOff>
              </from>
              <to>
                <xdr:col>3</xdr:col>
                <xdr:colOff>266700</xdr:colOff>
                <xdr:row>95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25" name="Button 21">
          <controlPr defaultSize="0" print="0" autoFill="0" autoPict="0" macro="[0]!jumptToLeague_EULCS_Week4_Click" altText="League of Legends">
            <anchor moveWithCells="1" sizeWithCells="1">
              <from>
                <xdr:col>3</xdr:col>
                <xdr:colOff>371475</xdr:colOff>
                <xdr:row>89</xdr:row>
                <xdr:rowOff>104775</xdr:rowOff>
              </from>
              <to>
                <xdr:col>5</xdr:col>
                <xdr:colOff>228600</xdr:colOff>
                <xdr:row>90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6" r:id="rId26" name="Button 22">
          <controlPr defaultSize="0" print="0" autoFill="0" autoPict="0" macro="[0]!jumptToLeague_EULCS_Week5_Click" altText="League of Legends">
            <anchor moveWithCells="1" sizeWithCells="1">
              <from>
                <xdr:col>3</xdr:col>
                <xdr:colOff>371475</xdr:colOff>
                <xdr:row>91</xdr:row>
                <xdr:rowOff>104775</xdr:rowOff>
              </from>
              <to>
                <xdr:col>5</xdr:col>
                <xdr:colOff>228600</xdr:colOff>
                <xdr:row>92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7" r:id="rId27" name="Button 23">
          <controlPr defaultSize="0" print="0" autoFill="0" autoPict="0" macro="[0]!jumptToLeague_EULCS_Week6_Click" altText="League of Legends">
            <anchor moveWithCells="1" sizeWithCells="1">
              <from>
                <xdr:col>3</xdr:col>
                <xdr:colOff>371475</xdr:colOff>
                <xdr:row>93</xdr:row>
                <xdr:rowOff>104775</xdr:rowOff>
              </from>
              <to>
                <xdr:col>5</xdr:col>
                <xdr:colOff>228600</xdr:colOff>
                <xdr:row>95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8" r:id="rId28" name="Button 24">
          <controlPr defaultSize="0" print="0" autoFill="0" autoPict="0" macro="[0]!jumptToLeague_EULCS_Week7_Click" altText="League of Legends">
            <anchor moveWithCells="1" sizeWithCells="1">
              <from>
                <xdr:col>5</xdr:col>
                <xdr:colOff>352425</xdr:colOff>
                <xdr:row>89</xdr:row>
                <xdr:rowOff>104775</xdr:rowOff>
              </from>
              <to>
                <xdr:col>8</xdr:col>
                <xdr:colOff>266700</xdr:colOff>
                <xdr:row>90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29" name="Button 25">
          <controlPr defaultSize="0" print="0" autoFill="0" autoPict="0" macro="[0]!jumptToLeague_EULCS_Week8_Click" altText="League of Legends">
            <anchor moveWithCells="1" sizeWithCells="1">
              <from>
                <xdr:col>5</xdr:col>
                <xdr:colOff>352425</xdr:colOff>
                <xdr:row>91</xdr:row>
                <xdr:rowOff>104775</xdr:rowOff>
              </from>
              <to>
                <xdr:col>8</xdr:col>
                <xdr:colOff>266700</xdr:colOff>
                <xdr:row>92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0" r:id="rId30" name="Button 26">
          <controlPr defaultSize="0" print="0" autoFill="0" autoPict="0" macro="[0]!jumptToLeague_EULCS_Week9_Click" altText="League of Legends">
            <anchor moveWithCells="1" sizeWithCells="1">
              <from>
                <xdr:col>5</xdr:col>
                <xdr:colOff>352425</xdr:colOff>
                <xdr:row>93</xdr:row>
                <xdr:rowOff>104775</xdr:rowOff>
              </from>
              <to>
                <xdr:col>8</xdr:col>
                <xdr:colOff>266700</xdr:colOff>
                <xdr:row>95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1" r:id="rId31" name="Button 27">
          <controlPr defaultSize="0" print="0" autoFill="0" autoPict="0" macro="[0]!jumptToLeague_EULCS_Week10_Click" altText="League of Legends">
            <anchor moveWithCells="1" sizeWithCells="1">
              <from>
                <xdr:col>8</xdr:col>
                <xdr:colOff>371475</xdr:colOff>
                <xdr:row>89</xdr:row>
                <xdr:rowOff>104775</xdr:rowOff>
              </from>
              <to>
                <xdr:col>10</xdr:col>
                <xdr:colOff>276225</xdr:colOff>
                <xdr:row>91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2" r:id="rId32" name="Button 28">
          <controlPr defaultSize="0" print="0" autoFill="0" autoPict="0" macro="[0]!jumpToLeague_Click" altText="League of Legends">
            <anchor moveWithCells="1" sizeWithCells="1">
              <from>
                <xdr:col>9</xdr:col>
                <xdr:colOff>104775</xdr:colOff>
                <xdr:row>93</xdr:row>
                <xdr:rowOff>104775</xdr:rowOff>
              </from>
              <to>
                <xdr:col>10</xdr:col>
                <xdr:colOff>276225</xdr:colOff>
                <xdr:row>95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3" r:id="rId33" name="Button 29">
          <controlPr defaultSize="0" print="0" autoFill="0" autoPict="0" macro="[0]!jumptToLeague_NALCS_Week1_Click" altText="League of Legends">
            <anchor moveWithCells="1" sizeWithCells="1">
              <from>
                <xdr:col>1</xdr:col>
                <xdr:colOff>142875</xdr:colOff>
                <xdr:row>104</xdr:row>
                <xdr:rowOff>104775</xdr:rowOff>
              </from>
              <to>
                <xdr:col>3</xdr:col>
                <xdr:colOff>266700</xdr:colOff>
                <xdr:row>105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4" r:id="rId34" name="Button 30">
          <controlPr defaultSize="0" print="0" autoFill="0" autoPict="0" macro="[0]!jumptToLeague_NALCS_Week2_Click" altText="League of Legends">
            <anchor moveWithCells="1" sizeWithCells="1">
              <from>
                <xdr:col>1</xdr:col>
                <xdr:colOff>142875</xdr:colOff>
                <xdr:row>106</xdr:row>
                <xdr:rowOff>104775</xdr:rowOff>
              </from>
              <to>
                <xdr:col>3</xdr:col>
                <xdr:colOff>266700</xdr:colOff>
                <xdr:row>107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5" r:id="rId35" name="Button 31">
          <controlPr defaultSize="0" print="0" autoFill="0" autoPict="0" macro="[0]!jumptToLeague_NALCS_Week3_Click" altText="League of Legends">
            <anchor moveWithCells="1" sizeWithCells="1">
              <from>
                <xdr:col>1</xdr:col>
                <xdr:colOff>142875</xdr:colOff>
                <xdr:row>108</xdr:row>
                <xdr:rowOff>104775</xdr:rowOff>
              </from>
              <to>
                <xdr:col>3</xdr:col>
                <xdr:colOff>266700</xdr:colOff>
                <xdr:row>110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6" r:id="rId36" name="Button 32">
          <controlPr defaultSize="0" print="0" autoFill="0" autoPict="0" macro="[0]!jumptToLeague_NALCS_Week4_Click" altText="League of Legends">
            <anchor moveWithCells="1" sizeWithCells="1">
              <from>
                <xdr:col>3</xdr:col>
                <xdr:colOff>371475</xdr:colOff>
                <xdr:row>104</xdr:row>
                <xdr:rowOff>104775</xdr:rowOff>
              </from>
              <to>
                <xdr:col>5</xdr:col>
                <xdr:colOff>228600</xdr:colOff>
                <xdr:row>105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7" r:id="rId37" name="Button 33">
          <controlPr defaultSize="0" print="0" autoFill="0" autoPict="0" macro="[0]!jumptToLeague_NALCS_Week5_Click" altText="League of Legends">
            <anchor moveWithCells="1" sizeWithCells="1">
              <from>
                <xdr:col>3</xdr:col>
                <xdr:colOff>371475</xdr:colOff>
                <xdr:row>106</xdr:row>
                <xdr:rowOff>104775</xdr:rowOff>
              </from>
              <to>
                <xdr:col>5</xdr:col>
                <xdr:colOff>228600</xdr:colOff>
                <xdr:row>107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8" r:id="rId38" name="Button 34">
          <controlPr defaultSize="0" print="0" autoFill="0" autoPict="0" macro="[0]!jumptToLeague_NALCS_Week6_Click" altText="League of Legends">
            <anchor moveWithCells="1" sizeWithCells="1">
              <from>
                <xdr:col>3</xdr:col>
                <xdr:colOff>371475</xdr:colOff>
                <xdr:row>108</xdr:row>
                <xdr:rowOff>104775</xdr:rowOff>
              </from>
              <to>
                <xdr:col>5</xdr:col>
                <xdr:colOff>228600</xdr:colOff>
                <xdr:row>110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9" r:id="rId39" name="Button 35">
          <controlPr defaultSize="0" print="0" autoFill="0" autoPict="0" macro="[0]!jumptToLeague_NALCS_Week7_Click" altText="League of Legends">
            <anchor moveWithCells="1" sizeWithCells="1">
              <from>
                <xdr:col>5</xdr:col>
                <xdr:colOff>352425</xdr:colOff>
                <xdr:row>104</xdr:row>
                <xdr:rowOff>104775</xdr:rowOff>
              </from>
              <to>
                <xdr:col>8</xdr:col>
                <xdr:colOff>266700</xdr:colOff>
                <xdr:row>105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0" r:id="rId40" name="Button 36">
          <controlPr defaultSize="0" print="0" autoFill="0" autoPict="0" macro="[0]!jumptToLeague_NALCS_Week8_Click" altText="League of Legends">
            <anchor moveWithCells="1" sizeWithCells="1">
              <from>
                <xdr:col>5</xdr:col>
                <xdr:colOff>352425</xdr:colOff>
                <xdr:row>106</xdr:row>
                <xdr:rowOff>104775</xdr:rowOff>
              </from>
              <to>
                <xdr:col>8</xdr:col>
                <xdr:colOff>266700</xdr:colOff>
                <xdr:row>107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1" r:id="rId41" name="Button 37">
          <controlPr defaultSize="0" print="0" autoFill="0" autoPict="0" macro="[0]!jumptToLeague_NALCS_Week9_Click" altText="League of Legends">
            <anchor moveWithCells="1" sizeWithCells="1">
              <from>
                <xdr:col>5</xdr:col>
                <xdr:colOff>352425</xdr:colOff>
                <xdr:row>108</xdr:row>
                <xdr:rowOff>104775</xdr:rowOff>
              </from>
              <to>
                <xdr:col>8</xdr:col>
                <xdr:colOff>266700</xdr:colOff>
                <xdr:row>110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2" r:id="rId42" name="Button 38">
          <controlPr defaultSize="0" print="0" autoFill="0" autoPict="0" macro="[0]!jumptToLeague_NALCS_Week10_Click" altText="League of Legends">
            <anchor moveWithCells="1" sizeWithCells="1">
              <from>
                <xdr:col>8</xdr:col>
                <xdr:colOff>371475</xdr:colOff>
                <xdr:row>104</xdr:row>
                <xdr:rowOff>104775</xdr:rowOff>
              </from>
              <to>
                <xdr:col>10</xdr:col>
                <xdr:colOff>276225</xdr:colOff>
                <xdr:row>106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3" r:id="rId43" name="Button 39">
          <controlPr defaultSize="0" print="0" autoFill="0" autoPict="0" macro="[0]!jumpToLeague_Click" altText="League of Legends">
            <anchor moveWithCells="1" sizeWithCells="1">
              <from>
                <xdr:col>9</xdr:col>
                <xdr:colOff>104775</xdr:colOff>
                <xdr:row>108</xdr:row>
                <xdr:rowOff>104775</xdr:rowOff>
              </from>
              <to>
                <xdr:col>10</xdr:col>
                <xdr:colOff>276225</xdr:colOff>
                <xdr:row>110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6" r:id="rId44" name="Button 52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161</xdr:row>
                <xdr:rowOff>28575</xdr:rowOff>
              </from>
              <to>
                <xdr:col>1</xdr:col>
                <xdr:colOff>733425</xdr:colOff>
                <xdr:row>162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7" r:id="rId45" name="Button 53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175</xdr:row>
                <xdr:rowOff>28575</xdr:rowOff>
              </from>
              <to>
                <xdr:col>1</xdr:col>
                <xdr:colOff>733425</xdr:colOff>
                <xdr:row>176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8" r:id="rId46" name="Button 54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189</xdr:row>
                <xdr:rowOff>28575</xdr:rowOff>
              </from>
              <to>
                <xdr:col>1</xdr:col>
                <xdr:colOff>733425</xdr:colOff>
                <xdr:row>190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9" r:id="rId47" name="Button 55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203</xdr:row>
                <xdr:rowOff>28575</xdr:rowOff>
              </from>
              <to>
                <xdr:col>1</xdr:col>
                <xdr:colOff>733425</xdr:colOff>
                <xdr:row>204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0" r:id="rId48" name="Button 56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217</xdr:row>
                <xdr:rowOff>28575</xdr:rowOff>
              </from>
              <to>
                <xdr:col>1</xdr:col>
                <xdr:colOff>733425</xdr:colOff>
                <xdr:row>218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1" r:id="rId49" name="Button 57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231</xdr:row>
                <xdr:rowOff>28575</xdr:rowOff>
              </from>
              <to>
                <xdr:col>1</xdr:col>
                <xdr:colOff>733425</xdr:colOff>
                <xdr:row>232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2" r:id="rId50" name="Button 58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245</xdr:row>
                <xdr:rowOff>28575</xdr:rowOff>
              </from>
              <to>
                <xdr:col>1</xdr:col>
                <xdr:colOff>733425</xdr:colOff>
                <xdr:row>246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3" r:id="rId51" name="Button 59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259</xdr:row>
                <xdr:rowOff>28575</xdr:rowOff>
              </from>
              <to>
                <xdr:col>1</xdr:col>
                <xdr:colOff>733425</xdr:colOff>
                <xdr:row>260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4" r:id="rId52" name="Button 60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273</xdr:row>
                <xdr:rowOff>28575</xdr:rowOff>
              </from>
              <to>
                <xdr:col>1</xdr:col>
                <xdr:colOff>733425</xdr:colOff>
                <xdr:row>274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7" r:id="rId53" name="Button 63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303</xdr:row>
                <xdr:rowOff>28575</xdr:rowOff>
              </from>
              <to>
                <xdr:col>1</xdr:col>
                <xdr:colOff>733425</xdr:colOff>
                <xdr:row>304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8" r:id="rId54" name="Button 64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317</xdr:row>
                <xdr:rowOff>28575</xdr:rowOff>
              </from>
              <to>
                <xdr:col>1</xdr:col>
                <xdr:colOff>733425</xdr:colOff>
                <xdr:row>318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55" name="Button 65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331</xdr:row>
                <xdr:rowOff>28575</xdr:rowOff>
              </from>
              <to>
                <xdr:col>1</xdr:col>
                <xdr:colOff>733425</xdr:colOff>
                <xdr:row>332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0" r:id="rId56" name="Button 66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345</xdr:row>
                <xdr:rowOff>28575</xdr:rowOff>
              </from>
              <to>
                <xdr:col>1</xdr:col>
                <xdr:colOff>733425</xdr:colOff>
                <xdr:row>346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57" name="Button 67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359</xdr:row>
                <xdr:rowOff>28575</xdr:rowOff>
              </from>
              <to>
                <xdr:col>1</xdr:col>
                <xdr:colOff>733425</xdr:colOff>
                <xdr:row>360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2" r:id="rId58" name="Button 68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373</xdr:row>
                <xdr:rowOff>28575</xdr:rowOff>
              </from>
              <to>
                <xdr:col>1</xdr:col>
                <xdr:colOff>733425</xdr:colOff>
                <xdr:row>374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59" name="Button 69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387</xdr:row>
                <xdr:rowOff>28575</xdr:rowOff>
              </from>
              <to>
                <xdr:col>1</xdr:col>
                <xdr:colOff>733425</xdr:colOff>
                <xdr:row>388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4" r:id="rId60" name="Button 70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401</xdr:row>
                <xdr:rowOff>28575</xdr:rowOff>
              </from>
              <to>
                <xdr:col>1</xdr:col>
                <xdr:colOff>733425</xdr:colOff>
                <xdr:row>402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61" name="Button 71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415</xdr:row>
                <xdr:rowOff>28575</xdr:rowOff>
              </from>
              <to>
                <xdr:col>1</xdr:col>
                <xdr:colOff>733425</xdr:colOff>
                <xdr:row>416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62" name="Button 72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429</xdr:row>
                <xdr:rowOff>28575</xdr:rowOff>
              </from>
              <to>
                <xdr:col>1</xdr:col>
                <xdr:colOff>733425</xdr:colOff>
                <xdr:row>430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63" name="Button 73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317</xdr:row>
                <xdr:rowOff>28575</xdr:rowOff>
              </from>
              <to>
                <xdr:col>1</xdr:col>
                <xdr:colOff>733425</xdr:colOff>
                <xdr:row>318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8" r:id="rId64" name="Button 74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331</xdr:row>
                <xdr:rowOff>28575</xdr:rowOff>
              </from>
              <to>
                <xdr:col>1</xdr:col>
                <xdr:colOff>733425</xdr:colOff>
                <xdr:row>332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9" r:id="rId65" name="Button 75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345</xdr:row>
                <xdr:rowOff>28575</xdr:rowOff>
              </from>
              <to>
                <xdr:col>1</xdr:col>
                <xdr:colOff>733425</xdr:colOff>
                <xdr:row>346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0" r:id="rId66" name="Button 76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359</xdr:row>
                <xdr:rowOff>28575</xdr:rowOff>
              </from>
              <to>
                <xdr:col>1</xdr:col>
                <xdr:colOff>733425</xdr:colOff>
                <xdr:row>360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1" r:id="rId67" name="Button 77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373</xdr:row>
                <xdr:rowOff>28575</xdr:rowOff>
              </from>
              <to>
                <xdr:col>1</xdr:col>
                <xdr:colOff>733425</xdr:colOff>
                <xdr:row>374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2" r:id="rId68" name="Button 78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387</xdr:row>
                <xdr:rowOff>28575</xdr:rowOff>
              </from>
              <to>
                <xdr:col>1</xdr:col>
                <xdr:colOff>733425</xdr:colOff>
                <xdr:row>388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3" r:id="rId69" name="Button 79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401</xdr:row>
                <xdr:rowOff>28575</xdr:rowOff>
              </from>
              <to>
                <xdr:col>1</xdr:col>
                <xdr:colOff>733425</xdr:colOff>
                <xdr:row>402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4" r:id="rId70" name="Button 80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415</xdr:row>
                <xdr:rowOff>28575</xdr:rowOff>
              </from>
              <to>
                <xdr:col>1</xdr:col>
                <xdr:colOff>733425</xdr:colOff>
                <xdr:row>416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5" r:id="rId71" name="Button 81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429</xdr:row>
                <xdr:rowOff>28575</xdr:rowOff>
              </from>
              <to>
                <xdr:col>1</xdr:col>
                <xdr:colOff>733425</xdr:colOff>
                <xdr:row>430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7" r:id="rId72" name="Button 64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459</xdr:row>
                <xdr:rowOff>28575</xdr:rowOff>
              </from>
              <to>
                <xdr:col>1</xdr:col>
                <xdr:colOff>733425</xdr:colOff>
                <xdr:row>460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8" r:id="rId73" name="Button 73">
          <controlPr defaultSize="0" print="0" autoFill="0" autoPict="0" macro="[0]!jumpToLeague_NALCS_Click" altText="League of Legends">
            <anchor moveWithCells="1" sizeWithCells="1">
              <from>
                <xdr:col>0</xdr:col>
                <xdr:colOff>28575</xdr:colOff>
                <xdr:row>459</xdr:row>
                <xdr:rowOff>28575</xdr:rowOff>
              </from>
              <to>
                <xdr:col>1</xdr:col>
                <xdr:colOff>733425</xdr:colOff>
                <xdr:row>460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9" r:id="rId74" name="Button 85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473</xdr:row>
                <xdr:rowOff>28575</xdr:rowOff>
              </from>
              <to>
                <xdr:col>1</xdr:col>
                <xdr:colOff>733425</xdr:colOff>
                <xdr:row>474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0" r:id="rId75" name="Button 86">
          <controlPr defaultSize="0" print="0" autoFill="0" autoPict="0" macro="[0]!jumpToLeague_NALCS_Click" altText="League of Legends">
            <anchor moveWithCells="1" sizeWithCells="1">
              <from>
                <xdr:col>0</xdr:col>
                <xdr:colOff>28575</xdr:colOff>
                <xdr:row>473</xdr:row>
                <xdr:rowOff>28575</xdr:rowOff>
              </from>
              <to>
                <xdr:col>1</xdr:col>
                <xdr:colOff>733425</xdr:colOff>
                <xdr:row>474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1" r:id="rId76" name="Button 87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487</xdr:row>
                <xdr:rowOff>28575</xdr:rowOff>
              </from>
              <to>
                <xdr:col>1</xdr:col>
                <xdr:colOff>733425</xdr:colOff>
                <xdr:row>488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2" r:id="rId77" name="Button 88">
          <controlPr defaultSize="0" print="0" autoFill="0" autoPict="0" macro="[0]!jumpToLeague_NALCS_Click" altText="League of Legends">
            <anchor moveWithCells="1" sizeWithCells="1">
              <from>
                <xdr:col>0</xdr:col>
                <xdr:colOff>28575</xdr:colOff>
                <xdr:row>487</xdr:row>
                <xdr:rowOff>28575</xdr:rowOff>
              </from>
              <to>
                <xdr:col>1</xdr:col>
                <xdr:colOff>733425</xdr:colOff>
                <xdr:row>488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3" r:id="rId78" name="Button 89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501</xdr:row>
                <xdr:rowOff>28575</xdr:rowOff>
              </from>
              <to>
                <xdr:col>1</xdr:col>
                <xdr:colOff>733425</xdr:colOff>
                <xdr:row>502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4" r:id="rId79" name="Button 90">
          <controlPr defaultSize="0" print="0" autoFill="0" autoPict="0" macro="[0]!jumpToLeague_NALCS_Click" altText="League of Legends">
            <anchor moveWithCells="1" sizeWithCells="1">
              <from>
                <xdr:col>0</xdr:col>
                <xdr:colOff>28575</xdr:colOff>
                <xdr:row>501</xdr:row>
                <xdr:rowOff>28575</xdr:rowOff>
              </from>
              <to>
                <xdr:col>1</xdr:col>
                <xdr:colOff>733425</xdr:colOff>
                <xdr:row>502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5" r:id="rId80" name="Button 91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515</xdr:row>
                <xdr:rowOff>28575</xdr:rowOff>
              </from>
              <to>
                <xdr:col>1</xdr:col>
                <xdr:colOff>733425</xdr:colOff>
                <xdr:row>516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6" r:id="rId81" name="Button 92">
          <controlPr defaultSize="0" print="0" autoFill="0" autoPict="0" macro="[0]!jumpToLeague_NALCS_Click" altText="League of Legends">
            <anchor moveWithCells="1" sizeWithCells="1">
              <from>
                <xdr:col>0</xdr:col>
                <xdr:colOff>28575</xdr:colOff>
                <xdr:row>515</xdr:row>
                <xdr:rowOff>28575</xdr:rowOff>
              </from>
              <to>
                <xdr:col>1</xdr:col>
                <xdr:colOff>733425</xdr:colOff>
                <xdr:row>516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7" r:id="rId82" name="Button 93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529</xdr:row>
                <xdr:rowOff>28575</xdr:rowOff>
              </from>
              <to>
                <xdr:col>1</xdr:col>
                <xdr:colOff>733425</xdr:colOff>
                <xdr:row>530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8" r:id="rId83" name="Button 94">
          <controlPr defaultSize="0" print="0" autoFill="0" autoPict="0" macro="[0]!jumpToLeague_NALCS_Click" altText="League of Legends">
            <anchor moveWithCells="1" sizeWithCells="1">
              <from>
                <xdr:col>0</xdr:col>
                <xdr:colOff>28575</xdr:colOff>
                <xdr:row>529</xdr:row>
                <xdr:rowOff>28575</xdr:rowOff>
              </from>
              <to>
                <xdr:col>1</xdr:col>
                <xdr:colOff>733425</xdr:colOff>
                <xdr:row>530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9" r:id="rId84" name="Button 95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543</xdr:row>
                <xdr:rowOff>28575</xdr:rowOff>
              </from>
              <to>
                <xdr:col>1</xdr:col>
                <xdr:colOff>733425</xdr:colOff>
                <xdr:row>544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0" r:id="rId85" name="Button 96">
          <controlPr defaultSize="0" print="0" autoFill="0" autoPict="0" macro="[0]!jumpToLeague_NALCS_Click" altText="League of Legends">
            <anchor moveWithCells="1" sizeWithCells="1">
              <from>
                <xdr:col>0</xdr:col>
                <xdr:colOff>28575</xdr:colOff>
                <xdr:row>543</xdr:row>
                <xdr:rowOff>28575</xdr:rowOff>
              </from>
              <to>
                <xdr:col>1</xdr:col>
                <xdr:colOff>733425</xdr:colOff>
                <xdr:row>544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1" r:id="rId86" name="Button 97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557</xdr:row>
                <xdr:rowOff>28575</xdr:rowOff>
              </from>
              <to>
                <xdr:col>1</xdr:col>
                <xdr:colOff>733425</xdr:colOff>
                <xdr:row>558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2" r:id="rId87" name="Button 98">
          <controlPr defaultSize="0" print="0" autoFill="0" autoPict="0" macro="[0]!jumpToLeague_NALCS_Click" altText="League of Legends">
            <anchor moveWithCells="1" sizeWithCells="1">
              <from>
                <xdr:col>0</xdr:col>
                <xdr:colOff>28575</xdr:colOff>
                <xdr:row>557</xdr:row>
                <xdr:rowOff>28575</xdr:rowOff>
              </from>
              <to>
                <xdr:col>1</xdr:col>
                <xdr:colOff>733425</xdr:colOff>
                <xdr:row>558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3" r:id="rId88" name="Button 99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571</xdr:row>
                <xdr:rowOff>28575</xdr:rowOff>
              </from>
              <to>
                <xdr:col>1</xdr:col>
                <xdr:colOff>733425</xdr:colOff>
                <xdr:row>572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4" r:id="rId89" name="Button 100">
          <controlPr defaultSize="0" print="0" autoFill="0" autoPict="0" macro="[0]!jumpToLeague_NALCS_Click" altText="League of Legends">
            <anchor moveWithCells="1" sizeWithCells="1">
              <from>
                <xdr:col>0</xdr:col>
                <xdr:colOff>28575</xdr:colOff>
                <xdr:row>571</xdr:row>
                <xdr:rowOff>28575</xdr:rowOff>
              </from>
              <to>
                <xdr:col>1</xdr:col>
                <xdr:colOff>733425</xdr:colOff>
                <xdr:row>572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5" r:id="rId90" name="Button 101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585</xdr:row>
                <xdr:rowOff>28575</xdr:rowOff>
              </from>
              <to>
                <xdr:col>1</xdr:col>
                <xdr:colOff>733425</xdr:colOff>
                <xdr:row>586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" r:id="rId91" name="Button 102">
          <controlPr defaultSize="0" print="0" autoFill="0" autoPict="0" macro="[0]!jumpToLeague_NALCS_Click" altText="League of Legends">
            <anchor moveWithCells="1" sizeWithCells="1">
              <from>
                <xdr:col>0</xdr:col>
                <xdr:colOff>28575</xdr:colOff>
                <xdr:row>585</xdr:row>
                <xdr:rowOff>28575</xdr:rowOff>
              </from>
              <to>
                <xdr:col>1</xdr:col>
                <xdr:colOff>733425</xdr:colOff>
                <xdr:row>586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7" r:id="rId92" name="Button 6">
          <controlPr defaultSize="0" print="0" autoFill="0" autoPict="0" macro="[0]!jumpToLeague_LMS_Click" altText="League of Legends">
            <anchor moveWithCells="1" sizeWithCells="1">
              <from>
                <xdr:col>1</xdr:col>
                <xdr:colOff>104775</xdr:colOff>
                <xdr:row>55</xdr:row>
                <xdr:rowOff>142875</xdr:rowOff>
              </from>
              <to>
                <xdr:col>2</xdr:col>
                <xdr:colOff>647700</xdr:colOff>
                <xdr:row>57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8" r:id="rId93" name="Button 29">
          <controlPr defaultSize="0" print="0" autoFill="0" autoPict="0" macro="[0]!jumptToLeague_LMS_Week1_Click" altText="League of Legends">
            <anchor moveWithCells="1" sizeWithCells="1">
              <from>
                <xdr:col>1</xdr:col>
                <xdr:colOff>142875</xdr:colOff>
                <xdr:row>119</xdr:row>
                <xdr:rowOff>104775</xdr:rowOff>
              </from>
              <to>
                <xdr:col>3</xdr:col>
                <xdr:colOff>266700</xdr:colOff>
                <xdr:row>120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9" r:id="rId94" name="Button 30">
          <controlPr defaultSize="0" print="0" autoFill="0" autoPict="0" macro="[0]!jumptToLeague_LMS_Week2_Click" altText="League of Legends">
            <anchor moveWithCells="1" sizeWithCells="1">
              <from>
                <xdr:col>1</xdr:col>
                <xdr:colOff>142875</xdr:colOff>
                <xdr:row>121</xdr:row>
                <xdr:rowOff>104775</xdr:rowOff>
              </from>
              <to>
                <xdr:col>3</xdr:col>
                <xdr:colOff>266700</xdr:colOff>
                <xdr:row>122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0" r:id="rId95" name="Button 31">
          <controlPr defaultSize="0" print="0" autoFill="0" autoPict="0" macro="[0]!jumptToLeague_LMS_Week3_Click" altText="League of Legends">
            <anchor moveWithCells="1" sizeWithCells="1">
              <from>
                <xdr:col>1</xdr:col>
                <xdr:colOff>142875</xdr:colOff>
                <xdr:row>123</xdr:row>
                <xdr:rowOff>104775</xdr:rowOff>
              </from>
              <to>
                <xdr:col>3</xdr:col>
                <xdr:colOff>266700</xdr:colOff>
                <xdr:row>125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1" r:id="rId96" name="Button 32">
          <controlPr defaultSize="0" print="0" autoFill="0" autoPict="0" macro="[0]!jumptToLeague_LMS_Week4_Click" altText="League of Legends">
            <anchor moveWithCells="1" sizeWithCells="1">
              <from>
                <xdr:col>3</xdr:col>
                <xdr:colOff>371475</xdr:colOff>
                <xdr:row>119</xdr:row>
                <xdr:rowOff>104775</xdr:rowOff>
              </from>
              <to>
                <xdr:col>5</xdr:col>
                <xdr:colOff>228600</xdr:colOff>
                <xdr:row>120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2" r:id="rId97" name="Button 33">
          <controlPr defaultSize="0" print="0" autoFill="0" autoPict="0" macro="[0]!jumptToLeague_LMS_Week5_Click" altText="League of Legends">
            <anchor moveWithCells="1" sizeWithCells="1">
              <from>
                <xdr:col>3</xdr:col>
                <xdr:colOff>371475</xdr:colOff>
                <xdr:row>121</xdr:row>
                <xdr:rowOff>104775</xdr:rowOff>
              </from>
              <to>
                <xdr:col>5</xdr:col>
                <xdr:colOff>228600</xdr:colOff>
                <xdr:row>122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3" r:id="rId98" name="Button 34">
          <controlPr defaultSize="0" print="0" autoFill="0" autoPict="0" macro="[0]!jumptToLeague_LMS_Week6_Click" altText="League of Legends">
            <anchor moveWithCells="1" sizeWithCells="1">
              <from>
                <xdr:col>3</xdr:col>
                <xdr:colOff>371475</xdr:colOff>
                <xdr:row>123</xdr:row>
                <xdr:rowOff>104775</xdr:rowOff>
              </from>
              <to>
                <xdr:col>5</xdr:col>
                <xdr:colOff>228600</xdr:colOff>
                <xdr:row>125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4" r:id="rId99" name="Button 35">
          <controlPr defaultSize="0" print="0" autoFill="0" autoPict="0" macro="[0]!jumptToLeague_LMS_Week7_Click" altText="League of Legends">
            <anchor moveWithCells="1" sizeWithCells="1">
              <from>
                <xdr:col>5</xdr:col>
                <xdr:colOff>352425</xdr:colOff>
                <xdr:row>119</xdr:row>
                <xdr:rowOff>104775</xdr:rowOff>
              </from>
              <to>
                <xdr:col>8</xdr:col>
                <xdr:colOff>266700</xdr:colOff>
                <xdr:row>120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5" r:id="rId100" name="Button 36">
          <controlPr defaultSize="0" print="0" autoFill="0" autoPict="0" macro="[0]!jumptToLeague_LMS_Week8_Click" altText="League of Legends">
            <anchor moveWithCells="1" sizeWithCells="1">
              <from>
                <xdr:col>5</xdr:col>
                <xdr:colOff>352425</xdr:colOff>
                <xdr:row>121</xdr:row>
                <xdr:rowOff>104775</xdr:rowOff>
              </from>
              <to>
                <xdr:col>8</xdr:col>
                <xdr:colOff>266700</xdr:colOff>
                <xdr:row>122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6" r:id="rId101" name="Button 37">
          <controlPr defaultSize="0" print="0" autoFill="0" autoPict="0" macro="[0]!jumptToLeague_LMS_Week9_Click" altText="League of Legends">
            <anchor moveWithCells="1" sizeWithCells="1">
              <from>
                <xdr:col>5</xdr:col>
                <xdr:colOff>352425</xdr:colOff>
                <xdr:row>123</xdr:row>
                <xdr:rowOff>104775</xdr:rowOff>
              </from>
              <to>
                <xdr:col>8</xdr:col>
                <xdr:colOff>266700</xdr:colOff>
                <xdr:row>125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7" r:id="rId102" name="Button 38">
          <controlPr defaultSize="0" print="0" autoFill="0" autoPict="0" macro="[0]!jumptToLeague_LMS_Week10_Click" altText="League of Legends">
            <anchor moveWithCells="1" sizeWithCells="1">
              <from>
                <xdr:col>8</xdr:col>
                <xdr:colOff>371475</xdr:colOff>
                <xdr:row>119</xdr:row>
                <xdr:rowOff>104775</xdr:rowOff>
              </from>
              <to>
                <xdr:col>10</xdr:col>
                <xdr:colOff>276225</xdr:colOff>
                <xdr:row>121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8" r:id="rId103" name="Button 39">
          <controlPr defaultSize="0" print="0" autoFill="0" autoPict="0" macro="[0]!jumpToLeague_Click" altText="League of Legends">
            <anchor moveWithCells="1" sizeWithCells="1">
              <from>
                <xdr:col>9</xdr:col>
                <xdr:colOff>104775</xdr:colOff>
                <xdr:row>123</xdr:row>
                <xdr:rowOff>104775</xdr:rowOff>
              </from>
              <to>
                <xdr:col>10</xdr:col>
                <xdr:colOff>276225</xdr:colOff>
                <xdr:row>125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9" r:id="rId104" name="Button 115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615</xdr:row>
                <xdr:rowOff>28575</xdr:rowOff>
              </from>
              <to>
                <xdr:col>1</xdr:col>
                <xdr:colOff>733425</xdr:colOff>
                <xdr:row>616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0" r:id="rId105" name="Button 116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615</xdr:row>
                <xdr:rowOff>28575</xdr:rowOff>
              </from>
              <to>
                <xdr:col>1</xdr:col>
                <xdr:colOff>733425</xdr:colOff>
                <xdr:row>616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1" r:id="rId106" name="Button 85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629</xdr:row>
                <xdr:rowOff>28575</xdr:rowOff>
              </from>
              <to>
                <xdr:col>1</xdr:col>
                <xdr:colOff>733425</xdr:colOff>
                <xdr:row>630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2" r:id="rId107" name="Button 86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629</xdr:row>
                <xdr:rowOff>28575</xdr:rowOff>
              </from>
              <to>
                <xdr:col>1</xdr:col>
                <xdr:colOff>733425</xdr:colOff>
                <xdr:row>630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3" r:id="rId108" name="Button 87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643</xdr:row>
                <xdr:rowOff>28575</xdr:rowOff>
              </from>
              <to>
                <xdr:col>1</xdr:col>
                <xdr:colOff>733425</xdr:colOff>
                <xdr:row>644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4" r:id="rId109" name="Button 88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643</xdr:row>
                <xdr:rowOff>28575</xdr:rowOff>
              </from>
              <to>
                <xdr:col>1</xdr:col>
                <xdr:colOff>733425</xdr:colOff>
                <xdr:row>644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5" r:id="rId110" name="Button 89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657</xdr:row>
                <xdr:rowOff>28575</xdr:rowOff>
              </from>
              <to>
                <xdr:col>1</xdr:col>
                <xdr:colOff>733425</xdr:colOff>
                <xdr:row>658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6" r:id="rId111" name="Button 90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657</xdr:row>
                <xdr:rowOff>28575</xdr:rowOff>
              </from>
              <to>
                <xdr:col>1</xdr:col>
                <xdr:colOff>733425</xdr:colOff>
                <xdr:row>658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7" r:id="rId112" name="Button 91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671</xdr:row>
                <xdr:rowOff>28575</xdr:rowOff>
              </from>
              <to>
                <xdr:col>1</xdr:col>
                <xdr:colOff>733425</xdr:colOff>
                <xdr:row>672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8" r:id="rId113" name="Button 92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671</xdr:row>
                <xdr:rowOff>28575</xdr:rowOff>
              </from>
              <to>
                <xdr:col>1</xdr:col>
                <xdr:colOff>733425</xdr:colOff>
                <xdr:row>672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9" r:id="rId114" name="Button 93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685</xdr:row>
                <xdr:rowOff>28575</xdr:rowOff>
              </from>
              <to>
                <xdr:col>1</xdr:col>
                <xdr:colOff>733425</xdr:colOff>
                <xdr:row>686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0" r:id="rId115" name="Button 94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685</xdr:row>
                <xdr:rowOff>28575</xdr:rowOff>
              </from>
              <to>
                <xdr:col>1</xdr:col>
                <xdr:colOff>733425</xdr:colOff>
                <xdr:row>686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1" r:id="rId116" name="Button 95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699</xdr:row>
                <xdr:rowOff>28575</xdr:rowOff>
              </from>
              <to>
                <xdr:col>1</xdr:col>
                <xdr:colOff>733425</xdr:colOff>
                <xdr:row>700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2" r:id="rId117" name="Button 96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699</xdr:row>
                <xdr:rowOff>28575</xdr:rowOff>
              </from>
              <to>
                <xdr:col>1</xdr:col>
                <xdr:colOff>733425</xdr:colOff>
                <xdr:row>700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3" r:id="rId118" name="Button 97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713</xdr:row>
                <xdr:rowOff>28575</xdr:rowOff>
              </from>
              <to>
                <xdr:col>1</xdr:col>
                <xdr:colOff>733425</xdr:colOff>
                <xdr:row>714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4" r:id="rId119" name="Button 98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713</xdr:row>
                <xdr:rowOff>28575</xdr:rowOff>
              </from>
              <to>
                <xdr:col>1</xdr:col>
                <xdr:colOff>733425</xdr:colOff>
                <xdr:row>714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5" r:id="rId120" name="Button 99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727</xdr:row>
                <xdr:rowOff>28575</xdr:rowOff>
              </from>
              <to>
                <xdr:col>1</xdr:col>
                <xdr:colOff>733425</xdr:colOff>
                <xdr:row>728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6" r:id="rId121" name="Button 100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727</xdr:row>
                <xdr:rowOff>28575</xdr:rowOff>
              </from>
              <to>
                <xdr:col>1</xdr:col>
                <xdr:colOff>733425</xdr:colOff>
                <xdr:row>728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7" r:id="rId122" name="Button 101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741</xdr:row>
                <xdr:rowOff>28575</xdr:rowOff>
              </from>
              <to>
                <xdr:col>1</xdr:col>
                <xdr:colOff>733425</xdr:colOff>
                <xdr:row>742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8" r:id="rId123" name="Button 102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741</xdr:row>
                <xdr:rowOff>28575</xdr:rowOff>
              </from>
              <to>
                <xdr:col>1</xdr:col>
                <xdr:colOff>733425</xdr:colOff>
                <xdr:row>742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9" r:id="rId124" name="Schaltfläche 51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781</xdr:row>
                <xdr:rowOff>28575</xdr:rowOff>
              </from>
              <to>
                <xdr:col>1</xdr:col>
                <xdr:colOff>733425</xdr:colOff>
                <xdr:row>782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0" r:id="rId125" name="Button 101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781</xdr:row>
                <xdr:rowOff>28575</xdr:rowOff>
              </from>
              <to>
                <xdr:col>1</xdr:col>
                <xdr:colOff>733425</xdr:colOff>
                <xdr:row>782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1" r:id="rId126" name="Button 102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781</xdr:row>
                <xdr:rowOff>28575</xdr:rowOff>
              </from>
              <to>
                <xdr:col>1</xdr:col>
                <xdr:colOff>733425</xdr:colOff>
                <xdr:row>782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2" r:id="rId127" name="Button 4">
          <controlPr defaultSize="0" print="0" autoFill="0" autoPict="0" macro="[0]!jumpToRiftWars_Click" altText="League of Legends">
            <anchor moveWithCells="1" sizeWithCells="1">
              <from>
                <xdr:col>3</xdr:col>
                <xdr:colOff>104775</xdr:colOff>
                <xdr:row>49</xdr:row>
                <xdr:rowOff>114300</xdr:rowOff>
              </from>
              <to>
                <xdr:col>3</xdr:col>
                <xdr:colOff>1628775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3" r:id="rId128" name="Schaltfläche 51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792</xdr:row>
                <xdr:rowOff>28575</xdr:rowOff>
              </from>
              <to>
                <xdr:col>1</xdr:col>
                <xdr:colOff>733425</xdr:colOff>
                <xdr:row>793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4" r:id="rId129" name="Button 101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792</xdr:row>
                <xdr:rowOff>28575</xdr:rowOff>
              </from>
              <to>
                <xdr:col>1</xdr:col>
                <xdr:colOff>733425</xdr:colOff>
                <xdr:row>793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5" r:id="rId130" name="Button 102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792</xdr:row>
                <xdr:rowOff>28575</xdr:rowOff>
              </from>
              <to>
                <xdr:col>1</xdr:col>
                <xdr:colOff>733425</xdr:colOff>
                <xdr:row>793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7" r:id="rId131" name="Button 52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147</xdr:row>
                <xdr:rowOff>28575</xdr:rowOff>
              </from>
              <to>
                <xdr:col>1</xdr:col>
                <xdr:colOff>733425</xdr:colOff>
                <xdr:row>148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8" r:id="rId132" name="Button 63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303</xdr:row>
                <xdr:rowOff>28575</xdr:rowOff>
              </from>
              <to>
                <xdr:col>1</xdr:col>
                <xdr:colOff>733425</xdr:colOff>
                <xdr:row>304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9" r:id="rId133" name="Button 145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303</xdr:row>
                <xdr:rowOff>28575</xdr:rowOff>
              </from>
              <to>
                <xdr:col>1</xdr:col>
                <xdr:colOff>733425</xdr:colOff>
                <xdr:row>304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0" r:id="rId134" name="Button 146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303</xdr:row>
                <xdr:rowOff>28575</xdr:rowOff>
              </from>
              <to>
                <xdr:col>1</xdr:col>
                <xdr:colOff>733425</xdr:colOff>
                <xdr:row>304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1" r:id="rId135" name="Schaltfläche 1">
          <controlPr defaultSize="0" print="0" autoFill="0" autoPict="0" macro="[0]!jumpToLeague_Click" altText="League of Legends">
            <anchor moveWithCells="1" sizeWithCells="1">
              <from>
                <xdr:col>2</xdr:col>
                <xdr:colOff>19050</xdr:colOff>
                <xdr:row>0</xdr:row>
                <xdr:rowOff>38100</xdr:rowOff>
              </from>
              <to>
                <xdr:col>3</xdr:col>
                <xdr:colOff>1419225</xdr:colOff>
                <xdr:row>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4" r:id="rId136" name="Schaltfläche 10">
          <controlPr defaultSize="0" print="0" autoFill="0" autoPict="0" macro="[0]!jumptToLeague_LCK_Week4_Click" altText="League of Legends">
            <anchor moveWithCells="1" sizeWithCells="1">
              <from>
                <xdr:col>3</xdr:col>
                <xdr:colOff>371475</xdr:colOff>
                <xdr:row>74</xdr:row>
                <xdr:rowOff>104775</xdr:rowOff>
              </from>
              <to>
                <xdr:col>5</xdr:col>
                <xdr:colOff>228600</xdr:colOff>
                <xdr:row>75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5" r:id="rId137" name="Schaltfläche 11">
          <controlPr defaultSize="0" print="0" autoFill="0" autoPict="0" macro="[0]!jumptToLeague_LCK_Week5_Click" altText="League of Legends">
            <anchor moveWithCells="1" sizeWithCells="1">
              <from>
                <xdr:col>3</xdr:col>
                <xdr:colOff>371475</xdr:colOff>
                <xdr:row>76</xdr:row>
                <xdr:rowOff>104775</xdr:rowOff>
              </from>
              <to>
                <xdr:col>5</xdr:col>
                <xdr:colOff>228600</xdr:colOff>
                <xdr:row>77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6" r:id="rId138" name="Schaltfläche 12">
          <controlPr defaultSize="0" print="0" autoFill="0" autoPict="0" macro="[0]!jumptToLeague_LCK_Week6_Click" altText="League of Legends">
            <anchor moveWithCells="1" sizeWithCells="1">
              <from>
                <xdr:col>3</xdr:col>
                <xdr:colOff>371475</xdr:colOff>
                <xdr:row>78</xdr:row>
                <xdr:rowOff>104775</xdr:rowOff>
              </from>
              <to>
                <xdr:col>5</xdr:col>
                <xdr:colOff>228600</xdr:colOff>
                <xdr:row>80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7" r:id="rId139" name="Button 21">
          <controlPr defaultSize="0" print="0" autoFill="0" autoPict="0" macro="[0]!jumptToLeague_EULCS_Week4_Click" altText="League of Legends">
            <anchor moveWithCells="1" sizeWithCells="1">
              <from>
                <xdr:col>3</xdr:col>
                <xdr:colOff>371475</xdr:colOff>
                <xdr:row>89</xdr:row>
                <xdr:rowOff>104775</xdr:rowOff>
              </from>
              <to>
                <xdr:col>5</xdr:col>
                <xdr:colOff>228600</xdr:colOff>
                <xdr:row>90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8" r:id="rId140" name="Button 22">
          <controlPr defaultSize="0" print="0" autoFill="0" autoPict="0" macro="[0]!jumptToLeague_EULCS_Week5_Click" altText="League of Legends">
            <anchor moveWithCells="1" sizeWithCells="1">
              <from>
                <xdr:col>3</xdr:col>
                <xdr:colOff>371475</xdr:colOff>
                <xdr:row>91</xdr:row>
                <xdr:rowOff>104775</xdr:rowOff>
              </from>
              <to>
                <xdr:col>5</xdr:col>
                <xdr:colOff>228600</xdr:colOff>
                <xdr:row>92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9" r:id="rId141" name="Button 23">
          <controlPr defaultSize="0" print="0" autoFill="0" autoPict="0" macro="[0]!jumptToLeague_EULCS_Week6_Click" altText="League of Legends">
            <anchor moveWithCells="1" sizeWithCells="1">
              <from>
                <xdr:col>3</xdr:col>
                <xdr:colOff>371475</xdr:colOff>
                <xdr:row>93</xdr:row>
                <xdr:rowOff>104775</xdr:rowOff>
              </from>
              <to>
                <xdr:col>5</xdr:col>
                <xdr:colOff>228600</xdr:colOff>
                <xdr:row>95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0" r:id="rId142" name="Button 32">
          <controlPr defaultSize="0" print="0" autoFill="0" autoPict="0" macro="[0]!jumptToLeague_NALCS_Week4_Click" altText="League of Legends">
            <anchor moveWithCells="1" sizeWithCells="1">
              <from>
                <xdr:col>3</xdr:col>
                <xdr:colOff>371475</xdr:colOff>
                <xdr:row>104</xdr:row>
                <xdr:rowOff>104775</xdr:rowOff>
              </from>
              <to>
                <xdr:col>5</xdr:col>
                <xdr:colOff>228600</xdr:colOff>
                <xdr:row>105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1" r:id="rId143" name="Button 33">
          <controlPr defaultSize="0" print="0" autoFill="0" autoPict="0" macro="[0]!jumptToLeague_NALCS_Week5_Click" altText="League of Legends">
            <anchor moveWithCells="1" sizeWithCells="1">
              <from>
                <xdr:col>3</xdr:col>
                <xdr:colOff>371475</xdr:colOff>
                <xdr:row>106</xdr:row>
                <xdr:rowOff>104775</xdr:rowOff>
              </from>
              <to>
                <xdr:col>5</xdr:col>
                <xdr:colOff>228600</xdr:colOff>
                <xdr:row>107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2" r:id="rId144" name="Button 34">
          <controlPr defaultSize="0" print="0" autoFill="0" autoPict="0" macro="[0]!jumptToLeague_NALCS_Week6_Click" altText="League of Legends">
            <anchor moveWithCells="1" sizeWithCells="1">
              <from>
                <xdr:col>3</xdr:col>
                <xdr:colOff>371475</xdr:colOff>
                <xdr:row>108</xdr:row>
                <xdr:rowOff>104775</xdr:rowOff>
              </from>
              <to>
                <xdr:col>5</xdr:col>
                <xdr:colOff>228600</xdr:colOff>
                <xdr:row>110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3" r:id="rId145" name="Button 159">
          <controlPr defaultSize="0" print="0" autoFill="0" autoPict="0" macro="[0]!jumptToLeague_LMS_Week4_Click" altText="League of Legends">
            <anchor moveWithCells="1" sizeWithCells="1">
              <from>
                <xdr:col>3</xdr:col>
                <xdr:colOff>371475</xdr:colOff>
                <xdr:row>119</xdr:row>
                <xdr:rowOff>104775</xdr:rowOff>
              </from>
              <to>
                <xdr:col>5</xdr:col>
                <xdr:colOff>228600</xdr:colOff>
                <xdr:row>120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4" r:id="rId146" name="Button 160">
          <controlPr defaultSize="0" print="0" autoFill="0" autoPict="0" macro="[0]!jumptToLeague_LMS_Week5_Click" altText="League of Legends">
            <anchor moveWithCells="1" sizeWithCells="1">
              <from>
                <xdr:col>3</xdr:col>
                <xdr:colOff>371475</xdr:colOff>
                <xdr:row>121</xdr:row>
                <xdr:rowOff>104775</xdr:rowOff>
              </from>
              <to>
                <xdr:col>5</xdr:col>
                <xdr:colOff>228600</xdr:colOff>
                <xdr:row>122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5" r:id="rId147" name="Button 161">
          <controlPr defaultSize="0" print="0" autoFill="0" autoPict="0" macro="[0]!jumptToLeague_LMS_Week6_Click" altText="League of Legends">
            <anchor moveWithCells="1" sizeWithCells="1">
              <from>
                <xdr:col>3</xdr:col>
                <xdr:colOff>371475</xdr:colOff>
                <xdr:row>123</xdr:row>
                <xdr:rowOff>104775</xdr:rowOff>
              </from>
              <to>
                <xdr:col>5</xdr:col>
                <xdr:colOff>228600</xdr:colOff>
                <xdr:row>125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6" r:id="rId148" name="Button 162">
          <controlPr defaultSize="0" print="0" autoFill="0" autoPict="0" macro="[0]!jumpToRiftWars_Click" altText="League of Legends">
            <anchor moveWithCells="1" sizeWithCells="1">
              <from>
                <xdr:col>3</xdr:col>
                <xdr:colOff>104775</xdr:colOff>
                <xdr:row>49</xdr:row>
                <xdr:rowOff>114300</xdr:rowOff>
              </from>
              <to>
                <xdr:col>3</xdr:col>
                <xdr:colOff>1628775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7" r:id="rId149" name="Schaltfläche 163">
          <controlPr defaultSize="0" print="0" autoFill="0" autoPict="0" macro="[0]!Write_teams">
            <anchor moveWithCells="1" sizeWithCells="1">
              <from>
                <xdr:col>2</xdr:col>
                <xdr:colOff>28575</xdr:colOff>
                <xdr:row>4</xdr:row>
                <xdr:rowOff>28575</xdr:rowOff>
              </from>
              <to>
                <xdr:col>3</xdr:col>
                <xdr:colOff>1419225</xdr:colOff>
                <xdr:row>5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8" r:id="rId150" name="Schaltfläche 164">
          <controlPr defaultSize="0" print="0" autoFill="0" autoPict="0" macro="[0]!Import_Percentages">
            <anchor moveWithCells="1" sizeWithCells="1">
              <from>
                <xdr:col>2</xdr:col>
                <xdr:colOff>28575</xdr:colOff>
                <xdr:row>7</xdr:row>
                <xdr:rowOff>114300</xdr:rowOff>
              </from>
              <to>
                <xdr:col>3</xdr:col>
                <xdr:colOff>142875</xdr:colOff>
                <xdr:row>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9" r:id="rId151" name="Schaltfläche 165">
          <controlPr defaultSize="0" print="0" autoFill="0" autoPict="0" macro="[0]!Delete_Percentages" altText="Clear Win%">
            <anchor moveWithCells="1" sizeWithCells="1">
              <from>
                <xdr:col>2</xdr:col>
                <xdr:colOff>28575</xdr:colOff>
                <xdr:row>5</xdr:row>
                <xdr:rowOff>161925</xdr:rowOff>
              </from>
              <to>
                <xdr:col>3</xdr:col>
                <xdr:colOff>142875</xdr:colOff>
                <xdr:row>7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90" r:id="rId152" name="Button 166">
          <controlPr defaultSize="0" print="0" autoFill="0" autoPict="0" macro="[0]!Import_Percentages_Weekly">
            <anchor moveWithCells="1" sizeWithCells="1">
              <from>
                <xdr:col>3</xdr:col>
                <xdr:colOff>180975</xdr:colOff>
                <xdr:row>7</xdr:row>
                <xdr:rowOff>114300</xdr:rowOff>
              </from>
              <to>
                <xdr:col>3</xdr:col>
                <xdr:colOff>1428750</xdr:colOff>
                <xdr:row>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95" r:id="rId153" name="Schaltfläche 165">
          <controlPr defaultSize="0" print="0" autoFill="0" autoPict="0" macro="[0]!Delete_Weekly_Table" altText="Clear Win%">
            <anchor moveWithCells="1" sizeWithCells="1">
              <from>
                <xdr:col>3</xdr:col>
                <xdr:colOff>180975</xdr:colOff>
                <xdr:row>5</xdr:row>
                <xdr:rowOff>161925</xdr:rowOff>
              </from>
              <to>
                <xdr:col>3</xdr:col>
                <xdr:colOff>1419225</xdr:colOff>
                <xdr:row>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</vt:i4>
      </vt:variant>
    </vt:vector>
  </HeadingPairs>
  <TitlesOfParts>
    <vt:vector size="2" baseType="lpstr">
      <vt:lpstr>Übersicht</vt:lpstr>
      <vt:lpstr>UpdateRange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Ougagagoubu</dc:creator>
  <cp:lastModifiedBy>Ougagagoubu</cp:lastModifiedBy>
  <dcterms:created xsi:type="dcterms:W3CDTF">2017-05-31T13:55:13Z</dcterms:created>
  <dcterms:modified xsi:type="dcterms:W3CDTF">2018-06-21T20:56:55Z</dcterms:modified>
</cp:coreProperties>
</file>