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ugagagoubu\Dropbox\LOL\Spring Split 2018\Modell\BaiMuT_3.0\Monogoto-no-Thor-master\"/>
    </mc:Choice>
  </mc:AlternateContent>
  <xr:revisionPtr revIDLastSave="0" documentId="13_ncr:1_{DE70DD1E-DA30-4093-B815-41B6596A7F47}" xr6:coauthVersionLast="33" xr6:coauthVersionMax="33" xr10:uidLastSave="{00000000-0000-0000-0000-000000000000}"/>
  <bookViews>
    <workbookView xWindow="255" yWindow="465" windowWidth="28725" windowHeight="17535" xr2:uid="{00000000-000D-0000-FFFF-FFFF00000000}"/>
  </bookViews>
  <sheets>
    <sheet name="Übersicht" sheetId="1" r:id="rId1"/>
  </sheets>
  <functionGroups builtInGroupCount="19"/>
  <definedNames>
    <definedName name="UpdateRange">Übersicht!$P$159:$P$596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1" l="1"/>
  <c r="I596" i="1"/>
  <c r="K596" i="1"/>
  <c r="L596" i="1"/>
  <c r="R596" i="1"/>
  <c r="I595" i="1"/>
  <c r="K595" i="1"/>
  <c r="L595" i="1"/>
  <c r="R595" i="1"/>
  <c r="I594" i="1"/>
  <c r="K594" i="1"/>
  <c r="L594" i="1"/>
  <c r="R594" i="1"/>
  <c r="I593" i="1"/>
  <c r="K593" i="1"/>
  <c r="L593" i="1"/>
  <c r="R593" i="1"/>
  <c r="I592" i="1"/>
  <c r="K592" i="1"/>
  <c r="L592" i="1"/>
  <c r="R592" i="1"/>
  <c r="I591" i="1"/>
  <c r="K591" i="1"/>
  <c r="L591" i="1"/>
  <c r="R591" i="1"/>
  <c r="I590" i="1"/>
  <c r="K590" i="1"/>
  <c r="L590" i="1"/>
  <c r="R590" i="1"/>
  <c r="I589" i="1"/>
  <c r="K589" i="1"/>
  <c r="L589" i="1"/>
  <c r="R589" i="1"/>
  <c r="I588" i="1"/>
  <c r="K588" i="1"/>
  <c r="L588" i="1"/>
  <c r="R588" i="1"/>
  <c r="I587" i="1"/>
  <c r="K587" i="1"/>
  <c r="L587" i="1"/>
  <c r="R587" i="1"/>
  <c r="I582" i="1"/>
  <c r="F582" i="1"/>
  <c r="J582" i="1"/>
  <c r="K582" i="1"/>
  <c r="L582" i="1"/>
  <c r="M582" i="1"/>
  <c r="R582" i="1"/>
  <c r="I581" i="1"/>
  <c r="F581" i="1"/>
  <c r="J581" i="1"/>
  <c r="K581" i="1"/>
  <c r="L581" i="1"/>
  <c r="M581" i="1"/>
  <c r="R581" i="1"/>
  <c r="I580" i="1"/>
  <c r="F580" i="1"/>
  <c r="J580" i="1"/>
  <c r="K580" i="1"/>
  <c r="L580" i="1"/>
  <c r="M580" i="1"/>
  <c r="R580" i="1"/>
  <c r="I579" i="1"/>
  <c r="F579" i="1"/>
  <c r="J579" i="1"/>
  <c r="K579" i="1"/>
  <c r="L579" i="1"/>
  <c r="M579" i="1"/>
  <c r="R579" i="1"/>
  <c r="I578" i="1"/>
  <c r="F578" i="1"/>
  <c r="J578" i="1"/>
  <c r="K578" i="1"/>
  <c r="L578" i="1"/>
  <c r="M578" i="1"/>
  <c r="R578" i="1"/>
  <c r="I577" i="1"/>
  <c r="F577" i="1"/>
  <c r="J577" i="1"/>
  <c r="K577" i="1"/>
  <c r="L577" i="1"/>
  <c r="M577" i="1"/>
  <c r="R577" i="1"/>
  <c r="I576" i="1"/>
  <c r="F576" i="1"/>
  <c r="J576" i="1"/>
  <c r="K576" i="1"/>
  <c r="L576" i="1"/>
  <c r="M576" i="1"/>
  <c r="R576" i="1"/>
  <c r="I575" i="1"/>
  <c r="F575" i="1"/>
  <c r="J575" i="1"/>
  <c r="K575" i="1"/>
  <c r="L575" i="1"/>
  <c r="M575" i="1"/>
  <c r="R575" i="1"/>
  <c r="I574" i="1"/>
  <c r="F574" i="1"/>
  <c r="J574" i="1"/>
  <c r="K574" i="1"/>
  <c r="L574" i="1"/>
  <c r="M574" i="1"/>
  <c r="R574" i="1"/>
  <c r="I573" i="1"/>
  <c r="F573" i="1"/>
  <c r="J573" i="1"/>
  <c r="K573" i="1"/>
  <c r="L573" i="1"/>
  <c r="M573" i="1"/>
  <c r="R573" i="1"/>
  <c r="I568" i="1"/>
  <c r="F568" i="1"/>
  <c r="J568" i="1"/>
  <c r="K568" i="1"/>
  <c r="L568" i="1"/>
  <c r="M568" i="1"/>
  <c r="R568" i="1"/>
  <c r="I567" i="1"/>
  <c r="F567" i="1"/>
  <c r="J567" i="1"/>
  <c r="K567" i="1"/>
  <c r="L567" i="1"/>
  <c r="M567" i="1"/>
  <c r="R567" i="1"/>
  <c r="I566" i="1"/>
  <c r="F566" i="1"/>
  <c r="J566" i="1"/>
  <c r="K566" i="1"/>
  <c r="L566" i="1"/>
  <c r="M566" i="1"/>
  <c r="R566" i="1"/>
  <c r="I565" i="1"/>
  <c r="F565" i="1"/>
  <c r="J565" i="1"/>
  <c r="K565" i="1"/>
  <c r="L565" i="1"/>
  <c r="M565" i="1"/>
  <c r="R565" i="1"/>
  <c r="I564" i="1"/>
  <c r="F564" i="1"/>
  <c r="J564" i="1"/>
  <c r="K564" i="1"/>
  <c r="L564" i="1"/>
  <c r="M564" i="1"/>
  <c r="R564" i="1"/>
  <c r="I563" i="1"/>
  <c r="F563" i="1"/>
  <c r="J563" i="1"/>
  <c r="K563" i="1"/>
  <c r="L563" i="1"/>
  <c r="M563" i="1"/>
  <c r="R563" i="1"/>
  <c r="I562" i="1"/>
  <c r="F562" i="1"/>
  <c r="J562" i="1"/>
  <c r="K562" i="1"/>
  <c r="L562" i="1"/>
  <c r="M562" i="1"/>
  <c r="R562" i="1"/>
  <c r="I561" i="1"/>
  <c r="F561" i="1"/>
  <c r="J561" i="1"/>
  <c r="K561" i="1"/>
  <c r="L561" i="1"/>
  <c r="M561" i="1"/>
  <c r="R561" i="1"/>
  <c r="I560" i="1"/>
  <c r="F560" i="1"/>
  <c r="J560" i="1"/>
  <c r="K560" i="1"/>
  <c r="L560" i="1"/>
  <c r="M560" i="1"/>
  <c r="R560" i="1"/>
  <c r="I559" i="1"/>
  <c r="F559" i="1"/>
  <c r="J559" i="1"/>
  <c r="K559" i="1"/>
  <c r="L559" i="1"/>
  <c r="M559" i="1"/>
  <c r="R559" i="1"/>
  <c r="I554" i="1"/>
  <c r="F554" i="1"/>
  <c r="J554" i="1"/>
  <c r="K554" i="1"/>
  <c r="L554" i="1"/>
  <c r="M554" i="1"/>
  <c r="R554" i="1"/>
  <c r="I553" i="1"/>
  <c r="F553" i="1"/>
  <c r="J553" i="1"/>
  <c r="K553" i="1"/>
  <c r="L553" i="1"/>
  <c r="M553" i="1"/>
  <c r="R553" i="1"/>
  <c r="I552" i="1"/>
  <c r="F552" i="1"/>
  <c r="J552" i="1"/>
  <c r="K552" i="1"/>
  <c r="L552" i="1"/>
  <c r="M552" i="1"/>
  <c r="R552" i="1"/>
  <c r="I551" i="1"/>
  <c r="F551" i="1"/>
  <c r="J551" i="1"/>
  <c r="K551" i="1"/>
  <c r="L551" i="1"/>
  <c r="M551" i="1"/>
  <c r="R551" i="1"/>
  <c r="I550" i="1"/>
  <c r="F550" i="1"/>
  <c r="J550" i="1"/>
  <c r="K550" i="1"/>
  <c r="L550" i="1"/>
  <c r="M550" i="1"/>
  <c r="R550" i="1"/>
  <c r="I549" i="1"/>
  <c r="F549" i="1"/>
  <c r="J549" i="1"/>
  <c r="K549" i="1"/>
  <c r="L549" i="1"/>
  <c r="M549" i="1"/>
  <c r="R549" i="1"/>
  <c r="I548" i="1"/>
  <c r="F548" i="1"/>
  <c r="J548" i="1"/>
  <c r="K548" i="1"/>
  <c r="L548" i="1"/>
  <c r="M548" i="1"/>
  <c r="R548" i="1"/>
  <c r="I547" i="1"/>
  <c r="F547" i="1"/>
  <c r="J547" i="1"/>
  <c r="K547" i="1"/>
  <c r="L547" i="1"/>
  <c r="M547" i="1"/>
  <c r="R547" i="1"/>
  <c r="I546" i="1"/>
  <c r="F546" i="1"/>
  <c r="J546" i="1"/>
  <c r="K546" i="1"/>
  <c r="L546" i="1"/>
  <c r="M546" i="1"/>
  <c r="R546" i="1"/>
  <c r="I545" i="1"/>
  <c r="F545" i="1"/>
  <c r="J545" i="1"/>
  <c r="K545" i="1"/>
  <c r="L545" i="1"/>
  <c r="M545" i="1"/>
  <c r="R545" i="1"/>
  <c r="I540" i="1"/>
  <c r="F540" i="1"/>
  <c r="J540" i="1"/>
  <c r="K540" i="1"/>
  <c r="L540" i="1"/>
  <c r="M540" i="1"/>
  <c r="R540" i="1"/>
  <c r="I539" i="1"/>
  <c r="F539" i="1"/>
  <c r="J539" i="1"/>
  <c r="K539" i="1"/>
  <c r="L539" i="1"/>
  <c r="M539" i="1"/>
  <c r="R539" i="1"/>
  <c r="I538" i="1"/>
  <c r="F538" i="1"/>
  <c r="J538" i="1"/>
  <c r="K538" i="1"/>
  <c r="L538" i="1"/>
  <c r="M538" i="1"/>
  <c r="R538" i="1"/>
  <c r="I537" i="1"/>
  <c r="F537" i="1"/>
  <c r="J537" i="1"/>
  <c r="K537" i="1"/>
  <c r="L537" i="1"/>
  <c r="M537" i="1"/>
  <c r="R537" i="1"/>
  <c r="I536" i="1"/>
  <c r="F536" i="1"/>
  <c r="J536" i="1"/>
  <c r="K536" i="1"/>
  <c r="L536" i="1"/>
  <c r="M536" i="1"/>
  <c r="R536" i="1"/>
  <c r="I535" i="1"/>
  <c r="F535" i="1"/>
  <c r="J535" i="1"/>
  <c r="K535" i="1"/>
  <c r="L535" i="1"/>
  <c r="M535" i="1"/>
  <c r="R535" i="1"/>
  <c r="I534" i="1"/>
  <c r="F534" i="1"/>
  <c r="J534" i="1"/>
  <c r="K534" i="1"/>
  <c r="L534" i="1"/>
  <c r="M534" i="1"/>
  <c r="R534" i="1"/>
  <c r="I533" i="1"/>
  <c r="F533" i="1"/>
  <c r="J533" i="1"/>
  <c r="K533" i="1"/>
  <c r="L533" i="1"/>
  <c r="M533" i="1"/>
  <c r="R533" i="1"/>
  <c r="I532" i="1"/>
  <c r="F532" i="1"/>
  <c r="J532" i="1"/>
  <c r="K532" i="1"/>
  <c r="L532" i="1"/>
  <c r="M532" i="1"/>
  <c r="R532" i="1"/>
  <c r="I531" i="1"/>
  <c r="F531" i="1"/>
  <c r="J531" i="1"/>
  <c r="K531" i="1"/>
  <c r="L531" i="1"/>
  <c r="M531" i="1"/>
  <c r="R531" i="1"/>
  <c r="I526" i="1"/>
  <c r="F526" i="1"/>
  <c r="J526" i="1"/>
  <c r="K526" i="1"/>
  <c r="L526" i="1"/>
  <c r="M526" i="1"/>
  <c r="R526" i="1"/>
  <c r="I525" i="1"/>
  <c r="F525" i="1"/>
  <c r="J525" i="1"/>
  <c r="K525" i="1"/>
  <c r="L525" i="1"/>
  <c r="M525" i="1"/>
  <c r="R525" i="1"/>
  <c r="I524" i="1"/>
  <c r="F524" i="1"/>
  <c r="J524" i="1"/>
  <c r="K524" i="1"/>
  <c r="L524" i="1"/>
  <c r="M524" i="1"/>
  <c r="R524" i="1"/>
  <c r="I523" i="1"/>
  <c r="F523" i="1"/>
  <c r="J523" i="1"/>
  <c r="K523" i="1"/>
  <c r="L523" i="1"/>
  <c r="M523" i="1"/>
  <c r="R523" i="1"/>
  <c r="I522" i="1"/>
  <c r="F522" i="1"/>
  <c r="J522" i="1"/>
  <c r="K522" i="1"/>
  <c r="L522" i="1"/>
  <c r="M522" i="1"/>
  <c r="R522" i="1"/>
  <c r="I521" i="1"/>
  <c r="F521" i="1"/>
  <c r="J521" i="1"/>
  <c r="K521" i="1"/>
  <c r="L521" i="1"/>
  <c r="M521" i="1"/>
  <c r="R521" i="1"/>
  <c r="I520" i="1"/>
  <c r="F520" i="1"/>
  <c r="J520" i="1"/>
  <c r="K520" i="1"/>
  <c r="L520" i="1"/>
  <c r="M520" i="1"/>
  <c r="R520" i="1"/>
  <c r="I519" i="1"/>
  <c r="F519" i="1"/>
  <c r="J519" i="1"/>
  <c r="K519" i="1"/>
  <c r="L519" i="1"/>
  <c r="M519" i="1"/>
  <c r="R519" i="1"/>
  <c r="I518" i="1"/>
  <c r="F518" i="1"/>
  <c r="J518" i="1"/>
  <c r="K518" i="1"/>
  <c r="L518" i="1"/>
  <c r="M518" i="1"/>
  <c r="R518" i="1"/>
  <c r="I517" i="1"/>
  <c r="F517" i="1"/>
  <c r="J517" i="1"/>
  <c r="K517" i="1"/>
  <c r="L517" i="1"/>
  <c r="M517" i="1"/>
  <c r="R517" i="1"/>
  <c r="I512" i="1"/>
  <c r="F512" i="1"/>
  <c r="J512" i="1"/>
  <c r="K512" i="1"/>
  <c r="L512" i="1"/>
  <c r="M512" i="1"/>
  <c r="R512" i="1"/>
  <c r="I511" i="1"/>
  <c r="F511" i="1"/>
  <c r="J511" i="1"/>
  <c r="K511" i="1"/>
  <c r="L511" i="1"/>
  <c r="M511" i="1"/>
  <c r="R511" i="1"/>
  <c r="I510" i="1"/>
  <c r="F510" i="1"/>
  <c r="J510" i="1"/>
  <c r="K510" i="1"/>
  <c r="L510" i="1"/>
  <c r="M510" i="1"/>
  <c r="R510" i="1"/>
  <c r="I509" i="1"/>
  <c r="F509" i="1"/>
  <c r="J509" i="1"/>
  <c r="K509" i="1"/>
  <c r="L509" i="1"/>
  <c r="M509" i="1"/>
  <c r="R509" i="1"/>
  <c r="I508" i="1"/>
  <c r="F508" i="1"/>
  <c r="J508" i="1"/>
  <c r="K508" i="1"/>
  <c r="L508" i="1"/>
  <c r="M508" i="1"/>
  <c r="R508" i="1"/>
  <c r="I507" i="1"/>
  <c r="F507" i="1"/>
  <c r="J507" i="1"/>
  <c r="K507" i="1"/>
  <c r="L507" i="1"/>
  <c r="M507" i="1"/>
  <c r="R507" i="1"/>
  <c r="I506" i="1"/>
  <c r="F506" i="1"/>
  <c r="J506" i="1"/>
  <c r="K506" i="1"/>
  <c r="L506" i="1"/>
  <c r="M506" i="1"/>
  <c r="R506" i="1"/>
  <c r="I505" i="1"/>
  <c r="F505" i="1"/>
  <c r="J505" i="1"/>
  <c r="K505" i="1"/>
  <c r="L505" i="1"/>
  <c r="M505" i="1"/>
  <c r="R505" i="1"/>
  <c r="I504" i="1"/>
  <c r="F504" i="1"/>
  <c r="J504" i="1"/>
  <c r="K504" i="1"/>
  <c r="L504" i="1"/>
  <c r="M504" i="1"/>
  <c r="R504" i="1"/>
  <c r="I503" i="1"/>
  <c r="F503" i="1"/>
  <c r="J503" i="1"/>
  <c r="K503" i="1"/>
  <c r="L503" i="1"/>
  <c r="M503" i="1"/>
  <c r="R503" i="1"/>
  <c r="I498" i="1"/>
  <c r="K498" i="1"/>
  <c r="L498" i="1"/>
  <c r="R498" i="1"/>
  <c r="I497" i="1"/>
  <c r="K497" i="1"/>
  <c r="L497" i="1"/>
  <c r="R497" i="1"/>
  <c r="I496" i="1"/>
  <c r="K496" i="1"/>
  <c r="L496" i="1"/>
  <c r="R496" i="1"/>
  <c r="I495" i="1"/>
  <c r="K495" i="1"/>
  <c r="L495" i="1"/>
  <c r="R495" i="1"/>
  <c r="I494" i="1"/>
  <c r="K494" i="1"/>
  <c r="L494" i="1"/>
  <c r="R494" i="1"/>
  <c r="I493" i="1"/>
  <c r="K493" i="1"/>
  <c r="L493" i="1"/>
  <c r="R493" i="1"/>
  <c r="I492" i="1"/>
  <c r="K492" i="1"/>
  <c r="L492" i="1"/>
  <c r="R492" i="1"/>
  <c r="I491" i="1"/>
  <c r="K491" i="1"/>
  <c r="L491" i="1"/>
  <c r="R491" i="1"/>
  <c r="I490" i="1"/>
  <c r="K490" i="1"/>
  <c r="L490" i="1"/>
  <c r="R490" i="1"/>
  <c r="I489" i="1"/>
  <c r="K489" i="1"/>
  <c r="L489" i="1"/>
  <c r="R489" i="1"/>
  <c r="I484" i="1"/>
  <c r="F484" i="1"/>
  <c r="J484" i="1"/>
  <c r="K484" i="1"/>
  <c r="L484" i="1"/>
  <c r="M484" i="1"/>
  <c r="R484" i="1"/>
  <c r="I483" i="1"/>
  <c r="F483" i="1"/>
  <c r="J483" i="1"/>
  <c r="K483" i="1"/>
  <c r="L483" i="1"/>
  <c r="M483" i="1"/>
  <c r="R483" i="1"/>
  <c r="I482" i="1"/>
  <c r="F482" i="1"/>
  <c r="J482" i="1"/>
  <c r="K482" i="1"/>
  <c r="L482" i="1"/>
  <c r="M482" i="1"/>
  <c r="R482" i="1"/>
  <c r="I481" i="1"/>
  <c r="F481" i="1"/>
  <c r="J481" i="1"/>
  <c r="K481" i="1"/>
  <c r="L481" i="1"/>
  <c r="M481" i="1"/>
  <c r="R481" i="1"/>
  <c r="I480" i="1"/>
  <c r="F480" i="1"/>
  <c r="J480" i="1"/>
  <c r="K480" i="1"/>
  <c r="L480" i="1"/>
  <c r="M480" i="1"/>
  <c r="R480" i="1"/>
  <c r="I479" i="1"/>
  <c r="F479" i="1"/>
  <c r="J479" i="1"/>
  <c r="K479" i="1"/>
  <c r="L479" i="1"/>
  <c r="M479" i="1"/>
  <c r="R479" i="1"/>
  <c r="I478" i="1"/>
  <c r="F478" i="1"/>
  <c r="J478" i="1"/>
  <c r="K478" i="1"/>
  <c r="L478" i="1"/>
  <c r="M478" i="1"/>
  <c r="R478" i="1"/>
  <c r="I477" i="1"/>
  <c r="F477" i="1"/>
  <c r="J477" i="1"/>
  <c r="K477" i="1"/>
  <c r="L477" i="1"/>
  <c r="M477" i="1"/>
  <c r="R477" i="1"/>
  <c r="I476" i="1"/>
  <c r="F476" i="1"/>
  <c r="J476" i="1"/>
  <c r="K476" i="1"/>
  <c r="L476" i="1"/>
  <c r="M476" i="1"/>
  <c r="R476" i="1"/>
  <c r="I475" i="1"/>
  <c r="F475" i="1"/>
  <c r="J475" i="1"/>
  <c r="K475" i="1"/>
  <c r="L475" i="1"/>
  <c r="M475" i="1"/>
  <c r="R475" i="1"/>
  <c r="I470" i="1"/>
  <c r="F470" i="1"/>
  <c r="J470" i="1"/>
  <c r="K470" i="1"/>
  <c r="L470" i="1"/>
  <c r="M470" i="1"/>
  <c r="R470" i="1"/>
  <c r="I469" i="1"/>
  <c r="F469" i="1"/>
  <c r="J469" i="1"/>
  <c r="K469" i="1"/>
  <c r="L469" i="1"/>
  <c r="M469" i="1"/>
  <c r="R469" i="1"/>
  <c r="I468" i="1"/>
  <c r="F468" i="1"/>
  <c r="J468" i="1"/>
  <c r="K468" i="1"/>
  <c r="L468" i="1"/>
  <c r="M468" i="1"/>
  <c r="R468" i="1"/>
  <c r="I467" i="1"/>
  <c r="F467" i="1"/>
  <c r="J467" i="1"/>
  <c r="K467" i="1"/>
  <c r="L467" i="1"/>
  <c r="M467" i="1"/>
  <c r="R467" i="1"/>
  <c r="I466" i="1"/>
  <c r="F466" i="1"/>
  <c r="J466" i="1"/>
  <c r="K466" i="1"/>
  <c r="L466" i="1"/>
  <c r="M466" i="1"/>
  <c r="R466" i="1"/>
  <c r="I465" i="1"/>
  <c r="F465" i="1"/>
  <c r="J465" i="1"/>
  <c r="K465" i="1"/>
  <c r="L465" i="1"/>
  <c r="M465" i="1"/>
  <c r="R465" i="1"/>
  <c r="I464" i="1"/>
  <c r="F464" i="1"/>
  <c r="J464" i="1"/>
  <c r="K464" i="1"/>
  <c r="L464" i="1"/>
  <c r="M464" i="1"/>
  <c r="R464" i="1"/>
  <c r="I463" i="1"/>
  <c r="F463" i="1"/>
  <c r="J463" i="1"/>
  <c r="K463" i="1"/>
  <c r="L463" i="1"/>
  <c r="M463" i="1"/>
  <c r="R463" i="1"/>
  <c r="I462" i="1"/>
  <c r="F462" i="1"/>
  <c r="J462" i="1"/>
  <c r="K462" i="1"/>
  <c r="L462" i="1"/>
  <c r="M462" i="1"/>
  <c r="R462" i="1"/>
  <c r="I461" i="1"/>
  <c r="F461" i="1"/>
  <c r="J461" i="1"/>
  <c r="K461" i="1"/>
  <c r="L461" i="1"/>
  <c r="M461" i="1"/>
  <c r="R461" i="1"/>
  <c r="I440" i="1"/>
  <c r="K440" i="1"/>
  <c r="L440" i="1"/>
  <c r="R440" i="1"/>
  <c r="I439" i="1"/>
  <c r="K439" i="1"/>
  <c r="L439" i="1"/>
  <c r="R439" i="1"/>
  <c r="I438" i="1"/>
  <c r="K438" i="1"/>
  <c r="L438" i="1"/>
  <c r="R438" i="1"/>
  <c r="I437" i="1"/>
  <c r="K437" i="1"/>
  <c r="L437" i="1"/>
  <c r="R437" i="1"/>
  <c r="I436" i="1"/>
  <c r="K436" i="1"/>
  <c r="L436" i="1"/>
  <c r="R436" i="1"/>
  <c r="I435" i="1"/>
  <c r="K435" i="1"/>
  <c r="L435" i="1"/>
  <c r="R435" i="1"/>
  <c r="I434" i="1"/>
  <c r="K434" i="1"/>
  <c r="L434" i="1"/>
  <c r="R434" i="1"/>
  <c r="I433" i="1"/>
  <c r="K433" i="1"/>
  <c r="L433" i="1"/>
  <c r="R433" i="1"/>
  <c r="I432" i="1"/>
  <c r="K432" i="1"/>
  <c r="L432" i="1"/>
  <c r="R432" i="1"/>
  <c r="I431" i="1"/>
  <c r="K431" i="1"/>
  <c r="L431" i="1"/>
  <c r="R431" i="1"/>
  <c r="I426" i="1"/>
  <c r="F426" i="1"/>
  <c r="J426" i="1"/>
  <c r="K426" i="1"/>
  <c r="L426" i="1"/>
  <c r="M426" i="1"/>
  <c r="R426" i="1"/>
  <c r="I425" i="1"/>
  <c r="F425" i="1"/>
  <c r="J425" i="1"/>
  <c r="K425" i="1"/>
  <c r="L425" i="1"/>
  <c r="M425" i="1"/>
  <c r="R425" i="1"/>
  <c r="I424" i="1"/>
  <c r="F424" i="1"/>
  <c r="J424" i="1"/>
  <c r="K424" i="1"/>
  <c r="L424" i="1"/>
  <c r="M424" i="1"/>
  <c r="R424" i="1"/>
  <c r="I423" i="1"/>
  <c r="F423" i="1"/>
  <c r="J423" i="1"/>
  <c r="K423" i="1"/>
  <c r="L423" i="1"/>
  <c r="M423" i="1"/>
  <c r="R423" i="1"/>
  <c r="I422" i="1"/>
  <c r="F422" i="1"/>
  <c r="J422" i="1"/>
  <c r="K422" i="1"/>
  <c r="L422" i="1"/>
  <c r="M422" i="1"/>
  <c r="R422" i="1"/>
  <c r="I421" i="1"/>
  <c r="F421" i="1"/>
  <c r="J421" i="1"/>
  <c r="K421" i="1"/>
  <c r="L421" i="1"/>
  <c r="M421" i="1"/>
  <c r="R421" i="1"/>
  <c r="I420" i="1"/>
  <c r="F420" i="1"/>
  <c r="J420" i="1"/>
  <c r="K420" i="1"/>
  <c r="L420" i="1"/>
  <c r="M420" i="1"/>
  <c r="R420" i="1"/>
  <c r="I419" i="1"/>
  <c r="F419" i="1"/>
  <c r="J419" i="1"/>
  <c r="K419" i="1"/>
  <c r="L419" i="1"/>
  <c r="M419" i="1"/>
  <c r="R419" i="1"/>
  <c r="I418" i="1"/>
  <c r="F418" i="1"/>
  <c r="J418" i="1"/>
  <c r="K418" i="1"/>
  <c r="L418" i="1"/>
  <c r="M418" i="1"/>
  <c r="R418" i="1"/>
  <c r="I417" i="1"/>
  <c r="F417" i="1"/>
  <c r="J417" i="1"/>
  <c r="K417" i="1"/>
  <c r="L417" i="1"/>
  <c r="M417" i="1"/>
  <c r="R417" i="1"/>
  <c r="I412" i="1"/>
  <c r="F412" i="1"/>
  <c r="J412" i="1"/>
  <c r="K412" i="1"/>
  <c r="L412" i="1"/>
  <c r="M412" i="1"/>
  <c r="R412" i="1"/>
  <c r="I411" i="1"/>
  <c r="F411" i="1"/>
  <c r="J411" i="1"/>
  <c r="K411" i="1"/>
  <c r="L411" i="1"/>
  <c r="M411" i="1"/>
  <c r="R411" i="1"/>
  <c r="I410" i="1"/>
  <c r="F410" i="1"/>
  <c r="J410" i="1"/>
  <c r="K410" i="1"/>
  <c r="L410" i="1"/>
  <c r="M410" i="1"/>
  <c r="R410" i="1"/>
  <c r="I409" i="1"/>
  <c r="F409" i="1"/>
  <c r="J409" i="1"/>
  <c r="K409" i="1"/>
  <c r="L409" i="1"/>
  <c r="M409" i="1"/>
  <c r="R409" i="1"/>
  <c r="I408" i="1"/>
  <c r="F408" i="1"/>
  <c r="J408" i="1"/>
  <c r="K408" i="1"/>
  <c r="L408" i="1"/>
  <c r="M408" i="1"/>
  <c r="R408" i="1"/>
  <c r="I407" i="1"/>
  <c r="F407" i="1"/>
  <c r="J407" i="1"/>
  <c r="K407" i="1"/>
  <c r="L407" i="1"/>
  <c r="M407" i="1"/>
  <c r="R407" i="1"/>
  <c r="I406" i="1"/>
  <c r="F406" i="1"/>
  <c r="J406" i="1"/>
  <c r="K406" i="1"/>
  <c r="L406" i="1"/>
  <c r="M406" i="1"/>
  <c r="R406" i="1"/>
  <c r="I405" i="1"/>
  <c r="F405" i="1"/>
  <c r="J405" i="1"/>
  <c r="K405" i="1"/>
  <c r="L405" i="1"/>
  <c r="M405" i="1"/>
  <c r="R405" i="1"/>
  <c r="I404" i="1"/>
  <c r="F404" i="1"/>
  <c r="J404" i="1"/>
  <c r="K404" i="1"/>
  <c r="L404" i="1"/>
  <c r="M404" i="1"/>
  <c r="R404" i="1"/>
  <c r="I403" i="1"/>
  <c r="F403" i="1"/>
  <c r="J403" i="1"/>
  <c r="K403" i="1"/>
  <c r="L403" i="1"/>
  <c r="M403" i="1"/>
  <c r="R403" i="1"/>
  <c r="I398" i="1"/>
  <c r="F398" i="1"/>
  <c r="J398" i="1"/>
  <c r="K398" i="1"/>
  <c r="L398" i="1"/>
  <c r="M398" i="1"/>
  <c r="R398" i="1"/>
  <c r="I397" i="1"/>
  <c r="F397" i="1"/>
  <c r="J397" i="1"/>
  <c r="K397" i="1"/>
  <c r="L397" i="1"/>
  <c r="M397" i="1"/>
  <c r="R397" i="1"/>
  <c r="I396" i="1"/>
  <c r="F396" i="1"/>
  <c r="J396" i="1"/>
  <c r="K396" i="1"/>
  <c r="L396" i="1"/>
  <c r="M396" i="1"/>
  <c r="R396" i="1"/>
  <c r="I395" i="1"/>
  <c r="F395" i="1"/>
  <c r="J395" i="1"/>
  <c r="K395" i="1"/>
  <c r="L395" i="1"/>
  <c r="M395" i="1"/>
  <c r="R395" i="1"/>
  <c r="I394" i="1"/>
  <c r="F394" i="1"/>
  <c r="J394" i="1"/>
  <c r="K394" i="1"/>
  <c r="L394" i="1"/>
  <c r="M394" i="1"/>
  <c r="R394" i="1"/>
  <c r="I393" i="1"/>
  <c r="F393" i="1"/>
  <c r="J393" i="1"/>
  <c r="K393" i="1"/>
  <c r="L393" i="1"/>
  <c r="M393" i="1"/>
  <c r="R393" i="1"/>
  <c r="I392" i="1"/>
  <c r="F392" i="1"/>
  <c r="J392" i="1"/>
  <c r="K392" i="1"/>
  <c r="L392" i="1"/>
  <c r="M392" i="1"/>
  <c r="R392" i="1"/>
  <c r="I391" i="1"/>
  <c r="F391" i="1"/>
  <c r="J391" i="1"/>
  <c r="K391" i="1"/>
  <c r="L391" i="1"/>
  <c r="M391" i="1"/>
  <c r="R391" i="1"/>
  <c r="I390" i="1"/>
  <c r="F390" i="1"/>
  <c r="J390" i="1"/>
  <c r="K390" i="1"/>
  <c r="L390" i="1"/>
  <c r="M390" i="1"/>
  <c r="R390" i="1"/>
  <c r="I389" i="1"/>
  <c r="F389" i="1"/>
  <c r="J389" i="1"/>
  <c r="K389" i="1"/>
  <c r="L389" i="1"/>
  <c r="M389" i="1"/>
  <c r="R389" i="1"/>
  <c r="I384" i="1"/>
  <c r="F384" i="1"/>
  <c r="J384" i="1"/>
  <c r="K384" i="1"/>
  <c r="L384" i="1"/>
  <c r="M384" i="1"/>
  <c r="R384" i="1"/>
  <c r="I383" i="1"/>
  <c r="F383" i="1"/>
  <c r="J383" i="1"/>
  <c r="K383" i="1"/>
  <c r="L383" i="1"/>
  <c r="M383" i="1"/>
  <c r="R383" i="1"/>
  <c r="I382" i="1"/>
  <c r="F382" i="1"/>
  <c r="J382" i="1"/>
  <c r="K382" i="1"/>
  <c r="L382" i="1"/>
  <c r="M382" i="1"/>
  <c r="R382" i="1"/>
  <c r="I381" i="1"/>
  <c r="F381" i="1"/>
  <c r="J381" i="1"/>
  <c r="K381" i="1"/>
  <c r="L381" i="1"/>
  <c r="M381" i="1"/>
  <c r="R381" i="1"/>
  <c r="I380" i="1"/>
  <c r="F380" i="1"/>
  <c r="J380" i="1"/>
  <c r="K380" i="1"/>
  <c r="L380" i="1"/>
  <c r="M380" i="1"/>
  <c r="R380" i="1"/>
  <c r="I379" i="1"/>
  <c r="F379" i="1"/>
  <c r="J379" i="1"/>
  <c r="K379" i="1"/>
  <c r="L379" i="1"/>
  <c r="M379" i="1"/>
  <c r="R379" i="1"/>
  <c r="I378" i="1"/>
  <c r="F378" i="1"/>
  <c r="J378" i="1"/>
  <c r="K378" i="1"/>
  <c r="L378" i="1"/>
  <c r="M378" i="1"/>
  <c r="R378" i="1"/>
  <c r="I377" i="1"/>
  <c r="F377" i="1"/>
  <c r="J377" i="1"/>
  <c r="K377" i="1"/>
  <c r="L377" i="1"/>
  <c r="M377" i="1"/>
  <c r="R377" i="1"/>
  <c r="I376" i="1"/>
  <c r="F376" i="1"/>
  <c r="J376" i="1"/>
  <c r="K376" i="1"/>
  <c r="L376" i="1"/>
  <c r="M376" i="1"/>
  <c r="R376" i="1"/>
  <c r="I375" i="1"/>
  <c r="F375" i="1"/>
  <c r="J375" i="1"/>
  <c r="K375" i="1"/>
  <c r="L375" i="1"/>
  <c r="M375" i="1"/>
  <c r="R375" i="1"/>
  <c r="I370" i="1"/>
  <c r="F370" i="1"/>
  <c r="J370" i="1"/>
  <c r="K370" i="1"/>
  <c r="L370" i="1"/>
  <c r="M370" i="1"/>
  <c r="R370" i="1"/>
  <c r="I369" i="1"/>
  <c r="F369" i="1"/>
  <c r="J369" i="1"/>
  <c r="K369" i="1"/>
  <c r="L369" i="1"/>
  <c r="M369" i="1"/>
  <c r="R369" i="1"/>
  <c r="I368" i="1"/>
  <c r="F368" i="1"/>
  <c r="J368" i="1"/>
  <c r="K368" i="1"/>
  <c r="L368" i="1"/>
  <c r="M368" i="1"/>
  <c r="R368" i="1"/>
  <c r="I367" i="1"/>
  <c r="F367" i="1"/>
  <c r="J367" i="1"/>
  <c r="K367" i="1"/>
  <c r="L367" i="1"/>
  <c r="M367" i="1"/>
  <c r="R367" i="1"/>
  <c r="I366" i="1"/>
  <c r="F366" i="1"/>
  <c r="J366" i="1"/>
  <c r="K366" i="1"/>
  <c r="L366" i="1"/>
  <c r="M366" i="1"/>
  <c r="R366" i="1"/>
  <c r="I365" i="1"/>
  <c r="F365" i="1"/>
  <c r="J365" i="1"/>
  <c r="K365" i="1"/>
  <c r="L365" i="1"/>
  <c r="M365" i="1"/>
  <c r="R365" i="1"/>
  <c r="I364" i="1"/>
  <c r="F364" i="1"/>
  <c r="J364" i="1"/>
  <c r="K364" i="1"/>
  <c r="L364" i="1"/>
  <c r="M364" i="1"/>
  <c r="R364" i="1"/>
  <c r="I363" i="1"/>
  <c r="F363" i="1"/>
  <c r="J363" i="1"/>
  <c r="K363" i="1"/>
  <c r="L363" i="1"/>
  <c r="M363" i="1"/>
  <c r="R363" i="1"/>
  <c r="I362" i="1"/>
  <c r="F362" i="1"/>
  <c r="J362" i="1"/>
  <c r="K362" i="1"/>
  <c r="L362" i="1"/>
  <c r="M362" i="1"/>
  <c r="R362" i="1"/>
  <c r="I361" i="1"/>
  <c r="F361" i="1"/>
  <c r="J361" i="1"/>
  <c r="K361" i="1"/>
  <c r="L361" i="1"/>
  <c r="M361" i="1"/>
  <c r="R361" i="1"/>
  <c r="I356" i="1"/>
  <c r="F356" i="1"/>
  <c r="J356" i="1"/>
  <c r="K356" i="1"/>
  <c r="L356" i="1"/>
  <c r="M356" i="1"/>
  <c r="R356" i="1"/>
  <c r="I355" i="1"/>
  <c r="F355" i="1"/>
  <c r="J355" i="1"/>
  <c r="K355" i="1"/>
  <c r="L355" i="1"/>
  <c r="M355" i="1"/>
  <c r="R355" i="1"/>
  <c r="I354" i="1"/>
  <c r="F354" i="1"/>
  <c r="J354" i="1"/>
  <c r="K354" i="1"/>
  <c r="L354" i="1"/>
  <c r="M354" i="1"/>
  <c r="R354" i="1"/>
  <c r="I353" i="1"/>
  <c r="F353" i="1"/>
  <c r="J353" i="1"/>
  <c r="K353" i="1"/>
  <c r="L353" i="1"/>
  <c r="M353" i="1"/>
  <c r="R353" i="1"/>
  <c r="I352" i="1"/>
  <c r="F352" i="1"/>
  <c r="J352" i="1"/>
  <c r="K352" i="1"/>
  <c r="L352" i="1"/>
  <c r="M352" i="1"/>
  <c r="R352" i="1"/>
  <c r="I351" i="1"/>
  <c r="F351" i="1"/>
  <c r="J351" i="1"/>
  <c r="K351" i="1"/>
  <c r="L351" i="1"/>
  <c r="M351" i="1"/>
  <c r="R351" i="1"/>
  <c r="I350" i="1"/>
  <c r="F350" i="1"/>
  <c r="J350" i="1"/>
  <c r="K350" i="1"/>
  <c r="L350" i="1"/>
  <c r="M350" i="1"/>
  <c r="R350" i="1"/>
  <c r="I349" i="1"/>
  <c r="F349" i="1"/>
  <c r="J349" i="1"/>
  <c r="K349" i="1"/>
  <c r="L349" i="1"/>
  <c r="M349" i="1"/>
  <c r="R349" i="1"/>
  <c r="I348" i="1"/>
  <c r="F348" i="1"/>
  <c r="J348" i="1"/>
  <c r="K348" i="1"/>
  <c r="L348" i="1"/>
  <c r="M348" i="1"/>
  <c r="R348" i="1"/>
  <c r="I347" i="1"/>
  <c r="F347" i="1"/>
  <c r="J347" i="1"/>
  <c r="K347" i="1"/>
  <c r="L347" i="1"/>
  <c r="M347" i="1"/>
  <c r="R347" i="1"/>
  <c r="I342" i="1"/>
  <c r="F342" i="1"/>
  <c r="J342" i="1"/>
  <c r="K342" i="1"/>
  <c r="L342" i="1"/>
  <c r="M342" i="1"/>
  <c r="R342" i="1"/>
  <c r="I341" i="1"/>
  <c r="F341" i="1"/>
  <c r="J341" i="1"/>
  <c r="K341" i="1"/>
  <c r="L341" i="1"/>
  <c r="M341" i="1"/>
  <c r="R341" i="1"/>
  <c r="I340" i="1"/>
  <c r="F340" i="1"/>
  <c r="J340" i="1"/>
  <c r="K340" i="1"/>
  <c r="L340" i="1"/>
  <c r="M340" i="1"/>
  <c r="R340" i="1"/>
  <c r="I339" i="1"/>
  <c r="F339" i="1"/>
  <c r="J339" i="1"/>
  <c r="K339" i="1"/>
  <c r="L339" i="1"/>
  <c r="M339" i="1"/>
  <c r="R339" i="1"/>
  <c r="I338" i="1"/>
  <c r="F338" i="1"/>
  <c r="J338" i="1"/>
  <c r="K338" i="1"/>
  <c r="L338" i="1"/>
  <c r="M338" i="1"/>
  <c r="R338" i="1"/>
  <c r="I337" i="1"/>
  <c r="F337" i="1"/>
  <c r="J337" i="1"/>
  <c r="K337" i="1"/>
  <c r="L337" i="1"/>
  <c r="M337" i="1"/>
  <c r="R337" i="1"/>
  <c r="I336" i="1"/>
  <c r="F336" i="1"/>
  <c r="J336" i="1"/>
  <c r="K336" i="1"/>
  <c r="L336" i="1"/>
  <c r="M336" i="1"/>
  <c r="R336" i="1"/>
  <c r="I335" i="1"/>
  <c r="F335" i="1"/>
  <c r="J335" i="1"/>
  <c r="K335" i="1"/>
  <c r="L335" i="1"/>
  <c r="M335" i="1"/>
  <c r="R335" i="1"/>
  <c r="I334" i="1"/>
  <c r="F334" i="1"/>
  <c r="J334" i="1"/>
  <c r="K334" i="1"/>
  <c r="L334" i="1"/>
  <c r="M334" i="1"/>
  <c r="R334" i="1"/>
  <c r="I333" i="1"/>
  <c r="F333" i="1"/>
  <c r="J333" i="1"/>
  <c r="K333" i="1"/>
  <c r="L333" i="1"/>
  <c r="M333" i="1"/>
  <c r="R333" i="1"/>
  <c r="I328" i="1"/>
  <c r="F328" i="1"/>
  <c r="J328" i="1"/>
  <c r="K328" i="1"/>
  <c r="L328" i="1"/>
  <c r="M328" i="1"/>
  <c r="R328" i="1"/>
  <c r="I327" i="1"/>
  <c r="F327" i="1"/>
  <c r="J327" i="1"/>
  <c r="K327" i="1"/>
  <c r="L327" i="1"/>
  <c r="M327" i="1"/>
  <c r="R327" i="1"/>
  <c r="I326" i="1"/>
  <c r="F326" i="1"/>
  <c r="J326" i="1"/>
  <c r="K326" i="1"/>
  <c r="L326" i="1"/>
  <c r="M326" i="1"/>
  <c r="R326" i="1"/>
  <c r="I325" i="1"/>
  <c r="F325" i="1"/>
  <c r="J325" i="1"/>
  <c r="K325" i="1"/>
  <c r="L325" i="1"/>
  <c r="M325" i="1"/>
  <c r="R325" i="1"/>
  <c r="I324" i="1"/>
  <c r="F324" i="1"/>
  <c r="J324" i="1"/>
  <c r="K324" i="1"/>
  <c r="L324" i="1"/>
  <c r="M324" i="1"/>
  <c r="R324" i="1"/>
  <c r="I323" i="1"/>
  <c r="F323" i="1"/>
  <c r="J323" i="1"/>
  <c r="K323" i="1"/>
  <c r="L323" i="1"/>
  <c r="M323" i="1"/>
  <c r="R323" i="1"/>
  <c r="I322" i="1"/>
  <c r="F322" i="1"/>
  <c r="J322" i="1"/>
  <c r="K322" i="1"/>
  <c r="L322" i="1"/>
  <c r="M322" i="1"/>
  <c r="R322" i="1"/>
  <c r="I321" i="1"/>
  <c r="F321" i="1"/>
  <c r="J321" i="1"/>
  <c r="K321" i="1"/>
  <c r="L321" i="1"/>
  <c r="M321" i="1"/>
  <c r="R321" i="1"/>
  <c r="I320" i="1"/>
  <c r="F320" i="1"/>
  <c r="J320" i="1"/>
  <c r="K320" i="1"/>
  <c r="L320" i="1"/>
  <c r="M320" i="1"/>
  <c r="R320" i="1"/>
  <c r="I319" i="1"/>
  <c r="F319" i="1"/>
  <c r="J319" i="1"/>
  <c r="K319" i="1"/>
  <c r="L319" i="1"/>
  <c r="M319" i="1"/>
  <c r="R319" i="1"/>
  <c r="I314" i="1"/>
  <c r="F314" i="1"/>
  <c r="J314" i="1"/>
  <c r="K314" i="1"/>
  <c r="L314" i="1"/>
  <c r="M314" i="1"/>
  <c r="R314" i="1"/>
  <c r="I313" i="1"/>
  <c r="F313" i="1"/>
  <c r="J313" i="1"/>
  <c r="K313" i="1"/>
  <c r="L313" i="1"/>
  <c r="M313" i="1"/>
  <c r="R313" i="1"/>
  <c r="I312" i="1"/>
  <c r="F312" i="1"/>
  <c r="J312" i="1"/>
  <c r="K312" i="1"/>
  <c r="L312" i="1"/>
  <c r="M312" i="1"/>
  <c r="R312" i="1"/>
  <c r="I311" i="1"/>
  <c r="F311" i="1"/>
  <c r="J311" i="1"/>
  <c r="K311" i="1"/>
  <c r="L311" i="1"/>
  <c r="M311" i="1"/>
  <c r="R311" i="1"/>
  <c r="I310" i="1"/>
  <c r="F310" i="1"/>
  <c r="J310" i="1"/>
  <c r="K310" i="1"/>
  <c r="L310" i="1"/>
  <c r="M310" i="1"/>
  <c r="R310" i="1"/>
  <c r="I309" i="1"/>
  <c r="F309" i="1"/>
  <c r="J309" i="1"/>
  <c r="K309" i="1"/>
  <c r="L309" i="1"/>
  <c r="M309" i="1"/>
  <c r="R309" i="1"/>
  <c r="I308" i="1"/>
  <c r="F308" i="1"/>
  <c r="J308" i="1"/>
  <c r="K308" i="1"/>
  <c r="L308" i="1"/>
  <c r="M308" i="1"/>
  <c r="R308" i="1"/>
  <c r="I307" i="1"/>
  <c r="F307" i="1"/>
  <c r="J307" i="1"/>
  <c r="K307" i="1"/>
  <c r="L307" i="1"/>
  <c r="M307" i="1"/>
  <c r="R307" i="1"/>
  <c r="I306" i="1"/>
  <c r="F306" i="1"/>
  <c r="J306" i="1"/>
  <c r="K306" i="1"/>
  <c r="L306" i="1"/>
  <c r="M306" i="1"/>
  <c r="R306" i="1"/>
  <c r="I305" i="1"/>
  <c r="F305" i="1"/>
  <c r="J305" i="1"/>
  <c r="K305" i="1"/>
  <c r="L305" i="1"/>
  <c r="M305" i="1"/>
  <c r="R305" i="1"/>
  <c r="J284" i="1"/>
  <c r="L284" i="1"/>
  <c r="R284" i="1"/>
  <c r="J283" i="1"/>
  <c r="L283" i="1"/>
  <c r="R283" i="1"/>
  <c r="J282" i="1"/>
  <c r="L282" i="1"/>
  <c r="R282" i="1"/>
  <c r="J281" i="1"/>
  <c r="L281" i="1"/>
  <c r="R281" i="1"/>
  <c r="J280" i="1"/>
  <c r="L280" i="1"/>
  <c r="R280" i="1"/>
  <c r="J279" i="1"/>
  <c r="L279" i="1"/>
  <c r="R279" i="1"/>
  <c r="J278" i="1"/>
  <c r="L278" i="1"/>
  <c r="R278" i="1"/>
  <c r="J277" i="1"/>
  <c r="L277" i="1"/>
  <c r="R277" i="1"/>
  <c r="J276" i="1"/>
  <c r="L276" i="1"/>
  <c r="R276" i="1"/>
  <c r="J275" i="1"/>
  <c r="L275" i="1"/>
  <c r="R275" i="1"/>
  <c r="J270" i="1"/>
  <c r="L270" i="1"/>
  <c r="R270" i="1"/>
  <c r="J269" i="1"/>
  <c r="L269" i="1"/>
  <c r="R269" i="1"/>
  <c r="J268" i="1"/>
  <c r="L268" i="1"/>
  <c r="R268" i="1"/>
  <c r="J267" i="1"/>
  <c r="L267" i="1"/>
  <c r="R267" i="1"/>
  <c r="J266" i="1"/>
  <c r="L266" i="1"/>
  <c r="R266" i="1"/>
  <c r="J265" i="1"/>
  <c r="L265" i="1"/>
  <c r="R265" i="1"/>
  <c r="J264" i="1"/>
  <c r="L264" i="1"/>
  <c r="R264" i="1"/>
  <c r="J263" i="1"/>
  <c r="L263" i="1"/>
  <c r="R263" i="1"/>
  <c r="J262" i="1"/>
  <c r="L262" i="1"/>
  <c r="R262" i="1"/>
  <c r="J261" i="1"/>
  <c r="L261" i="1"/>
  <c r="R261" i="1"/>
  <c r="I256" i="1"/>
  <c r="F256" i="1"/>
  <c r="J256" i="1"/>
  <c r="K256" i="1"/>
  <c r="L256" i="1"/>
  <c r="M256" i="1"/>
  <c r="R256" i="1"/>
  <c r="I255" i="1"/>
  <c r="F255" i="1"/>
  <c r="J255" i="1"/>
  <c r="K255" i="1"/>
  <c r="L255" i="1"/>
  <c r="M255" i="1"/>
  <c r="R255" i="1"/>
  <c r="I254" i="1"/>
  <c r="F254" i="1"/>
  <c r="J254" i="1"/>
  <c r="K254" i="1"/>
  <c r="L254" i="1"/>
  <c r="M254" i="1"/>
  <c r="R254" i="1"/>
  <c r="I253" i="1"/>
  <c r="F253" i="1"/>
  <c r="J253" i="1"/>
  <c r="K253" i="1"/>
  <c r="L253" i="1"/>
  <c r="M253" i="1"/>
  <c r="R253" i="1"/>
  <c r="I252" i="1"/>
  <c r="F252" i="1"/>
  <c r="J252" i="1"/>
  <c r="K252" i="1"/>
  <c r="L252" i="1"/>
  <c r="M252" i="1"/>
  <c r="R252" i="1"/>
  <c r="I251" i="1"/>
  <c r="F251" i="1"/>
  <c r="J251" i="1"/>
  <c r="K251" i="1"/>
  <c r="L251" i="1"/>
  <c r="M251" i="1"/>
  <c r="R251" i="1"/>
  <c r="I250" i="1"/>
  <c r="F250" i="1"/>
  <c r="J250" i="1"/>
  <c r="K250" i="1"/>
  <c r="L250" i="1"/>
  <c r="M250" i="1"/>
  <c r="R250" i="1"/>
  <c r="I249" i="1"/>
  <c r="F249" i="1"/>
  <c r="J249" i="1"/>
  <c r="K249" i="1"/>
  <c r="L249" i="1"/>
  <c r="M249" i="1"/>
  <c r="R249" i="1"/>
  <c r="I248" i="1"/>
  <c r="F248" i="1"/>
  <c r="J248" i="1"/>
  <c r="K248" i="1"/>
  <c r="L248" i="1"/>
  <c r="M248" i="1"/>
  <c r="R248" i="1"/>
  <c r="I247" i="1"/>
  <c r="F247" i="1"/>
  <c r="J247" i="1"/>
  <c r="K247" i="1"/>
  <c r="L247" i="1"/>
  <c r="M247" i="1"/>
  <c r="R247" i="1"/>
  <c r="I242" i="1"/>
  <c r="F242" i="1"/>
  <c r="J242" i="1"/>
  <c r="K242" i="1"/>
  <c r="L242" i="1"/>
  <c r="R242" i="1"/>
  <c r="I241" i="1"/>
  <c r="F241" i="1"/>
  <c r="J241" i="1"/>
  <c r="K241" i="1"/>
  <c r="L241" i="1"/>
  <c r="R241" i="1"/>
  <c r="I240" i="1"/>
  <c r="F240" i="1"/>
  <c r="J240" i="1"/>
  <c r="K240" i="1"/>
  <c r="L240" i="1"/>
  <c r="M240" i="1"/>
  <c r="R240" i="1"/>
  <c r="I239" i="1"/>
  <c r="F239" i="1"/>
  <c r="J239" i="1"/>
  <c r="K239" i="1"/>
  <c r="L239" i="1"/>
  <c r="M239" i="1"/>
  <c r="R239" i="1"/>
  <c r="I238" i="1"/>
  <c r="F238" i="1"/>
  <c r="J238" i="1"/>
  <c r="K238" i="1"/>
  <c r="L238" i="1"/>
  <c r="M238" i="1"/>
  <c r="R238" i="1"/>
  <c r="I237" i="1"/>
  <c r="F237" i="1"/>
  <c r="J237" i="1"/>
  <c r="K237" i="1"/>
  <c r="L237" i="1"/>
  <c r="M237" i="1"/>
  <c r="R237" i="1"/>
  <c r="I236" i="1"/>
  <c r="F236" i="1"/>
  <c r="J236" i="1"/>
  <c r="K236" i="1"/>
  <c r="L236" i="1"/>
  <c r="M236" i="1"/>
  <c r="R236" i="1"/>
  <c r="I235" i="1"/>
  <c r="F235" i="1"/>
  <c r="J235" i="1"/>
  <c r="K235" i="1"/>
  <c r="L235" i="1"/>
  <c r="M235" i="1"/>
  <c r="R235" i="1"/>
  <c r="I234" i="1"/>
  <c r="F234" i="1"/>
  <c r="J234" i="1"/>
  <c r="K234" i="1"/>
  <c r="L234" i="1"/>
  <c r="M234" i="1"/>
  <c r="R234" i="1"/>
  <c r="I233" i="1"/>
  <c r="F233" i="1"/>
  <c r="J233" i="1"/>
  <c r="K233" i="1"/>
  <c r="L233" i="1"/>
  <c r="M233" i="1"/>
  <c r="R233" i="1"/>
  <c r="I228" i="1"/>
  <c r="F228" i="1"/>
  <c r="J228" i="1"/>
  <c r="K228" i="1"/>
  <c r="L228" i="1"/>
  <c r="R228" i="1"/>
  <c r="I227" i="1"/>
  <c r="F227" i="1"/>
  <c r="J227" i="1"/>
  <c r="K227" i="1"/>
  <c r="L227" i="1"/>
  <c r="R227" i="1"/>
  <c r="I226" i="1"/>
  <c r="F226" i="1"/>
  <c r="J226" i="1"/>
  <c r="K226" i="1"/>
  <c r="L226" i="1"/>
  <c r="R226" i="1"/>
  <c r="I225" i="1"/>
  <c r="F225" i="1"/>
  <c r="J225" i="1"/>
  <c r="K225" i="1"/>
  <c r="L225" i="1"/>
  <c r="R225" i="1"/>
  <c r="I224" i="1"/>
  <c r="F224" i="1"/>
  <c r="J224" i="1"/>
  <c r="K224" i="1"/>
  <c r="L224" i="1"/>
  <c r="M224" i="1"/>
  <c r="R224" i="1"/>
  <c r="I223" i="1"/>
  <c r="F223" i="1"/>
  <c r="J223" i="1"/>
  <c r="K223" i="1"/>
  <c r="L223" i="1"/>
  <c r="M223" i="1"/>
  <c r="R223" i="1"/>
  <c r="I222" i="1"/>
  <c r="F222" i="1"/>
  <c r="J222" i="1"/>
  <c r="K222" i="1"/>
  <c r="L222" i="1"/>
  <c r="M222" i="1"/>
  <c r="R222" i="1"/>
  <c r="I221" i="1"/>
  <c r="F221" i="1"/>
  <c r="J221" i="1"/>
  <c r="K221" i="1"/>
  <c r="L221" i="1"/>
  <c r="M221" i="1"/>
  <c r="R221" i="1"/>
  <c r="I220" i="1"/>
  <c r="F220" i="1"/>
  <c r="J220" i="1"/>
  <c r="K220" i="1"/>
  <c r="L220" i="1"/>
  <c r="M220" i="1"/>
  <c r="R220" i="1"/>
  <c r="I219" i="1"/>
  <c r="F219" i="1"/>
  <c r="J219" i="1"/>
  <c r="K219" i="1"/>
  <c r="L219" i="1"/>
  <c r="M219" i="1"/>
  <c r="R219" i="1"/>
  <c r="I214" i="1"/>
  <c r="F214" i="1"/>
  <c r="J214" i="1"/>
  <c r="K214" i="1"/>
  <c r="L214" i="1"/>
  <c r="M214" i="1"/>
  <c r="R214" i="1"/>
  <c r="I213" i="1"/>
  <c r="F213" i="1"/>
  <c r="J213" i="1"/>
  <c r="K213" i="1"/>
  <c r="L213" i="1"/>
  <c r="M213" i="1"/>
  <c r="R213" i="1"/>
  <c r="I212" i="1"/>
  <c r="F212" i="1"/>
  <c r="J212" i="1"/>
  <c r="K212" i="1"/>
  <c r="L212" i="1"/>
  <c r="M212" i="1"/>
  <c r="R212" i="1"/>
  <c r="I211" i="1"/>
  <c r="F211" i="1"/>
  <c r="J211" i="1"/>
  <c r="K211" i="1"/>
  <c r="L211" i="1"/>
  <c r="M211" i="1"/>
  <c r="R211" i="1"/>
  <c r="I210" i="1"/>
  <c r="F210" i="1"/>
  <c r="J210" i="1"/>
  <c r="K210" i="1"/>
  <c r="L210" i="1"/>
  <c r="M210" i="1"/>
  <c r="R210" i="1"/>
  <c r="I209" i="1"/>
  <c r="F209" i="1"/>
  <c r="J209" i="1"/>
  <c r="K209" i="1"/>
  <c r="L209" i="1"/>
  <c r="M209" i="1"/>
  <c r="R209" i="1"/>
  <c r="I208" i="1"/>
  <c r="F208" i="1"/>
  <c r="J208" i="1"/>
  <c r="K208" i="1"/>
  <c r="L208" i="1"/>
  <c r="M208" i="1"/>
  <c r="R208" i="1"/>
  <c r="I207" i="1"/>
  <c r="F207" i="1"/>
  <c r="J207" i="1"/>
  <c r="K207" i="1"/>
  <c r="L207" i="1"/>
  <c r="M207" i="1"/>
  <c r="R207" i="1"/>
  <c r="I206" i="1"/>
  <c r="F206" i="1"/>
  <c r="J206" i="1"/>
  <c r="K206" i="1"/>
  <c r="L206" i="1"/>
  <c r="M206" i="1"/>
  <c r="R206" i="1"/>
  <c r="I205" i="1"/>
  <c r="F205" i="1"/>
  <c r="J205" i="1"/>
  <c r="K205" i="1"/>
  <c r="L205" i="1"/>
  <c r="M205" i="1"/>
  <c r="R205" i="1"/>
  <c r="I200" i="1"/>
  <c r="F200" i="1"/>
  <c r="J200" i="1"/>
  <c r="K200" i="1"/>
  <c r="L200" i="1"/>
  <c r="M200" i="1"/>
  <c r="R200" i="1"/>
  <c r="I199" i="1"/>
  <c r="F199" i="1"/>
  <c r="J199" i="1"/>
  <c r="K199" i="1"/>
  <c r="L199" i="1"/>
  <c r="M199" i="1"/>
  <c r="R199" i="1"/>
  <c r="I198" i="1"/>
  <c r="F198" i="1"/>
  <c r="J198" i="1"/>
  <c r="K198" i="1"/>
  <c r="L198" i="1"/>
  <c r="M198" i="1"/>
  <c r="R198" i="1"/>
  <c r="I197" i="1"/>
  <c r="F197" i="1"/>
  <c r="J197" i="1"/>
  <c r="K197" i="1"/>
  <c r="L197" i="1"/>
  <c r="M197" i="1"/>
  <c r="R197" i="1"/>
  <c r="I196" i="1"/>
  <c r="F196" i="1"/>
  <c r="J196" i="1"/>
  <c r="K196" i="1"/>
  <c r="L196" i="1"/>
  <c r="M196" i="1"/>
  <c r="R196" i="1"/>
  <c r="I195" i="1"/>
  <c r="F195" i="1"/>
  <c r="J195" i="1"/>
  <c r="K195" i="1"/>
  <c r="L195" i="1"/>
  <c r="M195" i="1"/>
  <c r="R195" i="1"/>
  <c r="I194" i="1"/>
  <c r="F194" i="1"/>
  <c r="J194" i="1"/>
  <c r="K194" i="1"/>
  <c r="L194" i="1"/>
  <c r="M194" i="1"/>
  <c r="R194" i="1"/>
  <c r="I193" i="1"/>
  <c r="F193" i="1"/>
  <c r="J193" i="1"/>
  <c r="K193" i="1"/>
  <c r="L193" i="1"/>
  <c r="M193" i="1"/>
  <c r="R193" i="1"/>
  <c r="I192" i="1"/>
  <c r="F192" i="1"/>
  <c r="J192" i="1"/>
  <c r="K192" i="1"/>
  <c r="L192" i="1"/>
  <c r="M192" i="1"/>
  <c r="R192" i="1"/>
  <c r="I191" i="1"/>
  <c r="F191" i="1"/>
  <c r="J191" i="1"/>
  <c r="K191" i="1"/>
  <c r="L191" i="1"/>
  <c r="M191" i="1"/>
  <c r="R191" i="1"/>
  <c r="I186" i="1"/>
  <c r="F186" i="1"/>
  <c r="J186" i="1"/>
  <c r="K186" i="1"/>
  <c r="L186" i="1"/>
  <c r="M186" i="1"/>
  <c r="R186" i="1"/>
  <c r="I185" i="1"/>
  <c r="F185" i="1"/>
  <c r="J185" i="1"/>
  <c r="K185" i="1"/>
  <c r="L185" i="1"/>
  <c r="M185" i="1"/>
  <c r="R185" i="1"/>
  <c r="I184" i="1"/>
  <c r="F184" i="1"/>
  <c r="J184" i="1"/>
  <c r="K184" i="1"/>
  <c r="L184" i="1"/>
  <c r="M184" i="1"/>
  <c r="R184" i="1"/>
  <c r="I183" i="1"/>
  <c r="F183" i="1"/>
  <c r="J183" i="1"/>
  <c r="K183" i="1"/>
  <c r="L183" i="1"/>
  <c r="M183" i="1"/>
  <c r="R183" i="1"/>
  <c r="I182" i="1"/>
  <c r="F182" i="1"/>
  <c r="J182" i="1"/>
  <c r="K182" i="1"/>
  <c r="L182" i="1"/>
  <c r="M182" i="1"/>
  <c r="R182" i="1"/>
  <c r="I181" i="1"/>
  <c r="F181" i="1"/>
  <c r="J181" i="1"/>
  <c r="K181" i="1"/>
  <c r="L181" i="1"/>
  <c r="M181" i="1"/>
  <c r="R181" i="1"/>
  <c r="I180" i="1"/>
  <c r="F180" i="1"/>
  <c r="J180" i="1"/>
  <c r="K180" i="1"/>
  <c r="L180" i="1"/>
  <c r="M180" i="1"/>
  <c r="R180" i="1"/>
  <c r="I179" i="1"/>
  <c r="F179" i="1"/>
  <c r="J179" i="1"/>
  <c r="K179" i="1"/>
  <c r="L179" i="1"/>
  <c r="M179" i="1"/>
  <c r="R179" i="1"/>
  <c r="I178" i="1"/>
  <c r="F178" i="1"/>
  <c r="J178" i="1"/>
  <c r="K178" i="1"/>
  <c r="L178" i="1"/>
  <c r="M178" i="1"/>
  <c r="R178" i="1"/>
  <c r="I177" i="1"/>
  <c r="F177" i="1"/>
  <c r="J177" i="1"/>
  <c r="K177" i="1"/>
  <c r="L177" i="1"/>
  <c r="M177" i="1"/>
  <c r="R177" i="1"/>
  <c r="I172" i="1"/>
  <c r="F172" i="1"/>
  <c r="J172" i="1"/>
  <c r="K172" i="1"/>
  <c r="L172" i="1"/>
  <c r="M172" i="1"/>
  <c r="R172" i="1"/>
  <c r="I171" i="1"/>
  <c r="F171" i="1"/>
  <c r="J171" i="1"/>
  <c r="K171" i="1"/>
  <c r="L171" i="1"/>
  <c r="M171" i="1"/>
  <c r="R171" i="1"/>
  <c r="I170" i="1"/>
  <c r="F170" i="1"/>
  <c r="J170" i="1"/>
  <c r="K170" i="1"/>
  <c r="L170" i="1"/>
  <c r="M170" i="1"/>
  <c r="R170" i="1"/>
  <c r="I169" i="1"/>
  <c r="F169" i="1"/>
  <c r="J169" i="1"/>
  <c r="K169" i="1"/>
  <c r="L169" i="1"/>
  <c r="M169" i="1"/>
  <c r="R169" i="1"/>
  <c r="I168" i="1"/>
  <c r="F168" i="1"/>
  <c r="J168" i="1"/>
  <c r="K168" i="1"/>
  <c r="L168" i="1"/>
  <c r="M168" i="1"/>
  <c r="R168" i="1"/>
  <c r="I167" i="1"/>
  <c r="F167" i="1"/>
  <c r="J167" i="1"/>
  <c r="K167" i="1"/>
  <c r="L167" i="1"/>
  <c r="M167" i="1"/>
  <c r="R167" i="1"/>
  <c r="I166" i="1"/>
  <c r="F166" i="1"/>
  <c r="J166" i="1"/>
  <c r="K166" i="1"/>
  <c r="L166" i="1"/>
  <c r="M166" i="1"/>
  <c r="R166" i="1"/>
  <c r="I165" i="1"/>
  <c r="F165" i="1"/>
  <c r="J165" i="1"/>
  <c r="K165" i="1"/>
  <c r="L165" i="1"/>
  <c r="M165" i="1"/>
  <c r="R165" i="1"/>
  <c r="I164" i="1"/>
  <c r="F164" i="1"/>
  <c r="J164" i="1"/>
  <c r="K164" i="1"/>
  <c r="L164" i="1"/>
  <c r="M164" i="1"/>
  <c r="R164" i="1"/>
  <c r="I163" i="1"/>
  <c r="F163" i="1"/>
  <c r="J163" i="1"/>
  <c r="K163" i="1"/>
  <c r="L163" i="1"/>
  <c r="M163" i="1"/>
  <c r="R163" i="1"/>
  <c r="I158" i="1"/>
  <c r="K158" i="1"/>
  <c r="L158" i="1"/>
  <c r="R158" i="1"/>
  <c r="I149" i="1"/>
  <c r="F149" i="1"/>
  <c r="J149" i="1"/>
  <c r="K149" i="1"/>
  <c r="L149" i="1"/>
  <c r="M149" i="1"/>
  <c r="R149" i="1"/>
  <c r="I157" i="1"/>
  <c r="K157" i="1"/>
  <c r="L157" i="1"/>
  <c r="R157" i="1"/>
  <c r="I156" i="1"/>
  <c r="F156" i="1"/>
  <c r="J156" i="1"/>
  <c r="K156" i="1"/>
  <c r="L156" i="1"/>
  <c r="M156" i="1"/>
  <c r="R156" i="1"/>
  <c r="I155" i="1"/>
  <c r="F155" i="1"/>
  <c r="J155" i="1"/>
  <c r="K155" i="1"/>
  <c r="L155" i="1"/>
  <c r="M155" i="1"/>
  <c r="R155" i="1"/>
  <c r="I154" i="1"/>
  <c r="F154" i="1"/>
  <c r="J154" i="1"/>
  <c r="K154" i="1"/>
  <c r="L154" i="1"/>
  <c r="M154" i="1"/>
  <c r="R154" i="1"/>
  <c r="I153" i="1"/>
  <c r="F153" i="1"/>
  <c r="J153" i="1"/>
  <c r="K153" i="1"/>
  <c r="L153" i="1"/>
  <c r="M153" i="1"/>
  <c r="R153" i="1"/>
  <c r="I152" i="1"/>
  <c r="F152" i="1"/>
  <c r="J152" i="1"/>
  <c r="K152" i="1"/>
  <c r="L152" i="1"/>
  <c r="M152" i="1"/>
  <c r="R152" i="1"/>
  <c r="I151" i="1"/>
  <c r="F151" i="1"/>
  <c r="J151" i="1"/>
  <c r="K151" i="1"/>
  <c r="L151" i="1"/>
  <c r="M151" i="1"/>
  <c r="R151" i="1"/>
  <c r="I150" i="1"/>
  <c r="F150" i="1"/>
  <c r="J150" i="1"/>
  <c r="K150" i="1"/>
  <c r="L150" i="1"/>
  <c r="M150" i="1"/>
  <c r="R150" i="1"/>
  <c r="T149" i="1"/>
  <c r="T163" i="1"/>
  <c r="T177" i="1"/>
  <c r="T191" i="1"/>
  <c r="T205" i="1"/>
  <c r="T219" i="1"/>
  <c r="T233" i="1"/>
  <c r="T247" i="1"/>
  <c r="T261" i="1"/>
  <c r="T275" i="1"/>
  <c r="N79" i="1"/>
  <c r="L4" i="1"/>
  <c r="K4" i="1"/>
  <c r="J4" i="1"/>
  <c r="I4" i="1"/>
  <c r="H4" i="1"/>
  <c r="G4" i="1"/>
  <c r="F4" i="1"/>
  <c r="E4" i="1"/>
  <c r="T305" i="1"/>
  <c r="T319" i="1"/>
  <c r="T333" i="1"/>
  <c r="T347" i="1"/>
  <c r="T361" i="1"/>
  <c r="T375" i="1"/>
  <c r="T389" i="1"/>
  <c r="T403" i="1"/>
  <c r="T417" i="1"/>
  <c r="T431" i="1"/>
  <c r="N94" i="1"/>
  <c r="T461" i="1"/>
  <c r="T475" i="1"/>
  <c r="T489" i="1"/>
  <c r="T503" i="1"/>
  <c r="T517" i="1"/>
  <c r="T531" i="1"/>
  <c r="T545" i="1"/>
  <c r="T559" i="1"/>
  <c r="T573" i="1"/>
  <c r="T587" i="1"/>
  <c r="N109" i="1"/>
  <c r="I617" i="1"/>
  <c r="K617" i="1"/>
  <c r="L617" i="1"/>
  <c r="R617" i="1"/>
  <c r="I618" i="1"/>
  <c r="K618" i="1"/>
  <c r="L618" i="1"/>
  <c r="R618" i="1"/>
  <c r="I619" i="1"/>
  <c r="K619" i="1"/>
  <c r="L619" i="1"/>
  <c r="R619" i="1"/>
  <c r="I620" i="1"/>
  <c r="K620" i="1"/>
  <c r="L620" i="1"/>
  <c r="R620" i="1"/>
  <c r="I621" i="1"/>
  <c r="K621" i="1"/>
  <c r="L621" i="1"/>
  <c r="R621" i="1"/>
  <c r="I622" i="1"/>
  <c r="K622" i="1"/>
  <c r="L622" i="1"/>
  <c r="R622" i="1"/>
  <c r="I623" i="1"/>
  <c r="K623" i="1"/>
  <c r="L623" i="1"/>
  <c r="R623" i="1"/>
  <c r="I624" i="1"/>
  <c r="K624" i="1"/>
  <c r="L624" i="1"/>
  <c r="R624" i="1"/>
  <c r="I625" i="1"/>
  <c r="K625" i="1"/>
  <c r="L625" i="1"/>
  <c r="R625" i="1"/>
  <c r="I626" i="1"/>
  <c r="K626" i="1"/>
  <c r="L626" i="1"/>
  <c r="R626" i="1"/>
  <c r="T617" i="1"/>
  <c r="I631" i="1"/>
  <c r="K631" i="1"/>
  <c r="L631" i="1"/>
  <c r="R631" i="1"/>
  <c r="I632" i="1"/>
  <c r="K632" i="1"/>
  <c r="L632" i="1"/>
  <c r="R632" i="1"/>
  <c r="I633" i="1"/>
  <c r="K633" i="1"/>
  <c r="L633" i="1"/>
  <c r="R633" i="1"/>
  <c r="I634" i="1"/>
  <c r="K634" i="1"/>
  <c r="L634" i="1"/>
  <c r="R634" i="1"/>
  <c r="I635" i="1"/>
  <c r="K635" i="1"/>
  <c r="L635" i="1"/>
  <c r="R635" i="1"/>
  <c r="I636" i="1"/>
  <c r="K636" i="1"/>
  <c r="L636" i="1"/>
  <c r="R636" i="1"/>
  <c r="I637" i="1"/>
  <c r="K637" i="1"/>
  <c r="L637" i="1"/>
  <c r="R637" i="1"/>
  <c r="I638" i="1"/>
  <c r="K638" i="1"/>
  <c r="L638" i="1"/>
  <c r="R638" i="1"/>
  <c r="I639" i="1"/>
  <c r="K639" i="1"/>
  <c r="L639" i="1"/>
  <c r="R639" i="1"/>
  <c r="I640" i="1"/>
  <c r="K640" i="1"/>
  <c r="L640" i="1"/>
  <c r="R640" i="1"/>
  <c r="T631" i="1"/>
  <c r="I645" i="1"/>
  <c r="K645" i="1"/>
  <c r="L645" i="1"/>
  <c r="R645" i="1"/>
  <c r="I646" i="1"/>
  <c r="K646" i="1"/>
  <c r="L646" i="1"/>
  <c r="R646" i="1"/>
  <c r="I647" i="1"/>
  <c r="K647" i="1"/>
  <c r="L647" i="1"/>
  <c r="R647" i="1"/>
  <c r="I648" i="1"/>
  <c r="K648" i="1"/>
  <c r="L648" i="1"/>
  <c r="R648" i="1"/>
  <c r="I649" i="1"/>
  <c r="K649" i="1"/>
  <c r="L649" i="1"/>
  <c r="R649" i="1"/>
  <c r="I650" i="1"/>
  <c r="K650" i="1"/>
  <c r="L650" i="1"/>
  <c r="R650" i="1"/>
  <c r="I651" i="1"/>
  <c r="K651" i="1"/>
  <c r="L651" i="1"/>
  <c r="R651" i="1"/>
  <c r="I652" i="1"/>
  <c r="K652" i="1"/>
  <c r="L652" i="1"/>
  <c r="R652" i="1"/>
  <c r="I653" i="1"/>
  <c r="K653" i="1"/>
  <c r="L653" i="1"/>
  <c r="R653" i="1"/>
  <c r="I654" i="1"/>
  <c r="K654" i="1"/>
  <c r="L654" i="1"/>
  <c r="R654" i="1"/>
  <c r="T645" i="1"/>
  <c r="I659" i="1"/>
  <c r="K659" i="1"/>
  <c r="L659" i="1"/>
  <c r="R659" i="1"/>
  <c r="I660" i="1"/>
  <c r="K660" i="1"/>
  <c r="L660" i="1"/>
  <c r="R660" i="1"/>
  <c r="I661" i="1"/>
  <c r="K661" i="1"/>
  <c r="L661" i="1"/>
  <c r="R661" i="1"/>
  <c r="I662" i="1"/>
  <c r="K662" i="1"/>
  <c r="L662" i="1"/>
  <c r="R662" i="1"/>
  <c r="I663" i="1"/>
  <c r="K663" i="1"/>
  <c r="L663" i="1"/>
  <c r="R663" i="1"/>
  <c r="I664" i="1"/>
  <c r="K664" i="1"/>
  <c r="L664" i="1"/>
  <c r="R664" i="1"/>
  <c r="I665" i="1"/>
  <c r="K665" i="1"/>
  <c r="L665" i="1"/>
  <c r="R665" i="1"/>
  <c r="I666" i="1"/>
  <c r="K666" i="1"/>
  <c r="L666" i="1"/>
  <c r="R666" i="1"/>
  <c r="I667" i="1"/>
  <c r="K667" i="1"/>
  <c r="L667" i="1"/>
  <c r="R667" i="1"/>
  <c r="I668" i="1"/>
  <c r="K668" i="1"/>
  <c r="L668" i="1"/>
  <c r="R668" i="1"/>
  <c r="T659" i="1"/>
  <c r="I687" i="1"/>
  <c r="K687" i="1"/>
  <c r="L687" i="1"/>
  <c r="R673" i="1"/>
  <c r="I688" i="1"/>
  <c r="K688" i="1"/>
  <c r="L688" i="1"/>
  <c r="R674" i="1"/>
  <c r="I689" i="1"/>
  <c r="K689" i="1"/>
  <c r="L689" i="1"/>
  <c r="R675" i="1"/>
  <c r="I690" i="1"/>
  <c r="K690" i="1"/>
  <c r="L690" i="1"/>
  <c r="R676" i="1"/>
  <c r="I691" i="1"/>
  <c r="K691" i="1"/>
  <c r="L691" i="1"/>
  <c r="R677" i="1"/>
  <c r="I692" i="1"/>
  <c r="K692" i="1"/>
  <c r="L692" i="1"/>
  <c r="R678" i="1"/>
  <c r="I693" i="1"/>
  <c r="K693" i="1"/>
  <c r="L693" i="1"/>
  <c r="R679" i="1"/>
  <c r="I694" i="1"/>
  <c r="K694" i="1"/>
  <c r="L694" i="1"/>
  <c r="R680" i="1"/>
  <c r="I695" i="1"/>
  <c r="K695" i="1"/>
  <c r="L695" i="1"/>
  <c r="R681" i="1"/>
  <c r="I696" i="1"/>
  <c r="K696" i="1"/>
  <c r="L696" i="1"/>
  <c r="R682" i="1"/>
  <c r="T673" i="1"/>
  <c r="R687" i="1"/>
  <c r="R688" i="1"/>
  <c r="R689" i="1"/>
  <c r="R690" i="1"/>
  <c r="R691" i="1"/>
  <c r="R692" i="1"/>
  <c r="R693" i="1"/>
  <c r="R694" i="1"/>
  <c r="R695" i="1"/>
  <c r="R696" i="1"/>
  <c r="T687" i="1"/>
  <c r="I701" i="1"/>
  <c r="K701" i="1"/>
  <c r="L701" i="1"/>
  <c r="R701" i="1"/>
  <c r="I702" i="1"/>
  <c r="K702" i="1"/>
  <c r="L702" i="1"/>
  <c r="R702" i="1"/>
  <c r="I703" i="1"/>
  <c r="K703" i="1"/>
  <c r="L703" i="1"/>
  <c r="R703" i="1"/>
  <c r="I704" i="1"/>
  <c r="K704" i="1"/>
  <c r="L704" i="1"/>
  <c r="R704" i="1"/>
  <c r="I705" i="1"/>
  <c r="K705" i="1"/>
  <c r="L705" i="1"/>
  <c r="R705" i="1"/>
  <c r="I706" i="1"/>
  <c r="K706" i="1"/>
  <c r="L706" i="1"/>
  <c r="R706" i="1"/>
  <c r="I707" i="1"/>
  <c r="K707" i="1"/>
  <c r="L707" i="1"/>
  <c r="R707" i="1"/>
  <c r="I708" i="1"/>
  <c r="K708" i="1"/>
  <c r="L708" i="1"/>
  <c r="R708" i="1"/>
  <c r="I709" i="1"/>
  <c r="K709" i="1"/>
  <c r="L709" i="1"/>
  <c r="R709" i="1"/>
  <c r="I710" i="1"/>
  <c r="K710" i="1"/>
  <c r="L710" i="1"/>
  <c r="R710" i="1"/>
  <c r="T701" i="1"/>
  <c r="I715" i="1"/>
  <c r="K715" i="1"/>
  <c r="L715" i="1"/>
  <c r="R715" i="1"/>
  <c r="I716" i="1"/>
  <c r="K716" i="1"/>
  <c r="L716" i="1"/>
  <c r="R716" i="1"/>
  <c r="I717" i="1"/>
  <c r="K717" i="1"/>
  <c r="L717" i="1"/>
  <c r="R717" i="1"/>
  <c r="I718" i="1"/>
  <c r="K718" i="1"/>
  <c r="L718" i="1"/>
  <c r="R718" i="1"/>
  <c r="I719" i="1"/>
  <c r="K719" i="1"/>
  <c r="L719" i="1"/>
  <c r="R719" i="1"/>
  <c r="R720" i="1"/>
  <c r="I721" i="1"/>
  <c r="K721" i="1"/>
  <c r="L721" i="1"/>
  <c r="R721" i="1"/>
  <c r="I722" i="1"/>
  <c r="K722" i="1"/>
  <c r="L722" i="1"/>
  <c r="R722" i="1"/>
  <c r="I723" i="1"/>
  <c r="K723" i="1"/>
  <c r="L723" i="1"/>
  <c r="R723" i="1"/>
  <c r="I724" i="1"/>
  <c r="K724" i="1"/>
  <c r="L724" i="1"/>
  <c r="R724" i="1"/>
  <c r="T715" i="1"/>
  <c r="I729" i="1"/>
  <c r="K729" i="1"/>
  <c r="L729" i="1"/>
  <c r="R729" i="1"/>
  <c r="I730" i="1"/>
  <c r="K730" i="1"/>
  <c r="L730" i="1"/>
  <c r="R730" i="1"/>
  <c r="I731" i="1"/>
  <c r="K731" i="1"/>
  <c r="L731" i="1"/>
  <c r="R731" i="1"/>
  <c r="I732" i="1"/>
  <c r="K732" i="1"/>
  <c r="L732" i="1"/>
  <c r="R732" i="1"/>
  <c r="I733" i="1"/>
  <c r="K733" i="1"/>
  <c r="L733" i="1"/>
  <c r="R733" i="1"/>
  <c r="I734" i="1"/>
  <c r="K734" i="1"/>
  <c r="L734" i="1"/>
  <c r="R734" i="1"/>
  <c r="I735" i="1"/>
  <c r="K735" i="1"/>
  <c r="L735" i="1"/>
  <c r="R735" i="1"/>
  <c r="I736" i="1"/>
  <c r="K736" i="1"/>
  <c r="L736" i="1"/>
  <c r="R736" i="1"/>
  <c r="I737" i="1"/>
  <c r="K737" i="1"/>
  <c r="L737" i="1"/>
  <c r="R737" i="1"/>
  <c r="I738" i="1"/>
  <c r="K738" i="1"/>
  <c r="L738" i="1"/>
  <c r="R738" i="1"/>
  <c r="T729" i="1"/>
  <c r="I743" i="1"/>
  <c r="K743" i="1"/>
  <c r="L743" i="1"/>
  <c r="R743" i="1"/>
  <c r="I744" i="1"/>
  <c r="K744" i="1"/>
  <c r="L744" i="1"/>
  <c r="R744" i="1"/>
  <c r="I745" i="1"/>
  <c r="K745" i="1"/>
  <c r="L745" i="1"/>
  <c r="R745" i="1"/>
  <c r="I746" i="1"/>
  <c r="K746" i="1"/>
  <c r="L746" i="1"/>
  <c r="R746" i="1"/>
  <c r="I747" i="1"/>
  <c r="K747" i="1"/>
  <c r="L747" i="1"/>
  <c r="R747" i="1"/>
  <c r="I748" i="1"/>
  <c r="K748" i="1"/>
  <c r="L748" i="1"/>
  <c r="R748" i="1"/>
  <c r="I749" i="1"/>
  <c r="K749" i="1"/>
  <c r="L749" i="1"/>
  <c r="R749" i="1"/>
  <c r="I750" i="1"/>
  <c r="K750" i="1"/>
  <c r="L750" i="1"/>
  <c r="R750" i="1"/>
  <c r="I751" i="1"/>
  <c r="K751" i="1"/>
  <c r="L751" i="1"/>
  <c r="R751" i="1"/>
  <c r="I752" i="1"/>
  <c r="K752" i="1"/>
  <c r="L752" i="1"/>
  <c r="R752" i="1"/>
  <c r="T743" i="1"/>
  <c r="N124" i="1"/>
  <c r="E8" i="1"/>
  <c r="E2" i="1"/>
  <c r="M596" i="1"/>
  <c r="M595" i="1"/>
  <c r="M594" i="1"/>
  <c r="M593" i="1"/>
  <c r="M592" i="1"/>
  <c r="M591" i="1"/>
  <c r="M590" i="1"/>
  <c r="M589" i="1"/>
  <c r="M588" i="1"/>
  <c r="M587" i="1"/>
  <c r="M498" i="1"/>
  <c r="M497" i="1"/>
  <c r="M496" i="1"/>
  <c r="M495" i="1"/>
  <c r="M494" i="1"/>
  <c r="M493" i="1"/>
  <c r="M492" i="1"/>
  <c r="M491" i="1"/>
  <c r="M490" i="1"/>
  <c r="M489" i="1"/>
  <c r="M440" i="1"/>
  <c r="M439" i="1"/>
  <c r="M438" i="1"/>
  <c r="M437" i="1"/>
  <c r="M436" i="1"/>
  <c r="M435" i="1"/>
  <c r="M434" i="1"/>
  <c r="M433" i="1"/>
  <c r="M432" i="1"/>
  <c r="M431" i="1"/>
  <c r="M284" i="1"/>
  <c r="M283" i="1"/>
  <c r="M282" i="1"/>
  <c r="M281" i="1"/>
  <c r="M280" i="1"/>
  <c r="M279" i="1"/>
  <c r="M278" i="1"/>
  <c r="M277" i="1"/>
  <c r="M276" i="1"/>
  <c r="M275" i="1"/>
  <c r="M270" i="1"/>
  <c r="M269" i="1"/>
  <c r="M268" i="1"/>
  <c r="M267" i="1"/>
  <c r="M266" i="1"/>
  <c r="M265" i="1"/>
  <c r="M264" i="1"/>
  <c r="M263" i="1"/>
  <c r="M262" i="1"/>
  <c r="M261" i="1"/>
  <c r="M242" i="1"/>
  <c r="M241" i="1"/>
  <c r="M228" i="1"/>
  <c r="M227" i="1"/>
  <c r="M226" i="1"/>
  <c r="M225" i="1"/>
  <c r="M157" i="1"/>
  <c r="M158" i="1"/>
  <c r="I284" i="1"/>
  <c r="K284" i="1"/>
  <c r="I283" i="1"/>
  <c r="K283" i="1"/>
  <c r="I282" i="1"/>
  <c r="K282" i="1"/>
  <c r="I281" i="1"/>
  <c r="K281" i="1"/>
  <c r="I280" i="1"/>
  <c r="K280" i="1"/>
  <c r="I279" i="1"/>
  <c r="K279" i="1"/>
  <c r="I278" i="1"/>
  <c r="K278" i="1"/>
  <c r="I277" i="1"/>
  <c r="K277" i="1"/>
  <c r="I276" i="1"/>
  <c r="K276" i="1"/>
  <c r="I275" i="1"/>
  <c r="K275" i="1"/>
  <c r="I270" i="1"/>
  <c r="K270" i="1"/>
  <c r="I269" i="1"/>
  <c r="K269" i="1"/>
  <c r="I268" i="1"/>
  <c r="K268" i="1"/>
  <c r="I267" i="1"/>
  <c r="K267" i="1"/>
  <c r="I266" i="1"/>
  <c r="K266" i="1"/>
  <c r="I265" i="1"/>
  <c r="K265" i="1"/>
  <c r="I264" i="1"/>
  <c r="K264" i="1"/>
  <c r="I263" i="1"/>
  <c r="K263" i="1"/>
  <c r="I262" i="1"/>
  <c r="K262" i="1"/>
  <c r="I261" i="1"/>
  <c r="K261" i="1"/>
  <c r="J431" i="1"/>
  <c r="J432" i="1"/>
  <c r="J433" i="1"/>
  <c r="J434" i="1"/>
  <c r="J435" i="1"/>
  <c r="J436" i="1"/>
  <c r="J437" i="1"/>
  <c r="J438" i="1"/>
  <c r="J439" i="1"/>
  <c r="J440" i="1"/>
  <c r="J489" i="1"/>
  <c r="J490" i="1"/>
  <c r="J491" i="1"/>
  <c r="J492" i="1"/>
  <c r="J493" i="1"/>
  <c r="J494" i="1"/>
  <c r="J495" i="1"/>
  <c r="J496" i="1"/>
  <c r="J497" i="1"/>
  <c r="J498" i="1"/>
  <c r="J587" i="1"/>
  <c r="J588" i="1"/>
  <c r="J589" i="1"/>
  <c r="J590" i="1"/>
  <c r="J591" i="1"/>
  <c r="J592" i="1"/>
  <c r="J593" i="1"/>
  <c r="J594" i="1"/>
  <c r="J595" i="1"/>
  <c r="J596" i="1"/>
  <c r="N587" i="1"/>
  <c r="N573" i="1"/>
  <c r="N559" i="1"/>
  <c r="N545" i="1"/>
  <c r="N531" i="1"/>
  <c r="N517" i="1"/>
  <c r="N503" i="1"/>
  <c r="N489" i="1"/>
  <c r="N475" i="1"/>
  <c r="N461" i="1"/>
  <c r="N431" i="1"/>
  <c r="N417" i="1"/>
  <c r="N403" i="1"/>
  <c r="N389" i="1"/>
  <c r="N375" i="1"/>
  <c r="N361" i="1"/>
  <c r="N347" i="1"/>
  <c r="N333" i="1"/>
  <c r="N319" i="1"/>
  <c r="N305" i="1"/>
  <c r="N275" i="1"/>
  <c r="N261" i="1"/>
  <c r="N247" i="1"/>
  <c r="N233" i="1"/>
  <c r="N219" i="1"/>
  <c r="N205" i="1"/>
  <c r="N191" i="1"/>
  <c r="T312" i="1"/>
  <c r="N149" i="1"/>
  <c r="T156" i="1"/>
  <c r="J158" i="1"/>
  <c r="F158" i="1"/>
  <c r="J157" i="1"/>
  <c r="F157" i="1"/>
  <c r="F431" i="1"/>
  <c r="F432" i="1"/>
  <c r="F489" i="1"/>
  <c r="F490" i="1"/>
  <c r="F491" i="1"/>
  <c r="F492" i="1"/>
  <c r="F493" i="1"/>
  <c r="F494" i="1"/>
  <c r="F495" i="1"/>
  <c r="F496" i="1"/>
  <c r="F497" i="1"/>
  <c r="F498" i="1"/>
  <c r="F261" i="1"/>
  <c r="F262" i="1"/>
  <c r="F263" i="1"/>
  <c r="F264" i="1"/>
  <c r="F265" i="1"/>
  <c r="F266" i="1"/>
  <c r="F267" i="1"/>
  <c r="F268" i="1"/>
  <c r="F269" i="1"/>
  <c r="F270" i="1"/>
  <c r="F631" i="1"/>
  <c r="J631" i="1"/>
  <c r="F632" i="1"/>
  <c r="J632" i="1"/>
  <c r="F633" i="1"/>
  <c r="J633" i="1"/>
  <c r="F634" i="1"/>
  <c r="J634" i="1"/>
  <c r="F635" i="1"/>
  <c r="J635" i="1"/>
  <c r="F636" i="1"/>
  <c r="J636" i="1"/>
  <c r="F637" i="1"/>
  <c r="J637" i="1"/>
  <c r="F638" i="1"/>
  <c r="J638" i="1"/>
  <c r="F645" i="1"/>
  <c r="J645" i="1"/>
  <c r="F646" i="1"/>
  <c r="J646" i="1"/>
  <c r="F647" i="1"/>
  <c r="J647" i="1"/>
  <c r="F648" i="1"/>
  <c r="J648" i="1"/>
  <c r="F649" i="1"/>
  <c r="J649" i="1"/>
  <c r="F650" i="1"/>
  <c r="J650" i="1"/>
  <c r="F659" i="1"/>
  <c r="J659" i="1"/>
  <c r="F660" i="1"/>
  <c r="J660" i="1"/>
  <c r="F661" i="1"/>
  <c r="J661" i="1"/>
  <c r="F662" i="1"/>
  <c r="J662" i="1"/>
  <c r="F663" i="1"/>
  <c r="J663" i="1"/>
  <c r="F687" i="1"/>
  <c r="J687" i="1"/>
  <c r="F688" i="1"/>
  <c r="J688" i="1"/>
  <c r="F689" i="1"/>
  <c r="J689" i="1"/>
  <c r="F690" i="1"/>
  <c r="J690" i="1"/>
  <c r="F691" i="1"/>
  <c r="J691" i="1"/>
  <c r="F692" i="1"/>
  <c r="J692" i="1"/>
  <c r="F701" i="1"/>
  <c r="J701" i="1"/>
  <c r="F702" i="1"/>
  <c r="J702" i="1"/>
  <c r="F703" i="1"/>
  <c r="J703" i="1"/>
  <c r="F704" i="1"/>
  <c r="J704" i="1"/>
  <c r="F705" i="1"/>
  <c r="J705" i="1"/>
  <c r="F706" i="1"/>
  <c r="J706" i="1"/>
  <c r="F707" i="1"/>
  <c r="J707" i="1"/>
  <c r="F708" i="1"/>
  <c r="J708" i="1"/>
  <c r="F715" i="1"/>
  <c r="J715" i="1"/>
  <c r="F716" i="1"/>
  <c r="J716" i="1"/>
  <c r="F717" i="1"/>
  <c r="J717" i="1"/>
  <c r="F718" i="1"/>
  <c r="J718" i="1"/>
  <c r="F719" i="1"/>
  <c r="J719" i="1"/>
  <c r="F721" i="1"/>
  <c r="J721" i="1"/>
  <c r="F722" i="1"/>
  <c r="J722" i="1"/>
  <c r="F729" i="1"/>
  <c r="J729" i="1"/>
  <c r="F730" i="1"/>
  <c r="J730" i="1"/>
  <c r="F731" i="1"/>
  <c r="J731" i="1"/>
  <c r="F732" i="1"/>
  <c r="J732" i="1"/>
  <c r="F733" i="1"/>
  <c r="J733" i="1"/>
  <c r="F734" i="1"/>
  <c r="J734" i="1"/>
  <c r="F735" i="1"/>
  <c r="J735" i="1"/>
  <c r="F736" i="1"/>
  <c r="J736" i="1"/>
  <c r="F737" i="1"/>
  <c r="J737" i="1"/>
  <c r="N163" i="1"/>
  <c r="N177" i="1"/>
  <c r="N77" i="1"/>
  <c r="N92" i="1"/>
  <c r="N107" i="1"/>
  <c r="N631" i="1"/>
  <c r="N645" i="1"/>
  <c r="N659" i="1"/>
  <c r="N673" i="1"/>
  <c r="N687" i="1"/>
  <c r="N701" i="1"/>
  <c r="N715" i="1"/>
  <c r="N729" i="1"/>
  <c r="N743" i="1"/>
  <c r="N122" i="1"/>
  <c r="J654" i="1"/>
  <c r="J653" i="1"/>
  <c r="J652" i="1"/>
  <c r="J651" i="1"/>
  <c r="F651" i="1"/>
  <c r="F652" i="1"/>
  <c r="F653" i="1"/>
  <c r="F654" i="1"/>
  <c r="J752" i="1"/>
  <c r="F752" i="1"/>
  <c r="J751" i="1"/>
  <c r="F751" i="1"/>
  <c r="J750" i="1"/>
  <c r="F750" i="1"/>
  <c r="J749" i="1"/>
  <c r="F749" i="1"/>
  <c r="J748" i="1"/>
  <c r="F748" i="1"/>
  <c r="J747" i="1"/>
  <c r="F747" i="1"/>
  <c r="J746" i="1"/>
  <c r="F746" i="1"/>
  <c r="J745" i="1"/>
  <c r="F745" i="1"/>
  <c r="J744" i="1"/>
  <c r="F744" i="1"/>
  <c r="J743" i="1"/>
  <c r="F743" i="1"/>
  <c r="J738" i="1"/>
  <c r="F738" i="1"/>
  <c r="J724" i="1"/>
  <c r="F724" i="1"/>
  <c r="J723" i="1"/>
  <c r="F723" i="1"/>
  <c r="J710" i="1"/>
  <c r="F710" i="1"/>
  <c r="J709" i="1"/>
  <c r="F709" i="1"/>
  <c r="J696" i="1"/>
  <c r="F696" i="1"/>
  <c r="J695" i="1"/>
  <c r="F695" i="1"/>
  <c r="J694" i="1"/>
  <c r="F694" i="1"/>
  <c r="J693" i="1"/>
  <c r="F693" i="1"/>
  <c r="J668" i="1"/>
  <c r="F668" i="1"/>
  <c r="J667" i="1"/>
  <c r="F667" i="1"/>
  <c r="J666" i="1"/>
  <c r="F666" i="1"/>
  <c r="J665" i="1"/>
  <c r="F665" i="1"/>
  <c r="J664" i="1"/>
  <c r="F664" i="1"/>
  <c r="J640" i="1"/>
  <c r="F640" i="1"/>
  <c r="J639" i="1"/>
  <c r="F639" i="1"/>
  <c r="F626" i="1"/>
  <c r="F625" i="1"/>
  <c r="J625" i="1"/>
  <c r="F624" i="1"/>
  <c r="J624" i="1"/>
  <c r="J623" i="1"/>
  <c r="F623" i="1"/>
  <c r="F622" i="1"/>
  <c r="J622" i="1"/>
  <c r="J621" i="1"/>
  <c r="F621" i="1"/>
  <c r="J620" i="1"/>
  <c r="F620" i="1"/>
  <c r="J619" i="1"/>
  <c r="F619" i="1"/>
  <c r="F618" i="1"/>
  <c r="J617" i="1"/>
  <c r="F617" i="1"/>
  <c r="J618" i="1"/>
  <c r="J626" i="1"/>
  <c r="F596" i="1"/>
  <c r="F595" i="1"/>
  <c r="F594" i="1"/>
  <c r="F593" i="1"/>
  <c r="F592" i="1"/>
  <c r="F591" i="1"/>
  <c r="F590" i="1"/>
  <c r="F589" i="1"/>
  <c r="F588" i="1"/>
  <c r="F587" i="1"/>
  <c r="F440" i="1"/>
  <c r="F439" i="1"/>
  <c r="F438" i="1"/>
  <c r="F437" i="1"/>
  <c r="F436" i="1"/>
  <c r="F435" i="1"/>
  <c r="F434" i="1"/>
  <c r="F433" i="1"/>
  <c r="F284" i="1"/>
  <c r="F283" i="1"/>
  <c r="F282" i="1"/>
  <c r="F281" i="1"/>
  <c r="F280" i="1"/>
  <c r="F279" i="1"/>
  <c r="F278" i="1"/>
  <c r="F277" i="1"/>
  <c r="F276" i="1"/>
  <c r="F275" i="1"/>
  <c r="T438" i="1"/>
  <c r="T594" i="1"/>
  <c r="T566" i="1"/>
  <c r="T552" i="1"/>
  <c r="T680" i="1"/>
  <c r="T750" i="1"/>
  <c r="T538" i="1"/>
  <c r="T382" i="1"/>
  <c r="T652" i="1"/>
  <c r="T240" i="1"/>
  <c r="T722" i="1"/>
  <c r="T282" i="1"/>
  <c r="T268" i="1"/>
  <c r="T580" i="1"/>
  <c r="T424" i="1"/>
  <c r="T410" i="1"/>
  <c r="T396" i="1"/>
  <c r="T736" i="1"/>
  <c r="T694" i="1"/>
  <c r="T254" i="1"/>
  <c r="T170" i="1"/>
  <c r="T708" i="1"/>
  <c r="N617" i="1"/>
  <c r="T624" i="1"/>
  <c r="T468" i="1"/>
  <c r="T496" i="1"/>
  <c r="T226" i="1"/>
  <c r="T482" i="1"/>
  <c r="T524" i="1"/>
  <c r="T368" i="1"/>
  <c r="T212" i="1"/>
  <c r="T666" i="1"/>
  <c r="T184" i="1"/>
  <c r="T326" i="1"/>
  <c r="T638" i="1"/>
  <c r="T340" i="1"/>
  <c r="T354" i="1"/>
  <c r="T198" i="1"/>
  <c r="N81" i="1"/>
  <c r="T510" i="1"/>
</calcChain>
</file>

<file path=xl/sharedStrings.xml><?xml version="1.0" encoding="utf-8"?>
<sst xmlns="http://schemas.openxmlformats.org/spreadsheetml/2006/main" count="1531" uniqueCount="161">
  <si>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</si>
  <si>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</si>
  <si>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</si>
  <si>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</si>
  <si>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</si>
  <si>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</si>
  <si>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</si>
  <si>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</si>
  <si>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</si>
  <si>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</si>
  <si>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</si>
  <si>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</si>
  <si>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</si>
  <si>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</si>
  <si>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</si>
  <si>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</si>
  <si>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</si>
  <si>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</si>
  <si>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</si>
  <si>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</si>
  <si>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</si>
  <si>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</si>
  <si>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</si>
  <si>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</si>
  <si>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</si>
  <si>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</si>
  <si>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</si>
  <si>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</si>
  <si>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</si>
  <si>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</si>
  <si>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</si>
  <si>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</si>
  <si>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</si>
  <si>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ROI-T</t>
  </si>
  <si>
    <t>€</t>
  </si>
  <si>
    <t>LMS</t>
  </si>
  <si>
    <t>Grundeinsatz (€)</t>
  </si>
  <si>
    <t>Rundungsfehler</t>
  </si>
  <si>
    <t>Betting Size</t>
  </si>
  <si>
    <t>W%-T1</t>
  </si>
  <si>
    <t>T2</t>
  </si>
  <si>
    <t>T1</t>
  </si>
  <si>
    <t>bbq</t>
  </si>
  <si>
    <t xml:space="preserve"> </t>
  </si>
  <si>
    <t>kgm</t>
  </si>
  <si>
    <t>jt</t>
  </si>
  <si>
    <t>mad</t>
  </si>
  <si>
    <t>hka</t>
  </si>
  <si>
    <t>m17</t>
  </si>
  <si>
    <t>AFs</t>
  </si>
  <si>
    <t>C9</t>
  </si>
  <si>
    <t>CG</t>
  </si>
  <si>
    <t>´CG</t>
  </si>
  <si>
    <t>CLG</t>
  </si>
  <si>
    <t>FLY</t>
  </si>
  <si>
    <t>FNC</t>
  </si>
  <si>
    <t>FOX</t>
  </si>
  <si>
    <t>G2</t>
  </si>
  <si>
    <t>GGS</t>
  </si>
  <si>
    <t>GIA</t>
  </si>
  <si>
    <t>H2K</t>
  </si>
  <si>
    <t>JAG</t>
  </si>
  <si>
    <t>KDM</t>
  </si>
  <si>
    <t>KSV</t>
  </si>
  <si>
    <t>KT</t>
  </si>
  <si>
    <t>KZ</t>
  </si>
  <si>
    <t>MFS</t>
  </si>
  <si>
    <t>MVP</t>
  </si>
  <si>
    <t>OPT</t>
  </si>
  <si>
    <t>ROC</t>
  </si>
  <si>
    <t>ROX</t>
  </si>
  <si>
    <t>S04</t>
  </si>
  <si>
    <t>SKT</t>
  </si>
  <si>
    <t>SKT1</t>
  </si>
  <si>
    <t>SPY</t>
  </si>
  <si>
    <t>TL</t>
  </si>
  <si>
    <t>TSM</t>
  </si>
  <si>
    <t>UOL</t>
  </si>
  <si>
    <t>VIT</t>
  </si>
  <si>
    <t>Gewinn (Mit SB)</t>
  </si>
  <si>
    <t>Gewinn (Ohne SB)</t>
  </si>
  <si>
    <t>Smartboost (SB)</t>
  </si>
  <si>
    <t>Tendenzen</t>
  </si>
  <si>
    <t>Accuracy</t>
  </si>
  <si>
    <t>Woche</t>
  </si>
  <si>
    <t>Wetten Gewonnen</t>
  </si>
  <si>
    <t>Netto Gewinn (SB)</t>
  </si>
  <si>
    <t>Netto Gewinn (ohne SB)</t>
  </si>
  <si>
    <t>AUC Score</t>
  </si>
  <si>
    <t/>
  </si>
  <si>
    <t>Modelldaten: Beimut_2.6</t>
  </si>
  <si>
    <t>0/0</t>
  </si>
  <si>
    <t>SSS</t>
  </si>
  <si>
    <t>Features</t>
  </si>
  <si>
    <t>Alle</t>
  </si>
  <si>
    <t>sss acc average</t>
  </si>
  <si>
    <t>8/21</t>
  </si>
  <si>
    <t>6/20</t>
  </si>
  <si>
    <t>7/14</t>
  </si>
  <si>
    <t>11/24</t>
  </si>
  <si>
    <t>73/170</t>
  </si>
  <si>
    <t>100/180</t>
  </si>
  <si>
    <t>Gewinn SB</t>
  </si>
  <si>
    <t>Wetten</t>
  </si>
  <si>
    <t>Modell 1</t>
  </si>
  <si>
    <t>Modell 2</t>
  </si>
  <si>
    <t>Modell 3</t>
  </si>
  <si>
    <t>Modell 4</t>
  </si>
  <si>
    <t>Modell 5</t>
  </si>
  <si>
    <t>Modell 6</t>
  </si>
  <si>
    <t>Modell 7</t>
  </si>
  <si>
    <t>Modell 8</t>
  </si>
  <si>
    <t>Modell 9</t>
  </si>
  <si>
    <t>Modell 10</t>
  </si>
  <si>
    <t>Modell 11</t>
  </si>
  <si>
    <t>Modell 12</t>
  </si>
  <si>
    <t>LR</t>
  </si>
  <si>
    <t>58/157</t>
  </si>
  <si>
    <t>107/181</t>
  </si>
  <si>
    <t>8/20</t>
  </si>
  <si>
    <t>62/176</t>
  </si>
  <si>
    <t>73/122</t>
  </si>
  <si>
    <t>team_towerkills',
'team_dragonkills',
'team_riftheraldkills',
'KDA',
'perkPrimaryStyle',
'perkSubStyle',
'goldPerMin', 'dmgToChampsPerMin', 'damageDealtToObjectivesPerMin',
'utilityScore',
'JungleControl'</t>
  </si>
  <si>
    <t>wie Modell 4</t>
  </si>
  <si>
    <t>Modell 13</t>
  </si>
  <si>
    <t>Modell 14</t>
  </si>
  <si>
    <t>Modell 15</t>
  </si>
  <si>
    <t xml:space="preserve">KDA',
'goldPerMin',      'dmgToChampsPerMin',      'damageDealtToObjectivesPerMin',      'damageDealtToTurretsPerMin',      'defenseScore',      'utilityScore',      'pushingScore',      'JungleControl',      'dmgScore', </t>
  </si>
  <si>
    <t>wie modell 7</t>
  </si>
  <si>
    <t>wie Modell 7</t>
  </si>
  <si>
    <t>64/161</t>
  </si>
  <si>
    <t>100/176</t>
  </si>
  <si>
    <t>103/177</t>
  </si>
  <si>
    <t>104/180</t>
  </si>
  <si>
    <t>66/169</t>
  </si>
  <si>
    <t>62/166</t>
  </si>
  <si>
    <t>101/175</t>
  </si>
  <si>
    <t>65/163</t>
  </si>
  <si>
    <t>63/153</t>
  </si>
  <si>
    <t>102/178</t>
  </si>
  <si>
    <t>93/172</t>
  </si>
  <si>
    <t>59/172</t>
  </si>
  <si>
    <t>2/12</t>
  </si>
  <si>
    <t>16/29</t>
  </si>
  <si>
    <t>10/18</t>
  </si>
  <si>
    <t>2/7</t>
  </si>
  <si>
    <t>2/3</t>
  </si>
  <si>
    <t>1/2</t>
  </si>
  <si>
    <t>0/5</t>
  </si>
  <si>
    <t>15/30</t>
  </si>
  <si>
    <t>8/16</t>
  </si>
  <si>
    <t>1/4</t>
  </si>
  <si>
    <t>5/14</t>
  </si>
  <si>
    <t>4/16</t>
  </si>
  <si>
    <t>16/27</t>
  </si>
  <si>
    <t>20/30</t>
  </si>
  <si>
    <t>11/19</t>
  </si>
  <si>
    <t>8/15</t>
  </si>
  <si>
    <t>62/150</t>
  </si>
  <si>
    <t>50/110</t>
  </si>
  <si>
    <t>97/179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</si>
</sst>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0.000"/>
  </numFmts>
  <fonts count="29" x14ac:knownFonts="1">
    <font>
      <sz val="11"/>
      <color theme="1"/>
      <name val="Calibri"/>
      <family val="2"/>
      <scheme val="minor"/>
    </font>
    <font>
      <sz val="26"/>
      <color theme="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20"/>
      <color theme="0"/>
      <name val="Arial"/>
      <family val="2"/>
    </font>
    <font>
      <sz val="14"/>
      <color theme="0"/>
      <name val="Arial"/>
      <family val="2"/>
    </font>
    <font>
      <sz val="18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sz val="11"/>
      <color rgb="FF000000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16"/>
      <color theme="0"/>
      <name val="Arial"/>
      <family val="2"/>
    </font>
    <font>
      <sz val="11"/>
      <color rgb="FFFF0000"/>
      <name val="Arial"/>
      <family val="2"/>
    </font>
    <font>
      <b/>
      <sz val="12"/>
      <color rgb="FF070000"/>
      <name val="Arial"/>
      <family val="2"/>
    </font>
    <font>
      <sz val="16"/>
      <color rgb="FF339966"/>
      <name val="Calibri"/>
      <family val="2"/>
    </font>
    <font>
      <sz val="16"/>
      <color rgb="FFFF0000"/>
      <name val="Calibri"/>
      <family val="2"/>
    </font>
    <font>
      <sz val="11"/>
      <color rgb="FF000000"/>
      <name val="Calibri"/>
      <family val="2"/>
    </font>
    <font>
      <b/>
      <sz val="12"/>
      <color rgb="FF0070C0"/>
      <name val="Arial"/>
      <family val="2"/>
    </font>
    <font>
      <b/>
      <sz val="12"/>
      <color rgb="FFFF0000"/>
      <name val="Arial"/>
      <family val="2"/>
    </font>
    <font>
      <sz val="9"/>
      <color rgb="FF339966"/>
      <name val="Calibri"/>
      <family val="2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4">
    <xf numFmtId="0" fontId="0" fillId="0" borderId="0" xfId="0"/>
    <xf numFmtId="0" fontId="3" fillId="4" borderId="15" xfId="0" applyFont="1" applyFill="1" applyBorder="1" applyAlignment="1">
      <alignment horizontal="center" vertical="center"/>
    </xf>
    <xf numFmtId="0" fontId="2" fillId="4" borderId="0" xfId="0" applyFont="1" applyFill="1"/>
    <xf numFmtId="0" fontId="5" fillId="4" borderId="0" xfId="0" applyFont="1" applyFill="1"/>
    <xf numFmtId="0" fontId="2" fillId="4" borderId="0" xfId="0" applyFont="1" applyFill="1" applyAlignment="1">
      <alignment horizontal="left" vertical="center"/>
    </xf>
    <xf numFmtId="0" fontId="2" fillId="4" borderId="0" xfId="0" applyNumberFormat="1" applyFont="1" applyFill="1"/>
    <xf numFmtId="2" fontId="2" fillId="4" borderId="0" xfId="0" applyNumberFormat="1" applyFont="1" applyFill="1"/>
    <xf numFmtId="0" fontId="2" fillId="0" borderId="0" xfId="0" applyFont="1" applyFill="1"/>
    <xf numFmtId="0" fontId="2" fillId="0" borderId="0" xfId="0" applyFont="1"/>
    <xf numFmtId="0" fontId="7" fillId="4" borderId="0" xfId="0" applyFont="1" applyFill="1"/>
    <xf numFmtId="0" fontId="8" fillId="4" borderId="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0" xfId="0" applyNumberFormat="1" applyFont="1" applyFill="1"/>
    <xf numFmtId="2" fontId="2" fillId="8" borderId="0" xfId="0" applyNumberFormat="1" applyFont="1" applyFill="1"/>
    <xf numFmtId="0" fontId="2" fillId="0" borderId="0" xfId="0" applyNumberFormat="1" applyFont="1"/>
    <xf numFmtId="2" fontId="2" fillId="0" borderId="0" xfId="0" applyNumberFormat="1" applyFont="1"/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/>
    <xf numFmtId="2" fontId="2" fillId="0" borderId="0" xfId="0" applyNumberFormat="1" applyFont="1" applyFill="1"/>
    <xf numFmtId="0" fontId="2" fillId="7" borderId="4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7" borderId="4" xfId="0" applyFont="1" applyFill="1" applyBorder="1"/>
    <xf numFmtId="0" fontId="2" fillId="7" borderId="0" xfId="0" applyFont="1" applyFill="1" applyBorder="1"/>
    <xf numFmtId="0" fontId="2" fillId="7" borderId="5" xfId="0" applyFont="1" applyFill="1" applyBorder="1"/>
    <xf numFmtId="0" fontId="2" fillId="7" borderId="6" xfId="0" applyFont="1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14" fillId="6" borderId="2" xfId="0" applyNumberFormat="1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9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 vertical="center"/>
    </xf>
    <xf numFmtId="2" fontId="15" fillId="3" borderId="9" xfId="0" applyNumberFormat="1" applyFont="1" applyFill="1" applyBorder="1" applyAlignment="1">
      <alignment horizontal="center" vertical="center"/>
    </xf>
    <xf numFmtId="7" fontId="16" fillId="4" borderId="1" xfId="0" applyNumberFormat="1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NumberFormat="1" applyFont="1" applyFill="1" applyBorder="1" applyAlignment="1">
      <alignment horizontal="center" vertical="center"/>
    </xf>
    <xf numFmtId="2" fontId="8" fillId="4" borderId="2" xfId="0" applyNumberFormat="1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/>
    </xf>
    <xf numFmtId="7" fontId="16" fillId="2" borderId="4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1" xfId="0" applyNumberFormat="1" applyFont="1" applyBorder="1" applyAlignment="1">
      <alignment horizontal="center" vertical="center"/>
    </xf>
    <xf numFmtId="7" fontId="16" fillId="4" borderId="4" xfId="0" applyNumberFormat="1" applyFont="1" applyFill="1" applyBorder="1" applyAlignment="1">
      <alignment horizontal="center" vertical="center" wrapText="1"/>
    </xf>
    <xf numFmtId="0" fontId="8" fillId="4" borderId="0" xfId="0" applyNumberFormat="1" applyFont="1" applyFill="1" applyBorder="1" applyAlignment="1">
      <alignment horizontal="center" vertical="center"/>
    </xf>
    <xf numFmtId="2" fontId="8" fillId="4" borderId="0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2" fontId="15" fillId="3" borderId="11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6" fillId="4" borderId="4" xfId="0" applyNumberFormat="1" applyFont="1" applyFill="1" applyBorder="1" applyAlignment="1">
      <alignment horizontal="center" vertical="center" wrapText="1"/>
    </xf>
    <xf numFmtId="0" fontId="16" fillId="2" borderId="6" xfId="0" applyNumberFormat="1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2" fontId="8" fillId="2" borderId="7" xfId="0" applyNumberFormat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0" fontId="4" fillId="8" borderId="0" xfId="0" applyFont="1" applyFill="1"/>
    <xf numFmtId="0" fontId="2" fillId="8" borderId="0" xfId="0" applyFont="1" applyFill="1" applyBorder="1"/>
    <xf numFmtId="0" fontId="4" fillId="8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7" fontId="16" fillId="2" borderId="6" xfId="0" applyNumberFormat="1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2" fillId="5" borderId="0" xfId="0" applyFont="1" applyFill="1"/>
    <xf numFmtId="0" fontId="2" fillId="5" borderId="0" xfId="0" applyNumberFormat="1" applyFont="1" applyFill="1"/>
    <xf numFmtId="2" fontId="2" fillId="5" borderId="0" xfId="0" applyNumberFormat="1" applyFont="1" applyFill="1"/>
    <xf numFmtId="0" fontId="19" fillId="3" borderId="1" xfId="0" applyFont="1" applyFill="1" applyBorder="1" applyAlignment="1">
      <alignment horizontal="center" vertical="center" textRotation="255" wrapText="1"/>
    </xf>
    <xf numFmtId="0" fontId="19" fillId="3" borderId="4" xfId="0" applyFont="1" applyFill="1" applyBorder="1" applyAlignment="1">
      <alignment horizontal="center" vertical="center" textRotation="255" wrapText="1"/>
    </xf>
    <xf numFmtId="0" fontId="14" fillId="6" borderId="0" xfId="0" applyFont="1" applyFill="1" applyAlignment="1">
      <alignment horizontal="center" vertical="center"/>
    </xf>
    <xf numFmtId="0" fontId="14" fillId="6" borderId="15" xfId="0" applyFont="1" applyFill="1" applyBorder="1" applyAlignment="1">
      <alignment horizontal="center" vertical="center"/>
    </xf>
    <xf numFmtId="0" fontId="2" fillId="8" borderId="0" xfId="0" applyNumberFormat="1" applyFont="1" applyFill="1" applyBorder="1"/>
    <xf numFmtId="2" fontId="2" fillId="8" borderId="0" xfId="0" applyNumberFormat="1" applyFont="1" applyFill="1" applyBorder="1"/>
    <xf numFmtId="0" fontId="14" fillId="6" borderId="1" xfId="0" applyFont="1" applyFill="1" applyBorder="1" applyAlignment="1">
      <alignment horizontal="center" vertical="center"/>
    </xf>
    <xf numFmtId="0" fontId="2" fillId="8" borderId="0" xfId="0" applyNumberFormat="1" applyFont="1" applyFill="1" applyBorder="1" applyAlignment="1">
      <alignment horizontal="center" vertical="center"/>
    </xf>
    <xf numFmtId="2" fontId="18" fillId="8" borderId="0" xfId="0" applyNumberFormat="1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0" fontId="16" fillId="4" borderId="4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NumberFormat="1" applyFont="1" applyFill="1" applyBorder="1" applyAlignment="1">
      <alignment horizontal="center"/>
    </xf>
    <xf numFmtId="2" fontId="15" fillId="8" borderId="0" xfId="0" applyNumberFormat="1" applyFont="1" applyFill="1" applyBorder="1" applyAlignment="1">
      <alignment horizontal="center" vertical="center"/>
    </xf>
    <xf numFmtId="2" fontId="17" fillId="8" borderId="0" xfId="0" applyNumberFormat="1" applyFont="1" applyFill="1" applyBorder="1" applyAlignment="1">
      <alignment horizontal="center" vertical="center"/>
    </xf>
    <xf numFmtId="2" fontId="2" fillId="8" borderId="0" xfId="0" applyNumberFormat="1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2" fontId="4" fillId="4" borderId="15" xfId="0" applyNumberFormat="1" applyFont="1" applyFill="1" applyBorder="1" applyAlignment="1">
      <alignment horizontal="center" vertical="center"/>
    </xf>
    <xf numFmtId="2" fontId="4" fillId="4" borderId="13" xfId="0" applyNumberFormat="1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2" fillId="10" borderId="8" xfId="0" applyFont="1" applyFill="1" applyBorder="1"/>
    <xf numFmtId="0" fontId="2" fillId="10" borderId="1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10" borderId="4" xfId="0" applyFont="1" applyFill="1" applyBorder="1"/>
    <xf numFmtId="0" fontId="2" fillId="10" borderId="6" xfId="0" applyFont="1" applyFill="1" applyBorder="1"/>
    <xf numFmtId="0" fontId="2" fillId="4" borderId="0" xfId="0" applyFont="1" applyFill="1" applyBorder="1"/>
    <xf numFmtId="0" fontId="2" fillId="4" borderId="0" xfId="0" applyNumberFormat="1" applyFont="1" applyFill="1" applyBorder="1"/>
    <xf numFmtId="0" fontId="2" fillId="4" borderId="16" xfId="0" applyFont="1" applyFill="1" applyBorder="1" applyAlignment="1">
      <alignment horizontal="center" vertical="center"/>
    </xf>
    <xf numFmtId="49" fontId="9" fillId="2" borderId="5" xfId="0" applyNumberFormat="1" applyFont="1" applyFill="1" applyBorder="1" applyAlignment="1">
      <alignment horizontal="center" vertical="center"/>
    </xf>
    <xf numFmtId="49" fontId="9" fillId="2" borderId="11" xfId="0" applyNumberFormat="1" applyFont="1" applyFill="1" applyBorder="1" applyAlignment="1">
      <alignment horizontal="center" vertical="center"/>
    </xf>
    <xf numFmtId="49" fontId="9" fillId="2" borderId="0" xfId="0" applyNumberFormat="1" applyFont="1" applyFill="1" applyBorder="1" applyAlignment="1">
      <alignment horizontal="center" vertical="center"/>
    </xf>
    <xf numFmtId="0" fontId="9" fillId="2" borderId="8" xfId="0" applyNumberFormat="1" applyFont="1" applyFill="1" applyBorder="1" applyAlignment="1">
      <alignment horizontal="center" vertical="center"/>
    </xf>
    <xf numFmtId="2" fontId="9" fillId="2" borderId="10" xfId="0" applyNumberFormat="1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2" fontId="9" fillId="2" borderId="7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11" borderId="18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2" fontId="4" fillId="4" borderId="12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2" fontId="9" fillId="2" borderId="6" xfId="0" applyNumberFormat="1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2" fontId="4" fillId="7" borderId="21" xfId="0" applyNumberFormat="1" applyFont="1" applyFill="1" applyBorder="1" applyAlignment="1">
      <alignment horizontal="center" vertical="center"/>
    </xf>
    <xf numFmtId="0" fontId="4" fillId="7" borderId="21" xfId="0" applyNumberFormat="1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4" borderId="0" xfId="0" quotePrefix="1" applyFont="1" applyFill="1" applyBorder="1" applyAlignment="1">
      <alignment wrapText="1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quotePrefix="1" applyFont="1" applyFill="1" applyBorder="1" applyAlignment="1">
      <alignment wrapText="1"/>
    </xf>
    <xf numFmtId="0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49" fontId="26" fillId="4" borderId="12" xfId="0" applyNumberFormat="1" applyFont="1" applyFill="1" applyBorder="1" applyAlignment="1">
      <alignment horizontal="center"/>
    </xf>
    <xf numFmtId="49" fontId="26" fillId="4" borderId="13" xfId="0" applyNumberFormat="1" applyFont="1" applyFill="1" applyBorder="1" applyAlignment="1">
      <alignment horizontal="center"/>
    </xf>
    <xf numFmtId="49" fontId="26" fillId="4" borderId="14" xfId="0" applyNumberFormat="1" applyFont="1" applyFill="1" applyBorder="1" applyAlignment="1">
      <alignment horizontal="center"/>
    </xf>
    <xf numFmtId="0" fontId="25" fillId="4" borderId="12" xfId="0" applyFont="1" applyFill="1" applyBorder="1" applyAlignment="1">
      <alignment horizontal="center"/>
    </xf>
    <xf numFmtId="0" fontId="25" fillId="4" borderId="13" xfId="0" applyFont="1" applyFill="1" applyBorder="1" applyAlignment="1">
      <alignment horizontal="center"/>
    </xf>
    <xf numFmtId="0" fontId="25" fillId="4" borderId="8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2" fontId="21" fillId="2" borderId="1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/>
    </xf>
    <xf numFmtId="2" fontId="4" fillId="2" borderId="6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2" borderId="2" xfId="0" applyNumberFormat="1" applyFont="1" applyFill="1" applyBorder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/>
    </xf>
    <xf numFmtId="49" fontId="6" fillId="2" borderId="6" xfId="0" applyNumberFormat="1" applyFont="1" applyFill="1" applyBorder="1" applyAlignment="1">
      <alignment horizontal="center" vertical="center"/>
    </xf>
    <xf numFmtId="49" fontId="6" fillId="2" borderId="7" xfId="0" applyNumberFormat="1" applyFont="1" applyFill="1" applyBorder="1" applyAlignment="1">
      <alignment horizontal="center" vertical="center"/>
    </xf>
    <xf numFmtId="49" fontId="6" fillId="2" borderId="8" xfId="0" applyNumberFormat="1" applyFont="1" applyFill="1" applyBorder="1" applyAlignment="1">
      <alignment horizontal="center" vertical="center"/>
    </xf>
    <xf numFmtId="2" fontId="6" fillId="2" borderId="11" xfId="0" applyNumberFormat="1" applyFont="1" applyFill="1" applyBorder="1" applyAlignment="1">
      <alignment horizontal="center" vertical="center"/>
    </xf>
    <xf numFmtId="2" fontId="6" fillId="2" borderId="5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textRotation="90" wrapText="1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2" fontId="17" fillId="0" borderId="11" xfId="0" applyNumberFormat="1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textRotation="255" wrapText="1"/>
    </xf>
    <xf numFmtId="0" fontId="11" fillId="3" borderId="4" xfId="0" applyFont="1" applyFill="1" applyBorder="1" applyAlignment="1">
      <alignment horizontal="center" vertical="center" textRotation="255" wrapText="1"/>
    </xf>
    <xf numFmtId="0" fontId="11" fillId="3" borderId="6" xfId="0" applyFont="1" applyFill="1" applyBorder="1" applyAlignment="1">
      <alignment horizontal="center" vertical="center" textRotation="255" wrapText="1"/>
    </xf>
    <xf numFmtId="0" fontId="13" fillId="3" borderId="3" xfId="0" applyFont="1" applyFill="1" applyBorder="1" applyAlignment="1">
      <alignment horizontal="center" vertical="center" textRotation="90"/>
    </xf>
    <xf numFmtId="0" fontId="13" fillId="3" borderId="5" xfId="0" applyFont="1" applyFill="1" applyBorder="1" applyAlignment="1">
      <alignment horizontal="center" vertical="center" textRotation="90"/>
    </xf>
    <xf numFmtId="0" fontId="13" fillId="3" borderId="8" xfId="0" applyFont="1" applyFill="1" applyBorder="1" applyAlignment="1">
      <alignment horizontal="center" vertical="center" textRotation="90"/>
    </xf>
    <xf numFmtId="2" fontId="17" fillId="0" borderId="0" xfId="0" applyNumberFormat="1" applyFont="1" applyFill="1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2" fontId="18" fillId="0" borderId="9" xfId="0" applyNumberFormat="1" applyFont="1" applyBorder="1" applyAlignment="1">
      <alignment horizontal="center" vertical="center"/>
    </xf>
    <xf numFmtId="2" fontId="18" fillId="0" borderId="11" xfId="0" applyNumberFormat="1" applyFont="1" applyBorder="1" applyAlignment="1">
      <alignment horizontal="center" vertical="center"/>
    </xf>
    <xf numFmtId="2" fontId="18" fillId="0" borderId="10" xfId="0" applyNumberFormat="1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 textRotation="255" wrapText="1"/>
    </xf>
    <xf numFmtId="0" fontId="12" fillId="3" borderId="4" xfId="0" applyFont="1" applyFill="1" applyBorder="1" applyAlignment="1">
      <alignment horizontal="center" vertical="center" textRotation="255" wrapText="1"/>
    </xf>
    <xf numFmtId="0" fontId="12" fillId="3" borderId="6" xfId="0" applyFont="1" applyFill="1" applyBorder="1" applyAlignment="1">
      <alignment horizontal="center" vertical="center" textRotation="255" wrapText="1"/>
    </xf>
    <xf numFmtId="2" fontId="4" fillId="2" borderId="3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6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8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 textRotation="90"/>
    </xf>
    <xf numFmtId="0" fontId="13" fillId="3" borderId="11" xfId="0" applyFont="1" applyFill="1" applyBorder="1" applyAlignment="1">
      <alignment horizontal="center" vertical="center" textRotation="90"/>
    </xf>
    <xf numFmtId="0" fontId="13" fillId="3" borderId="10" xfId="0" applyFont="1" applyFill="1" applyBorder="1" applyAlignment="1">
      <alignment horizontal="center" vertical="center" textRotation="90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 textRotation="255" wrapText="1"/>
    </xf>
    <xf numFmtId="0" fontId="11" fillId="3" borderId="0" xfId="0" applyFont="1" applyFill="1" applyBorder="1" applyAlignment="1">
      <alignment horizontal="center" vertical="center" textRotation="255" wrapText="1"/>
    </xf>
    <xf numFmtId="0" fontId="11" fillId="3" borderId="0" xfId="0" applyFont="1" applyFill="1" applyAlignment="1">
      <alignment horizontal="center" vertical="center" textRotation="255" wrapText="1"/>
    </xf>
    <xf numFmtId="0" fontId="13" fillId="3" borderId="3" xfId="0" applyFont="1" applyFill="1" applyBorder="1" applyAlignment="1">
      <alignment vertical="center" textRotation="90"/>
    </xf>
    <xf numFmtId="0" fontId="13" fillId="3" borderId="5" xfId="0" applyFont="1" applyFill="1" applyBorder="1" applyAlignment="1">
      <alignment vertical="center" textRotation="90"/>
    </xf>
    <xf numFmtId="0" fontId="13" fillId="3" borderId="8" xfId="0" applyFont="1" applyFill="1" applyBorder="1" applyAlignment="1">
      <alignment vertical="center" textRotation="90"/>
    </xf>
    <xf numFmtId="0" fontId="12" fillId="3" borderId="4" xfId="0" applyFont="1" applyFill="1" applyBorder="1" applyAlignment="1">
      <alignment horizontal="center" vertical="center" textRotation="90" wrapText="1"/>
    </xf>
    <xf numFmtId="0" fontId="12" fillId="3" borderId="6" xfId="0" applyFont="1" applyFill="1" applyBorder="1" applyAlignment="1">
      <alignment horizontal="center" vertical="center" textRotation="90" wrapText="1"/>
    </xf>
    <xf numFmtId="0" fontId="2" fillId="2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/>
    </xf>
  </cellXfs>
  <cellStyles count="1">
    <cellStyle name="Standard" xfId="0" builtinId="0"/>
  </cellStyles>
  <dxfs count="74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800080"/>
      <color rgb="FFCC00CC"/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59" name="Schaltfläche 51" descr="League of Legend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0" name="Button 101" descr="League of Legends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1" name="Button 102" descr="League of Legend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3" name="Schaltfläche 51" descr="League of Legend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4" name="Button 101" descr="League of Legend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5" name="Button 102" descr="League of Legend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38100</xdr:rowOff>
        </xdr:from>
        <xdr:to>
          <xdr:col>3</xdr:col>
          <xdr:colOff>1419225</xdr:colOff>
          <xdr:row>3</xdr:row>
          <xdr:rowOff>152400</xdr:rowOff>
        </xdr:to>
        <xdr:sp macro="" textlink="">
          <xdr:nvSpPr>
            <xdr:cNvPr id="1166" name="cav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7" name="Button 52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6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9" name="Button 145" descr="League of Legend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70" name="Button 146" descr="League of Legend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1419225</xdr:colOff>
          <xdr:row>2</xdr:row>
          <xdr:rowOff>19050</xdr:rowOff>
        </xdr:to>
        <xdr:sp macro="" textlink="">
          <xdr:nvSpPr>
            <xdr:cNvPr id="1171" name="Schaltfläche 1" descr="League of Legend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174" name="Schaltfläche 10" descr="League of Legends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175" name="Schaltfläche 11" descr="League of Legend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176" name="Schaltfläche 12" descr="League of Legends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177" name="Button 21" descr="League of Legend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178" name="Button 22" descr="League of Legends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179" name="Button 23" descr="League of Legend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180" name="Button 32" descr="League of Legend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181" name="Button 33" descr="League of Legend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182" name="Button 34" descr="League of Legends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83" name="Button 159" descr="League of Legend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84" name="Button 160" descr="League of Legends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85" name="Button 161" descr="League of Legend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86" name="Button 162" descr="League of Legends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3</xdr:col>
          <xdr:colOff>1419225</xdr:colOff>
          <xdr:row>5</xdr:row>
          <xdr:rowOff>123825</xdr:rowOff>
        </xdr:to>
        <xdr:sp macro="" textlink="">
          <xdr:nvSpPr>
            <xdr:cNvPr id="1187" name="Schaltfläche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142875</xdr:colOff>
          <xdr:row>9</xdr:row>
          <xdr:rowOff>19050</xdr:rowOff>
        </xdr:to>
        <xdr:sp macro="" textlink="">
          <xdr:nvSpPr>
            <xdr:cNvPr id="1188" name="Schaltfläche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161925</xdr:rowOff>
        </xdr:from>
        <xdr:to>
          <xdr:col>3</xdr:col>
          <xdr:colOff>142875</xdr:colOff>
          <xdr:row>7</xdr:row>
          <xdr:rowOff>66675</xdr:rowOff>
        </xdr:to>
        <xdr:sp macro="" textlink="">
          <xdr:nvSpPr>
            <xdr:cNvPr id="1189" name="Schaltfläche 165" descr="Clear Win%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7</xdr:row>
          <xdr:rowOff>114300</xdr:rowOff>
        </xdr:from>
        <xdr:to>
          <xdr:col>3</xdr:col>
          <xdr:colOff>1428750</xdr:colOff>
          <xdr:row>9</xdr:row>
          <xdr:rowOff>19050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38100</xdr:rowOff>
        </xdr:from>
        <xdr:to>
          <xdr:col>3</xdr:col>
          <xdr:colOff>9525</xdr:colOff>
          <xdr:row>3</xdr:row>
          <xdr:rowOff>152400</xdr:rowOff>
        </xdr:to>
        <xdr:sp macro="" textlink="">
          <xdr:nvSpPr>
            <xdr:cNvPr id="1194" name="jumpToInfo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161925</xdr:rowOff>
        </xdr:from>
        <xdr:to>
          <xdr:col>3</xdr:col>
          <xdr:colOff>1419225</xdr:colOff>
          <xdr:row>7</xdr:row>
          <xdr:rowOff>66675</xdr:rowOff>
        </xdr:to>
        <xdr:sp macro="" textlink="">
          <xdr:nvSpPr>
            <xdr:cNvPr id="1195" name="Schaltfläche 165" descr="Clear Win%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Week Info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63" Type="http://schemas.openxmlformats.org/officeDocument/2006/relationships/ctrlProp" Target="../ctrlProps/ctrlProp56.xml"/><Relationship Id="rId84" Type="http://schemas.openxmlformats.org/officeDocument/2006/relationships/ctrlProp" Target="../ctrlProps/ctrlProp77.xml"/><Relationship Id="rId138" Type="http://schemas.openxmlformats.org/officeDocument/2006/relationships/ctrlProp" Target="../ctrlProps/ctrlProp131.xml"/><Relationship Id="rId107" Type="http://schemas.openxmlformats.org/officeDocument/2006/relationships/ctrlProp" Target="../ctrlProps/ctrlProp100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53" Type="http://schemas.openxmlformats.org/officeDocument/2006/relationships/ctrlProp" Target="../ctrlProps/ctrlProp46.xml"/><Relationship Id="rId74" Type="http://schemas.openxmlformats.org/officeDocument/2006/relationships/ctrlProp" Target="../ctrlProps/ctrlProp67.xml"/><Relationship Id="rId128" Type="http://schemas.openxmlformats.org/officeDocument/2006/relationships/ctrlProp" Target="../ctrlProps/ctrlProp121.xml"/><Relationship Id="rId149" Type="http://schemas.openxmlformats.org/officeDocument/2006/relationships/ctrlProp" Target="../ctrlProps/ctrlProp142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88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113" Type="http://schemas.openxmlformats.org/officeDocument/2006/relationships/ctrlProp" Target="../ctrlProps/ctrlProp106.xml"/><Relationship Id="rId118" Type="http://schemas.openxmlformats.org/officeDocument/2006/relationships/ctrlProp" Target="../ctrlProps/ctrlProp111.xml"/><Relationship Id="rId134" Type="http://schemas.openxmlformats.org/officeDocument/2006/relationships/ctrlProp" Target="../ctrlProps/ctrlProp127.xml"/><Relationship Id="rId139" Type="http://schemas.openxmlformats.org/officeDocument/2006/relationships/ctrlProp" Target="../ctrlProps/ctrlProp132.xml"/><Relationship Id="rId80" Type="http://schemas.openxmlformats.org/officeDocument/2006/relationships/ctrlProp" Target="../ctrlProps/ctrlProp73.xml"/><Relationship Id="rId85" Type="http://schemas.openxmlformats.org/officeDocument/2006/relationships/ctrlProp" Target="../ctrlProps/ctrlProp78.xml"/><Relationship Id="rId150" Type="http://schemas.openxmlformats.org/officeDocument/2006/relationships/ctrlProp" Target="../ctrlProps/ctrlProp143.x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59" Type="http://schemas.openxmlformats.org/officeDocument/2006/relationships/ctrlProp" Target="../ctrlProps/ctrlProp52.xml"/><Relationship Id="rId103" Type="http://schemas.openxmlformats.org/officeDocument/2006/relationships/ctrlProp" Target="../ctrlProps/ctrlProp96.xml"/><Relationship Id="rId108" Type="http://schemas.openxmlformats.org/officeDocument/2006/relationships/ctrlProp" Target="../ctrlProps/ctrlProp101.xml"/><Relationship Id="rId124" Type="http://schemas.openxmlformats.org/officeDocument/2006/relationships/ctrlProp" Target="../ctrlProps/ctrlProp117.xml"/><Relationship Id="rId129" Type="http://schemas.openxmlformats.org/officeDocument/2006/relationships/ctrlProp" Target="../ctrlProps/ctrlProp122.xml"/><Relationship Id="rId54" Type="http://schemas.openxmlformats.org/officeDocument/2006/relationships/ctrlProp" Target="../ctrlProps/ctrlProp47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91" Type="http://schemas.openxmlformats.org/officeDocument/2006/relationships/ctrlProp" Target="../ctrlProps/ctrlProp84.xml"/><Relationship Id="rId96" Type="http://schemas.openxmlformats.org/officeDocument/2006/relationships/ctrlProp" Target="../ctrlProps/ctrlProp89.xml"/><Relationship Id="rId140" Type="http://schemas.openxmlformats.org/officeDocument/2006/relationships/ctrlProp" Target="../ctrlProps/ctrlProp133.xml"/><Relationship Id="rId145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49" Type="http://schemas.openxmlformats.org/officeDocument/2006/relationships/ctrlProp" Target="../ctrlProps/ctrlProp42.xml"/><Relationship Id="rId114" Type="http://schemas.openxmlformats.org/officeDocument/2006/relationships/ctrlProp" Target="../ctrlProps/ctrlProp107.xml"/><Relationship Id="rId119" Type="http://schemas.openxmlformats.org/officeDocument/2006/relationships/ctrlProp" Target="../ctrlProps/ctrlProp112.xml"/><Relationship Id="rId44" Type="http://schemas.openxmlformats.org/officeDocument/2006/relationships/ctrlProp" Target="../ctrlProps/ctrlProp37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81" Type="http://schemas.openxmlformats.org/officeDocument/2006/relationships/ctrlProp" Target="../ctrlProps/ctrlProp74.xml"/><Relationship Id="rId86" Type="http://schemas.openxmlformats.org/officeDocument/2006/relationships/ctrlProp" Target="../ctrlProps/ctrlProp79.xml"/><Relationship Id="rId130" Type="http://schemas.openxmlformats.org/officeDocument/2006/relationships/ctrlProp" Target="../ctrlProps/ctrlProp123.xml"/><Relationship Id="rId135" Type="http://schemas.openxmlformats.org/officeDocument/2006/relationships/ctrlProp" Target="../ctrlProps/ctrlProp128.xml"/><Relationship Id="rId151" Type="http://schemas.openxmlformats.org/officeDocument/2006/relationships/ctrlProp" Target="../ctrlProps/ctrlProp144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109" Type="http://schemas.openxmlformats.org/officeDocument/2006/relationships/ctrlProp" Target="../ctrlProps/ctrlProp10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97" Type="http://schemas.openxmlformats.org/officeDocument/2006/relationships/ctrlProp" Target="../ctrlProps/ctrlProp90.xml"/><Relationship Id="rId104" Type="http://schemas.openxmlformats.org/officeDocument/2006/relationships/ctrlProp" Target="../ctrlProps/ctrlProp97.xml"/><Relationship Id="rId120" Type="http://schemas.openxmlformats.org/officeDocument/2006/relationships/ctrlProp" Target="../ctrlProps/ctrlProp113.xml"/><Relationship Id="rId125" Type="http://schemas.openxmlformats.org/officeDocument/2006/relationships/ctrlProp" Target="../ctrlProps/ctrlProp118.xml"/><Relationship Id="rId141" Type="http://schemas.openxmlformats.org/officeDocument/2006/relationships/ctrlProp" Target="../ctrlProps/ctrlProp134.xml"/><Relationship Id="rId146" Type="http://schemas.openxmlformats.org/officeDocument/2006/relationships/ctrlProp" Target="../ctrlProps/ctrlProp139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64.xml"/><Relationship Id="rId92" Type="http://schemas.openxmlformats.org/officeDocument/2006/relationships/ctrlProp" Target="../ctrlProps/ctrlProp85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4" Type="http://schemas.openxmlformats.org/officeDocument/2006/relationships/ctrlProp" Target="../ctrlProps/ctrlProp17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Relationship Id="rId87" Type="http://schemas.openxmlformats.org/officeDocument/2006/relationships/ctrlProp" Target="../ctrlProps/ctrlProp80.xml"/><Relationship Id="rId110" Type="http://schemas.openxmlformats.org/officeDocument/2006/relationships/ctrlProp" Target="../ctrlProps/ctrlProp103.xml"/><Relationship Id="rId115" Type="http://schemas.openxmlformats.org/officeDocument/2006/relationships/ctrlProp" Target="../ctrlProps/ctrlProp108.xml"/><Relationship Id="rId131" Type="http://schemas.openxmlformats.org/officeDocument/2006/relationships/ctrlProp" Target="../ctrlProps/ctrlProp124.xml"/><Relationship Id="rId136" Type="http://schemas.openxmlformats.org/officeDocument/2006/relationships/ctrlProp" Target="../ctrlProps/ctrlProp129.xml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52" Type="http://schemas.openxmlformats.org/officeDocument/2006/relationships/ctrlProp" Target="../ctrlProps/ctrlProp145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56" Type="http://schemas.openxmlformats.org/officeDocument/2006/relationships/ctrlProp" Target="../ctrlProps/ctrlProp49.xml"/><Relationship Id="rId77" Type="http://schemas.openxmlformats.org/officeDocument/2006/relationships/ctrlProp" Target="../ctrlProps/ctrlProp70.xml"/><Relationship Id="rId100" Type="http://schemas.openxmlformats.org/officeDocument/2006/relationships/ctrlProp" Target="../ctrlProps/ctrlProp93.xml"/><Relationship Id="rId105" Type="http://schemas.openxmlformats.org/officeDocument/2006/relationships/ctrlProp" Target="../ctrlProps/ctrlProp98.xml"/><Relationship Id="rId126" Type="http://schemas.openxmlformats.org/officeDocument/2006/relationships/ctrlProp" Target="../ctrlProps/ctrlProp119.xml"/><Relationship Id="rId147" Type="http://schemas.openxmlformats.org/officeDocument/2006/relationships/ctrlProp" Target="../ctrlProps/ctrlProp14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93" Type="http://schemas.openxmlformats.org/officeDocument/2006/relationships/ctrlProp" Target="../ctrlProps/ctrlProp86.xml"/><Relationship Id="rId98" Type="http://schemas.openxmlformats.org/officeDocument/2006/relationships/ctrlProp" Target="../ctrlProps/ctrlProp91.xml"/><Relationship Id="rId121" Type="http://schemas.openxmlformats.org/officeDocument/2006/relationships/ctrlProp" Target="../ctrlProps/ctrlProp114.xml"/><Relationship Id="rId142" Type="http://schemas.openxmlformats.org/officeDocument/2006/relationships/ctrlProp" Target="../ctrlProps/ctrlProp13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18.xml"/><Relationship Id="rId46" Type="http://schemas.openxmlformats.org/officeDocument/2006/relationships/ctrlProp" Target="../ctrlProps/ctrlProp39.xml"/><Relationship Id="rId67" Type="http://schemas.openxmlformats.org/officeDocument/2006/relationships/ctrlProp" Target="../ctrlProps/ctrlProp60.xml"/><Relationship Id="rId116" Type="http://schemas.openxmlformats.org/officeDocument/2006/relationships/ctrlProp" Target="../ctrlProps/ctrlProp109.xml"/><Relationship Id="rId137" Type="http://schemas.openxmlformats.org/officeDocument/2006/relationships/ctrlProp" Target="../ctrlProps/ctrlProp13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62" Type="http://schemas.openxmlformats.org/officeDocument/2006/relationships/ctrlProp" Target="../ctrlProps/ctrlProp55.xml"/><Relationship Id="rId83" Type="http://schemas.openxmlformats.org/officeDocument/2006/relationships/ctrlProp" Target="../ctrlProps/ctrlProp76.xml"/><Relationship Id="rId88" Type="http://schemas.openxmlformats.org/officeDocument/2006/relationships/ctrlProp" Target="../ctrlProps/ctrlProp81.xml"/><Relationship Id="rId111" Type="http://schemas.openxmlformats.org/officeDocument/2006/relationships/ctrlProp" Target="../ctrlProps/ctrlProp104.xml"/><Relationship Id="rId132" Type="http://schemas.openxmlformats.org/officeDocument/2006/relationships/ctrlProp" Target="../ctrlProps/ctrlProp125.xml"/><Relationship Id="rId153" Type="http://schemas.openxmlformats.org/officeDocument/2006/relationships/ctrlProp" Target="../ctrlProps/ctrlProp146.xml"/><Relationship Id="rId15" Type="http://schemas.openxmlformats.org/officeDocument/2006/relationships/ctrlProp" Target="../ctrlProps/ctrlProp8.xml"/><Relationship Id="rId36" Type="http://schemas.openxmlformats.org/officeDocument/2006/relationships/ctrlProp" Target="../ctrlProps/ctrlProp29.xml"/><Relationship Id="rId57" Type="http://schemas.openxmlformats.org/officeDocument/2006/relationships/ctrlProp" Target="../ctrlProps/ctrlProp50.xml"/><Relationship Id="rId106" Type="http://schemas.openxmlformats.org/officeDocument/2006/relationships/ctrlProp" Target="../ctrlProps/ctrlProp99.xml"/><Relationship Id="rId127" Type="http://schemas.openxmlformats.org/officeDocument/2006/relationships/ctrlProp" Target="../ctrlProps/ctrlProp12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52" Type="http://schemas.openxmlformats.org/officeDocument/2006/relationships/ctrlProp" Target="../ctrlProps/ctrlProp45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94" Type="http://schemas.openxmlformats.org/officeDocument/2006/relationships/ctrlProp" Target="../ctrlProps/ctrlProp87.xml"/><Relationship Id="rId99" Type="http://schemas.openxmlformats.org/officeDocument/2006/relationships/ctrlProp" Target="../ctrlProps/ctrlProp92.xml"/><Relationship Id="rId101" Type="http://schemas.openxmlformats.org/officeDocument/2006/relationships/ctrlProp" Target="../ctrlProps/ctrlProp94.xml"/><Relationship Id="rId122" Type="http://schemas.openxmlformats.org/officeDocument/2006/relationships/ctrlProp" Target="../ctrlProps/ctrlProp115.xml"/><Relationship Id="rId143" Type="http://schemas.openxmlformats.org/officeDocument/2006/relationships/ctrlProp" Target="../ctrlProps/ctrlProp136.xml"/><Relationship Id="rId148" Type="http://schemas.openxmlformats.org/officeDocument/2006/relationships/ctrlProp" Target="../ctrlProps/ctrlProp14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26" Type="http://schemas.openxmlformats.org/officeDocument/2006/relationships/ctrlProp" Target="../ctrlProps/ctrlProp19.xml"/><Relationship Id="rId47" Type="http://schemas.openxmlformats.org/officeDocument/2006/relationships/ctrlProp" Target="../ctrlProps/ctrlProp40.xml"/><Relationship Id="rId68" Type="http://schemas.openxmlformats.org/officeDocument/2006/relationships/ctrlProp" Target="../ctrlProps/ctrlProp61.xml"/><Relationship Id="rId89" Type="http://schemas.openxmlformats.org/officeDocument/2006/relationships/ctrlProp" Target="../ctrlProps/ctrlProp82.xml"/><Relationship Id="rId112" Type="http://schemas.openxmlformats.org/officeDocument/2006/relationships/ctrlProp" Target="../ctrlProps/ctrlProp105.xml"/><Relationship Id="rId133" Type="http://schemas.openxmlformats.org/officeDocument/2006/relationships/ctrlProp" Target="../ctrlProps/ctrlProp126.xml"/><Relationship Id="rId16" Type="http://schemas.openxmlformats.org/officeDocument/2006/relationships/ctrlProp" Target="../ctrlProps/ctrlProp9.xml"/><Relationship Id="rId37" Type="http://schemas.openxmlformats.org/officeDocument/2006/relationships/ctrlProp" Target="../ctrlProps/ctrlProp30.xml"/><Relationship Id="rId58" Type="http://schemas.openxmlformats.org/officeDocument/2006/relationships/ctrlProp" Target="../ctrlProps/ctrlProp51.xml"/><Relationship Id="rId79" Type="http://schemas.openxmlformats.org/officeDocument/2006/relationships/ctrlProp" Target="../ctrlProps/ctrlProp72.xml"/><Relationship Id="rId102" Type="http://schemas.openxmlformats.org/officeDocument/2006/relationships/ctrlProp" Target="../ctrlProps/ctrlProp95.xml"/><Relationship Id="rId123" Type="http://schemas.openxmlformats.org/officeDocument/2006/relationships/ctrlProp" Target="../ctrlProps/ctrlProp116.xml"/><Relationship Id="rId144" Type="http://schemas.openxmlformats.org/officeDocument/2006/relationships/ctrlProp" Target="../ctrlProps/ctrlProp137.xml"/><Relationship Id="rId90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C803"/>
  <sheetViews>
    <sheetView tabSelected="1" zoomScaleNormal="100" zoomScalePageLayoutView="170" workbookViewId="0">
      <pane ySplit="10" topLeftCell="A11" activePane="bottomLeft" state="frozen"/>
      <selection activeCell="D1" sqref="D1"/>
      <selection pane="bottomLeft" activeCell="P17" sqref="P17"/>
    </sheetView>
  </sheetViews>
  <sheetFormatPr baseColWidth="10" defaultColWidth="10.85546875" defaultRowHeight="15" x14ac:dyDescent="0.2"/>
  <cols>
    <col min="1" max="1" width="3.28515625" style="8" customWidth="1"/>
    <col min="2" max="2" width="2.85546875" style="8" customWidth="1"/>
    <col min="3" max="3" width="11.42578125" style="8" bestFit="1" customWidth="1"/>
    <col min="4" max="4" width="21.85546875" style="8" customWidth="1"/>
    <col min="5" max="5" width="21.5703125" style="8" customWidth="1"/>
    <col min="6" max="7" width="13.42578125" style="8" customWidth="1"/>
    <col min="8" max="8" width="13.140625" style="8" customWidth="1"/>
    <col min="9" max="10" width="17.5703125" style="8" bestFit="1" customWidth="1"/>
    <col min="11" max="11" width="10.42578125" style="8" customWidth="1"/>
    <col min="12" max="12" width="16.28515625" style="8" customWidth="1"/>
    <col min="13" max="13" width="18.42578125" style="8" customWidth="1"/>
    <col min="14" max="14" width="14.140625" style="8" customWidth="1"/>
    <col min="15" max="15" width="1.7109375" style="8" customWidth="1"/>
    <col min="16" max="16" width="12.7109375" style="8" customWidth="1"/>
    <col min="17" max="17" width="1.7109375" style="8" customWidth="1"/>
    <col min="18" max="18" width="8.28515625" style="15" customWidth="1"/>
    <col min="19" max="19" width="1.7109375" style="8" customWidth="1"/>
    <col min="20" max="20" width="35.140625" style="16" customWidth="1"/>
    <col min="21" max="25" width="10.85546875" style="8"/>
    <col min="26" max="26" width="7.85546875" style="8" customWidth="1"/>
    <col min="27" max="16384" width="10.85546875" style="8"/>
  </cols>
  <sheetData>
    <row r="1" spans="1:29" ht="15" customHeight="1" thickBot="1" x14ac:dyDescent="0.25">
      <c r="A1" s="229" t="s">
        <v>0</v>
      </c>
      <c r="B1" s="229"/>
      <c r="C1" s="132"/>
      <c r="D1" s="130"/>
      <c r="E1" s="1" t="s">
        <v>4</v>
      </c>
      <c r="F1" s="200" t="s">
        <v>30</v>
      </c>
      <c r="G1" s="205"/>
      <c r="H1" s="201"/>
      <c r="I1" s="200" t="s">
        <v>37</v>
      </c>
      <c r="J1" s="201"/>
      <c r="K1" s="200" t="s">
        <v>36</v>
      </c>
      <c r="L1" s="201"/>
      <c r="M1" s="128" t="s">
        <v>81</v>
      </c>
      <c r="N1" s="2"/>
      <c r="O1" s="2"/>
      <c r="P1" s="3"/>
      <c r="Q1" s="4"/>
      <c r="R1" s="5"/>
      <c r="S1" s="2"/>
      <c r="T1" s="6"/>
      <c r="U1" s="2"/>
      <c r="V1" s="2"/>
      <c r="W1" s="2"/>
      <c r="X1" s="2"/>
      <c r="Y1" s="2"/>
      <c r="Z1" s="2"/>
      <c r="AA1" s="7"/>
      <c r="AB1" s="7"/>
      <c r="AC1" s="7"/>
    </row>
    <row r="2" spans="1:29" ht="15" customHeight="1" x14ac:dyDescent="0.2">
      <c r="A2" s="229"/>
      <c r="B2" s="229"/>
      <c r="C2" s="133"/>
      <c r="D2" s="131"/>
      <c r="E2" s="221">
        <f>10000+E8</f>
        <v>15707.829999999998</v>
      </c>
      <c r="F2" s="206">
        <v>0</v>
      </c>
      <c r="G2" s="207"/>
      <c r="H2" s="208"/>
      <c r="I2" s="225">
        <v>0</v>
      </c>
      <c r="J2" s="226"/>
      <c r="K2" s="202">
        <v>75</v>
      </c>
      <c r="L2" s="197"/>
      <c r="M2" s="164">
        <v>0.75</v>
      </c>
      <c r="N2" s="2"/>
      <c r="O2" s="2"/>
      <c r="P2" s="9"/>
      <c r="Q2" s="4"/>
      <c r="R2" s="5"/>
      <c r="S2" s="2"/>
      <c r="T2" s="6"/>
      <c r="U2" s="2"/>
      <c r="V2" s="2"/>
      <c r="W2" s="2"/>
      <c r="X2" s="2"/>
      <c r="Y2" s="2"/>
      <c r="Z2" s="2"/>
      <c r="AA2" s="7"/>
      <c r="AB2" s="7"/>
      <c r="AC2" s="7"/>
    </row>
    <row r="3" spans="1:29" ht="15" customHeight="1" thickBot="1" x14ac:dyDescent="0.25">
      <c r="A3" s="229"/>
      <c r="B3" s="229"/>
      <c r="C3" s="133"/>
      <c r="D3" s="131"/>
      <c r="E3" s="221"/>
      <c r="F3" s="209"/>
      <c r="G3" s="210"/>
      <c r="H3" s="211"/>
      <c r="I3" s="270"/>
      <c r="J3" s="271"/>
      <c r="K3" s="203"/>
      <c r="L3" s="204"/>
      <c r="M3" s="164">
        <v>1</v>
      </c>
      <c r="N3" s="2"/>
      <c r="O3" s="2"/>
      <c r="P3" s="9"/>
      <c r="Q3" s="4"/>
      <c r="R3" s="5"/>
      <c r="S3" s="2"/>
      <c r="T3" s="6"/>
      <c r="U3" s="2"/>
      <c r="V3" s="2"/>
      <c r="W3" s="2"/>
      <c r="X3" s="2"/>
      <c r="Y3" s="2"/>
      <c r="Z3" s="2"/>
      <c r="AA3" s="7"/>
      <c r="AB3" s="7"/>
      <c r="AC3" s="7"/>
    </row>
    <row r="4" spans="1:29" ht="15" customHeight="1" thickBot="1" x14ac:dyDescent="0.25">
      <c r="A4" s="229"/>
      <c r="B4" s="229"/>
      <c r="C4" s="133"/>
      <c r="D4" s="131"/>
      <c r="E4" s="124">
        <f>K2*M2</f>
        <v>56.25</v>
      </c>
      <c r="F4" s="124">
        <f>K2*M3</f>
        <v>75</v>
      </c>
      <c r="G4" s="124">
        <f>K2*M4</f>
        <v>93.75</v>
      </c>
      <c r="H4" s="124">
        <f>K2*M5</f>
        <v>131.25</v>
      </c>
      <c r="I4" s="125">
        <f>M6*K2</f>
        <v>187.5</v>
      </c>
      <c r="J4" s="124">
        <f>K2*M7</f>
        <v>243.75</v>
      </c>
      <c r="K4" s="125">
        <f>K2*M8</f>
        <v>300</v>
      </c>
      <c r="L4" s="161">
        <f>K2*M9</f>
        <v>375</v>
      </c>
      <c r="M4" s="164">
        <v>1.25</v>
      </c>
      <c r="N4" s="2"/>
      <c r="O4" s="2"/>
      <c r="P4" s="10"/>
      <c r="Q4" s="4"/>
      <c r="R4" s="5"/>
      <c r="S4" s="2"/>
      <c r="T4" s="6"/>
      <c r="U4" s="2"/>
      <c r="V4" s="2"/>
      <c r="W4" s="2"/>
      <c r="X4" s="2"/>
      <c r="Y4" s="2"/>
      <c r="Z4" s="2"/>
      <c r="AA4" s="7"/>
      <c r="AB4" s="7"/>
      <c r="AC4" s="7"/>
    </row>
    <row r="5" spans="1:29" ht="15" customHeight="1" x14ac:dyDescent="0.2">
      <c r="A5" s="229"/>
      <c r="B5" s="229"/>
      <c r="C5" s="137"/>
      <c r="D5" s="138"/>
      <c r="E5" s="145" t="s">
        <v>159</v>
      </c>
      <c r="F5" s="146" t="s">
        <v>153</v>
      </c>
      <c r="G5" s="146" t="s">
        <v>145</v>
      </c>
      <c r="H5" s="146" t="s">
        <v>148</v>
      </c>
      <c r="I5" s="147" t="s">
        <v>146</v>
      </c>
      <c r="J5" s="146" t="s">
        <v>151</v>
      </c>
      <c r="K5" s="147" t="s">
        <v>146</v>
      </c>
      <c r="L5" s="162" t="s">
        <v>147</v>
      </c>
      <c r="M5" s="165">
        <v>1.75</v>
      </c>
      <c r="N5" s="4"/>
      <c r="O5" s="4"/>
      <c r="P5" s="10"/>
      <c r="Q5" s="4"/>
      <c r="R5" s="5"/>
      <c r="S5" s="2"/>
      <c r="T5" s="6"/>
      <c r="U5" s="2"/>
      <c r="V5" s="2"/>
      <c r="W5" s="2"/>
      <c r="X5" s="2"/>
      <c r="Y5" s="2"/>
      <c r="Z5" s="2"/>
      <c r="AA5" s="7"/>
      <c r="AB5" s="7"/>
      <c r="AC5" s="7"/>
    </row>
    <row r="6" spans="1:29" ht="15" customHeight="1" thickBot="1" x14ac:dyDescent="0.25">
      <c r="A6" s="229"/>
      <c r="B6" s="229"/>
      <c r="C6" s="139"/>
      <c r="D6" s="134"/>
      <c r="E6" s="148">
        <v>-258.87000000000035</v>
      </c>
      <c r="F6" s="149">
        <v>-89.899999999999977</v>
      </c>
      <c r="G6" s="149">
        <v>85.649999999999977</v>
      </c>
      <c r="H6" s="149">
        <v>-656.25</v>
      </c>
      <c r="I6" s="94">
        <v>1307.82</v>
      </c>
      <c r="J6" s="150">
        <v>414.37999999999988</v>
      </c>
      <c r="K6" s="151">
        <v>2805</v>
      </c>
      <c r="L6" s="163">
        <v>2100</v>
      </c>
      <c r="M6" s="165">
        <v>2.5</v>
      </c>
      <c r="N6" s="4"/>
      <c r="O6" s="4"/>
      <c r="P6" s="10"/>
      <c r="Q6" s="4"/>
      <c r="R6" s="5"/>
      <c r="S6" s="2"/>
      <c r="T6" s="6"/>
      <c r="U6" s="2"/>
      <c r="V6" s="2"/>
      <c r="W6" s="2"/>
      <c r="X6" s="2"/>
      <c r="Y6" s="2"/>
      <c r="Z6" s="2"/>
      <c r="AA6" s="7"/>
      <c r="AB6" s="7"/>
      <c r="AC6" s="7"/>
    </row>
    <row r="7" spans="1:29" ht="15" customHeight="1" thickBot="1" x14ac:dyDescent="0.25">
      <c r="A7" s="229"/>
      <c r="B7" s="229"/>
      <c r="C7" s="139"/>
      <c r="D7" s="134"/>
      <c r="E7" s="126" t="s">
        <v>2</v>
      </c>
      <c r="F7" s="212" t="s">
        <v>32</v>
      </c>
      <c r="G7" s="213"/>
      <c r="H7" s="214"/>
      <c r="I7" s="194" t="s">
        <v>80</v>
      </c>
      <c r="J7" s="224"/>
      <c r="K7" s="194" t="s">
        <v>79</v>
      </c>
      <c r="L7" s="195"/>
      <c r="M7" s="164">
        <v>3.25</v>
      </c>
      <c r="N7" s="4"/>
      <c r="O7" s="4"/>
      <c r="P7" s="10"/>
      <c r="Q7" s="4"/>
      <c r="R7" s="5"/>
      <c r="S7" s="2"/>
      <c r="T7" s="6"/>
      <c r="U7" s="2"/>
      <c r="V7" s="2"/>
      <c r="W7" s="2"/>
      <c r="X7" s="2"/>
      <c r="Y7" s="2"/>
      <c r="Z7" s="2"/>
      <c r="AA7" s="7"/>
      <c r="AB7" s="7"/>
      <c r="AC7" s="7"/>
    </row>
    <row r="8" spans="1:29" ht="15" customHeight="1" x14ac:dyDescent="0.2">
      <c r="A8" s="229"/>
      <c r="B8" s="229"/>
      <c r="C8" s="140"/>
      <c r="D8" s="135"/>
      <c r="E8" s="222">
        <f>N94+N109+N79+N124</f>
        <v>5707.829999999999</v>
      </c>
      <c r="F8" s="215" t="s">
        <v>158</v>
      </c>
      <c r="G8" s="216"/>
      <c r="H8" s="217"/>
      <c r="I8" s="225">
        <v>1029.9374999999998</v>
      </c>
      <c r="J8" s="226"/>
      <c r="K8" s="196">
        <v>5707.5093750000033</v>
      </c>
      <c r="L8" s="197"/>
      <c r="M8" s="166">
        <v>4</v>
      </c>
      <c r="N8" s="2"/>
      <c r="O8" s="2"/>
      <c r="P8" s="2"/>
      <c r="Q8" s="2"/>
      <c r="R8" s="5"/>
      <c r="S8" s="2"/>
      <c r="T8" s="6"/>
      <c r="U8" s="2"/>
      <c r="V8" s="2"/>
      <c r="W8" s="2"/>
      <c r="X8" s="2"/>
      <c r="Y8" s="2"/>
      <c r="Z8" s="2"/>
      <c r="AA8" s="7"/>
      <c r="AB8" s="7"/>
    </row>
    <row r="9" spans="1:29" ht="15" customHeight="1" thickBot="1" x14ac:dyDescent="0.25">
      <c r="A9" s="229"/>
      <c r="B9" s="229"/>
      <c r="C9" s="140"/>
      <c r="D9" s="135"/>
      <c r="E9" s="223"/>
      <c r="F9" s="218"/>
      <c r="G9" s="219"/>
      <c r="H9" s="220"/>
      <c r="I9" s="227"/>
      <c r="J9" s="228"/>
      <c r="K9" s="198"/>
      <c r="L9" s="199"/>
      <c r="M9" s="166">
        <v>5</v>
      </c>
      <c r="N9" s="2"/>
      <c r="O9" s="2"/>
      <c r="P9" s="2"/>
      <c r="Q9" s="2"/>
      <c r="R9" s="5"/>
      <c r="S9" s="2"/>
      <c r="T9" s="6"/>
      <c r="U9" s="2"/>
      <c r="V9" s="2"/>
      <c r="W9" s="2"/>
      <c r="X9" s="2"/>
      <c r="Y9" s="2"/>
      <c r="Z9" s="2"/>
      <c r="AA9" s="7"/>
      <c r="AB9" s="7"/>
    </row>
    <row r="10" spans="1:29" ht="14.25" customHeight="1" thickBot="1" x14ac:dyDescent="0.3">
      <c r="A10" s="229"/>
      <c r="B10" s="229"/>
      <c r="C10" s="141"/>
      <c r="D10" s="136"/>
      <c r="E10" s="154" t="s">
        <v>82</v>
      </c>
      <c r="F10" s="184" t="s">
        <v>160</v>
      </c>
      <c r="G10" s="185"/>
      <c r="H10" s="186"/>
      <c r="I10" s="187" t="s">
        <v>90</v>
      </c>
      <c r="J10" s="188"/>
      <c r="K10" s="188"/>
      <c r="L10" s="188"/>
      <c r="M10" s="189"/>
      <c r="N10" s="2"/>
      <c r="O10" s="2"/>
      <c r="P10" s="2"/>
      <c r="Q10" s="2"/>
      <c r="R10" s="5"/>
      <c r="S10" s="2"/>
      <c r="T10" s="6"/>
      <c r="U10" s="2"/>
      <c r="V10" s="2"/>
      <c r="W10" s="2"/>
      <c r="X10" s="2"/>
      <c r="Y10" s="2"/>
      <c r="Z10" s="2"/>
      <c r="AA10" s="7"/>
      <c r="AB10" s="7"/>
    </row>
    <row r="11" spans="1:29" ht="14.25" customHeight="1" thickBo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5"/>
      <c r="S11" s="2"/>
      <c r="T11" s="6"/>
      <c r="U11" s="2"/>
      <c r="V11" s="7"/>
      <c r="W11" s="7"/>
      <c r="X11" s="7"/>
      <c r="Y11" s="7"/>
      <c r="Z11" s="7"/>
      <c r="AA11" s="7"/>
      <c r="AB11" s="7"/>
    </row>
    <row r="12" spans="1:29" ht="15.75" customHeight="1" x14ac:dyDescent="0.2">
      <c r="A12" s="2"/>
      <c r="B12" s="142"/>
      <c r="C12" s="153" t="s">
        <v>84</v>
      </c>
      <c r="D12" s="167" t="s">
        <v>83</v>
      </c>
      <c r="E12" s="167" t="s">
        <v>88</v>
      </c>
      <c r="F12" s="180" t="s">
        <v>82</v>
      </c>
      <c r="G12" s="180"/>
      <c r="H12" s="180" t="s">
        <v>85</v>
      </c>
      <c r="I12" s="180"/>
      <c r="J12" s="180" t="s">
        <v>87</v>
      </c>
      <c r="K12" s="180"/>
      <c r="L12" s="180" t="s">
        <v>86</v>
      </c>
      <c r="M12" s="180"/>
      <c r="N12" s="180" t="s">
        <v>92</v>
      </c>
      <c r="O12" s="181"/>
      <c r="P12" s="129"/>
      <c r="Q12" s="129"/>
      <c r="R12" s="156"/>
      <c r="S12" s="2"/>
      <c r="T12" s="6"/>
      <c r="U12" s="2"/>
      <c r="V12" s="7"/>
      <c r="W12" s="7"/>
      <c r="X12" s="7"/>
      <c r="Y12" s="7"/>
      <c r="Z12" s="7"/>
      <c r="AA12" s="7"/>
      <c r="AB12" s="7"/>
    </row>
    <row r="13" spans="1:29" ht="24.95" customHeight="1" x14ac:dyDescent="0.2">
      <c r="A13" s="2"/>
      <c r="B13" s="142"/>
      <c r="C13" s="144">
        <v>1</v>
      </c>
      <c r="D13" s="158">
        <v>0.58536585365899996</v>
      </c>
      <c r="E13" s="158">
        <v>0.5</v>
      </c>
      <c r="F13" s="192" t="s">
        <v>91</v>
      </c>
      <c r="G13" s="192"/>
      <c r="H13" s="192" t="s">
        <v>96</v>
      </c>
      <c r="I13" s="192"/>
      <c r="J13" s="176">
        <v>705</v>
      </c>
      <c r="K13" s="176"/>
      <c r="L13" s="176">
        <v>3379.921875</v>
      </c>
      <c r="M13" s="176"/>
      <c r="N13" s="176">
        <v>0.54687814710500005</v>
      </c>
      <c r="O13" s="177"/>
      <c r="P13" s="127"/>
      <c r="Q13" s="127"/>
      <c r="R13" s="155"/>
      <c r="S13" s="2"/>
      <c r="T13" s="6"/>
      <c r="U13" s="2"/>
      <c r="V13" s="7"/>
      <c r="W13" s="7"/>
      <c r="X13" s="7"/>
      <c r="Y13" s="7"/>
      <c r="Z13" s="7"/>
      <c r="AA13" s="7"/>
      <c r="AB13" s="7"/>
    </row>
    <row r="14" spans="1:29" ht="24.95" customHeight="1" x14ac:dyDescent="0.2">
      <c r="A14" s="2"/>
      <c r="B14" s="142"/>
      <c r="C14" s="152">
        <v>2</v>
      </c>
      <c r="D14" s="159">
        <v>0.58536585365899996</v>
      </c>
      <c r="E14" s="159">
        <v>0.5</v>
      </c>
      <c r="F14" s="191" t="s">
        <v>91</v>
      </c>
      <c r="G14" s="191"/>
      <c r="H14" s="191" t="s">
        <v>97</v>
      </c>
      <c r="I14" s="191"/>
      <c r="J14" s="182">
        <v>-173.32500000000002</v>
      </c>
      <c r="K14" s="182"/>
      <c r="L14" s="182">
        <v>638.75625000000002</v>
      </c>
      <c r="M14" s="182"/>
      <c r="N14" s="182">
        <v>0.54687814710500005</v>
      </c>
      <c r="O14" s="183"/>
      <c r="P14" s="127"/>
      <c r="Q14" s="127"/>
      <c r="R14" s="155"/>
      <c r="S14" s="2"/>
      <c r="T14" s="6"/>
      <c r="U14" s="2"/>
      <c r="V14" s="7"/>
      <c r="W14" s="7"/>
      <c r="X14" s="7"/>
      <c r="Y14" s="7"/>
      <c r="Z14" s="7"/>
      <c r="AA14" s="7"/>
      <c r="AB14" s="7"/>
    </row>
    <row r="15" spans="1:29" ht="24.95" customHeight="1" x14ac:dyDescent="0.2">
      <c r="A15" s="2"/>
      <c r="B15" s="142"/>
      <c r="C15" s="144">
        <v>3</v>
      </c>
      <c r="D15" s="158">
        <v>0.64444444444399995</v>
      </c>
      <c r="E15" s="158">
        <v>0.65651260504200004</v>
      </c>
      <c r="F15" s="192" t="s">
        <v>119</v>
      </c>
      <c r="G15" s="192"/>
      <c r="H15" s="192" t="s">
        <v>142</v>
      </c>
      <c r="I15" s="192"/>
      <c r="J15" s="176">
        <v>-446.13750000000005</v>
      </c>
      <c r="K15" s="176"/>
      <c r="L15" s="176">
        <v>-660.85312499999998</v>
      </c>
      <c r="M15" s="176"/>
      <c r="N15" s="176">
        <v>0.61229627555400001</v>
      </c>
      <c r="O15" s="177"/>
      <c r="P15" s="127"/>
      <c r="Q15" s="127"/>
      <c r="R15" s="155"/>
      <c r="S15" s="2"/>
      <c r="T15" s="6"/>
      <c r="U15" s="2"/>
      <c r="V15" s="7"/>
      <c r="W15" s="7"/>
      <c r="X15" s="7"/>
      <c r="Y15" s="7"/>
      <c r="Z15" s="7"/>
      <c r="AA15" s="7"/>
      <c r="AB15" s="7"/>
    </row>
    <row r="16" spans="1:29" ht="24.95" customHeight="1" x14ac:dyDescent="0.2">
      <c r="A16" s="2"/>
      <c r="B16" s="142"/>
      <c r="C16" s="152">
        <v>4</v>
      </c>
      <c r="D16" s="159">
        <v>0.79090909090899997</v>
      </c>
      <c r="E16" s="159">
        <v>0.886324786325</v>
      </c>
      <c r="F16" s="191" t="s">
        <v>143</v>
      </c>
      <c r="G16" s="191"/>
      <c r="H16" s="191" t="s">
        <v>144</v>
      </c>
      <c r="I16" s="191"/>
      <c r="J16" s="182">
        <v>335.77499999999998</v>
      </c>
      <c r="K16" s="182"/>
      <c r="L16" s="182">
        <v>344.17499999999995</v>
      </c>
      <c r="M16" s="182"/>
      <c r="N16" s="182">
        <v>0.68348438521999999</v>
      </c>
      <c r="O16" s="183"/>
      <c r="P16" s="127"/>
      <c r="Q16" s="127"/>
      <c r="R16" s="155"/>
      <c r="S16" s="2"/>
      <c r="T16" s="6"/>
      <c r="U16" s="2"/>
      <c r="V16" s="7"/>
      <c r="W16" s="7"/>
      <c r="X16" s="7"/>
      <c r="Y16" s="7"/>
      <c r="Z16" s="7"/>
      <c r="AA16" s="7"/>
      <c r="AB16" s="7"/>
    </row>
    <row r="17" spans="1:28" ht="24.95" customHeight="1" x14ac:dyDescent="0.2">
      <c r="A17" s="2"/>
      <c r="B17" s="142"/>
      <c r="C17" s="144">
        <v>5</v>
      </c>
      <c r="D17" s="158">
        <v>0.76158940397399999</v>
      </c>
      <c r="E17" s="158">
        <v>0.82570043103400004</v>
      </c>
      <c r="F17" s="192" t="s">
        <v>149</v>
      </c>
      <c r="G17" s="192"/>
      <c r="H17" s="192" t="s">
        <v>150</v>
      </c>
      <c r="I17" s="192"/>
      <c r="J17" s="176">
        <v>552.75</v>
      </c>
      <c r="K17" s="176"/>
      <c r="L17" s="176">
        <v>996.06562500000018</v>
      </c>
      <c r="M17" s="176"/>
      <c r="N17" s="176">
        <v>0.63619450625100005</v>
      </c>
      <c r="O17" s="177"/>
      <c r="P17" s="127"/>
      <c r="Q17" s="127"/>
      <c r="R17" s="155"/>
      <c r="S17" s="2"/>
      <c r="T17" s="6"/>
      <c r="U17" s="2"/>
      <c r="V17" s="7"/>
      <c r="W17" s="7"/>
      <c r="X17" s="7"/>
      <c r="Y17" s="7"/>
      <c r="Z17" s="7"/>
      <c r="AA17" s="7"/>
      <c r="AB17" s="7"/>
    </row>
    <row r="18" spans="1:28" ht="24.95" customHeight="1" x14ac:dyDescent="0.2">
      <c r="A18" s="2"/>
      <c r="B18" s="142"/>
      <c r="C18" s="152">
        <v>6</v>
      </c>
      <c r="D18" s="159">
        <v>0.74358974358999996</v>
      </c>
      <c r="E18" s="159">
        <v>0.821443988776</v>
      </c>
      <c r="F18" s="191" t="s">
        <v>99</v>
      </c>
      <c r="G18" s="191"/>
      <c r="H18" s="191" t="s">
        <v>152</v>
      </c>
      <c r="I18" s="191"/>
      <c r="J18" s="182">
        <v>-172.2</v>
      </c>
      <c r="K18" s="182"/>
      <c r="L18" s="182">
        <v>-199.89375000000001</v>
      </c>
      <c r="M18" s="182"/>
      <c r="N18" s="182">
        <v>0.63949508446100001</v>
      </c>
      <c r="O18" s="183"/>
      <c r="P18" s="127"/>
      <c r="Q18" s="127"/>
      <c r="R18" s="155"/>
      <c r="S18" s="2"/>
      <c r="T18" s="6"/>
      <c r="U18" s="2"/>
      <c r="V18" s="7"/>
      <c r="W18" s="7"/>
      <c r="X18" s="7"/>
      <c r="Y18" s="7"/>
      <c r="Z18" s="7"/>
      <c r="AA18" s="7"/>
      <c r="AB18" s="7"/>
    </row>
    <row r="19" spans="1:28" ht="24.95" customHeight="1" x14ac:dyDescent="0.2">
      <c r="A19" s="2"/>
      <c r="B19" s="142"/>
      <c r="C19" s="144">
        <v>7</v>
      </c>
      <c r="D19" s="158">
        <v>0.71848739495799996</v>
      </c>
      <c r="E19" s="158">
        <v>0.80920719809200004</v>
      </c>
      <c r="F19" s="192" t="s">
        <v>154</v>
      </c>
      <c r="G19" s="192"/>
      <c r="H19" s="192" t="s">
        <v>98</v>
      </c>
      <c r="I19" s="192"/>
      <c r="J19" s="176">
        <v>454.79999999999995</v>
      </c>
      <c r="K19" s="176"/>
      <c r="L19" s="176">
        <v>346.25625000000002</v>
      </c>
      <c r="M19" s="176"/>
      <c r="N19" s="176">
        <v>0.63287404514699996</v>
      </c>
      <c r="O19" s="177"/>
      <c r="P19" s="127"/>
      <c r="Q19" s="127"/>
      <c r="R19" s="155"/>
      <c r="S19" s="2"/>
      <c r="T19" s="6"/>
      <c r="U19" s="2"/>
      <c r="V19" s="7"/>
      <c r="W19" s="7"/>
      <c r="X19" s="7"/>
      <c r="Y19" s="7"/>
      <c r="Z19" s="7"/>
      <c r="AA19" s="7"/>
      <c r="AB19" s="7"/>
    </row>
    <row r="20" spans="1:28" ht="24.95" customHeight="1" x14ac:dyDescent="0.2">
      <c r="A20" s="2"/>
      <c r="B20" s="142"/>
      <c r="C20" s="152">
        <v>8</v>
      </c>
      <c r="D20" s="159">
        <v>0.76071428571400002</v>
      </c>
      <c r="E20" s="159">
        <v>0.84612762833599997</v>
      </c>
      <c r="F20" s="191" t="s">
        <v>155</v>
      </c>
      <c r="G20" s="191"/>
      <c r="H20" s="191" t="s">
        <v>119</v>
      </c>
      <c r="I20" s="191"/>
      <c r="J20" s="182">
        <v>-168.33750000000001</v>
      </c>
      <c r="K20" s="182"/>
      <c r="L20" s="182">
        <v>944.37187500000005</v>
      </c>
      <c r="M20" s="182"/>
      <c r="N20" s="182">
        <v>0.61624001629699998</v>
      </c>
      <c r="O20" s="183"/>
      <c r="P20" s="127"/>
      <c r="Q20" s="127"/>
      <c r="R20" s="155"/>
      <c r="S20" s="2"/>
      <c r="T20" s="6"/>
      <c r="U20" s="2"/>
      <c r="V20" s="7"/>
      <c r="W20" s="7"/>
      <c r="X20" s="7"/>
      <c r="Y20" s="7"/>
      <c r="Z20" s="7"/>
      <c r="AA20" s="7"/>
      <c r="AB20" s="7"/>
    </row>
    <row r="21" spans="1:28" ht="24.95" customHeight="1" x14ac:dyDescent="0.2">
      <c r="A21" s="2"/>
      <c r="B21" s="142"/>
      <c r="C21" s="144">
        <v>9</v>
      </c>
      <c r="D21" s="158">
        <v>0.78834355828199998</v>
      </c>
      <c r="E21" s="158">
        <v>0.88058787507699998</v>
      </c>
      <c r="F21" s="192" t="s">
        <v>156</v>
      </c>
      <c r="G21" s="192"/>
      <c r="H21" s="192" t="s">
        <v>157</v>
      </c>
      <c r="I21" s="192"/>
      <c r="J21" s="176">
        <v>-58.387500000000017</v>
      </c>
      <c r="K21" s="176"/>
      <c r="L21" s="176">
        <v>-81.290624999999991</v>
      </c>
      <c r="M21" s="176"/>
      <c r="N21" s="176">
        <v>0.62351314510400002</v>
      </c>
      <c r="O21" s="177"/>
      <c r="P21" s="127"/>
      <c r="Q21" s="127"/>
      <c r="R21" s="155"/>
      <c r="S21" s="2"/>
      <c r="T21" s="6"/>
      <c r="U21" s="2"/>
      <c r="V21" s="7"/>
      <c r="W21" s="7"/>
      <c r="X21" s="7"/>
      <c r="Y21" s="7"/>
      <c r="Z21" s="7"/>
      <c r="AA21" s="7"/>
      <c r="AB21" s="7"/>
    </row>
    <row r="22" spans="1:28" ht="24.95" customHeight="1" thickBot="1" x14ac:dyDescent="0.25">
      <c r="A22" s="2"/>
      <c r="B22" s="142"/>
      <c r="C22" s="157">
        <v>10</v>
      </c>
      <c r="D22" s="160"/>
      <c r="E22" s="160"/>
      <c r="F22" s="193" t="s">
        <v>89</v>
      </c>
      <c r="G22" s="193"/>
      <c r="H22" s="193" t="s">
        <v>89</v>
      </c>
      <c r="I22" s="193"/>
      <c r="J22" s="178"/>
      <c r="K22" s="178"/>
      <c r="L22" s="178"/>
      <c r="M22" s="178"/>
      <c r="N22" s="178"/>
      <c r="O22" s="179"/>
      <c r="P22" s="127"/>
      <c r="Q22" s="127"/>
      <c r="R22" s="155"/>
      <c r="S22" s="2"/>
      <c r="T22" s="6"/>
      <c r="U22" s="2"/>
      <c r="V22" s="7"/>
      <c r="W22" s="7"/>
      <c r="X22" s="7"/>
      <c r="Y22" s="7"/>
      <c r="Z22" s="7"/>
      <c r="AA22" s="7"/>
      <c r="AB22" s="7"/>
    </row>
    <row r="23" spans="1:28" ht="30" customHeight="1" x14ac:dyDescent="0.2">
      <c r="A23" s="2"/>
      <c r="B23" s="142"/>
      <c r="C23" s="129"/>
      <c r="D23" s="127" t="s">
        <v>93</v>
      </c>
      <c r="E23" s="127" t="s">
        <v>82</v>
      </c>
      <c r="F23" s="176" t="s">
        <v>103</v>
      </c>
      <c r="G23" s="176"/>
      <c r="H23" s="176" t="s">
        <v>95</v>
      </c>
      <c r="I23" s="176"/>
      <c r="J23" s="190" t="s">
        <v>102</v>
      </c>
      <c r="K23" s="190"/>
      <c r="L23" s="176" t="s">
        <v>116</v>
      </c>
      <c r="M23" s="176"/>
      <c r="N23" s="127">
        <f>AVERAGE(N13:O22)</f>
        <v>0.61531708358266668</v>
      </c>
      <c r="O23" s="127"/>
      <c r="P23" s="127"/>
      <c r="Q23" s="127"/>
      <c r="R23" s="155"/>
      <c r="S23" s="2"/>
      <c r="T23" s="6"/>
      <c r="U23" s="2"/>
      <c r="V23" s="7"/>
      <c r="W23" s="7"/>
      <c r="X23" s="7"/>
      <c r="Y23" s="7"/>
      <c r="Z23" s="7"/>
      <c r="AA23" s="7"/>
      <c r="AB23" s="7"/>
    </row>
    <row r="24" spans="1:28" x14ac:dyDescent="0.2">
      <c r="A24" s="2"/>
      <c r="B24" s="142"/>
      <c r="C24" s="169" t="s">
        <v>104</v>
      </c>
      <c r="D24" s="169" t="s">
        <v>94</v>
      </c>
      <c r="E24" s="169" t="s">
        <v>101</v>
      </c>
      <c r="F24" s="182" t="s">
        <v>100</v>
      </c>
      <c r="G24" s="182"/>
      <c r="H24" s="182">
        <v>0.61980000000000002</v>
      </c>
      <c r="I24" s="182"/>
      <c r="J24" s="280">
        <v>3544.33</v>
      </c>
      <c r="K24" s="280"/>
      <c r="L24" s="283">
        <v>0.15</v>
      </c>
      <c r="M24" s="283"/>
      <c r="N24" s="142"/>
      <c r="O24" s="142"/>
      <c r="P24" s="142"/>
      <c r="Q24" s="142"/>
      <c r="R24" s="143"/>
      <c r="S24" s="2"/>
      <c r="T24" s="6"/>
      <c r="U24" s="2"/>
      <c r="V24" s="7"/>
      <c r="W24" s="7"/>
      <c r="X24" s="7"/>
      <c r="Y24" s="7"/>
      <c r="Z24" s="7"/>
      <c r="AA24" s="7"/>
      <c r="AB24" s="7"/>
    </row>
    <row r="25" spans="1:28" x14ac:dyDescent="0.2">
      <c r="A25" s="2"/>
      <c r="B25" s="142"/>
      <c r="C25" s="169" t="s">
        <v>105</v>
      </c>
      <c r="D25" s="169" t="s">
        <v>94</v>
      </c>
      <c r="E25" s="169" t="s">
        <v>118</v>
      </c>
      <c r="F25" s="182" t="s">
        <v>117</v>
      </c>
      <c r="G25" s="182"/>
      <c r="H25" s="182">
        <v>0.61839999999999995</v>
      </c>
      <c r="I25" s="182"/>
      <c r="J25" s="280">
        <v>2298.15</v>
      </c>
      <c r="K25" s="280"/>
      <c r="L25" s="283">
        <v>0.1</v>
      </c>
      <c r="M25" s="283"/>
      <c r="N25" s="142"/>
      <c r="O25" s="142"/>
      <c r="P25" s="142"/>
      <c r="Q25" s="142"/>
      <c r="R25" s="143"/>
      <c r="S25" s="2"/>
      <c r="T25" s="6"/>
      <c r="U25" s="2"/>
      <c r="V25" s="7"/>
      <c r="W25" s="7"/>
      <c r="X25" s="7"/>
      <c r="Y25" s="7"/>
      <c r="Z25" s="7"/>
      <c r="AA25" s="7"/>
      <c r="AB25" s="7"/>
    </row>
    <row r="26" spans="1:28" x14ac:dyDescent="0.2">
      <c r="A26" s="2"/>
      <c r="B26" s="142"/>
      <c r="C26" s="169" t="s">
        <v>106</v>
      </c>
      <c r="D26" s="169" t="s">
        <v>94</v>
      </c>
      <c r="E26" s="169" t="s">
        <v>121</v>
      </c>
      <c r="F26" s="182" t="s">
        <v>120</v>
      </c>
      <c r="G26" s="182"/>
      <c r="H26" s="182">
        <v>0.61</v>
      </c>
      <c r="I26" s="182"/>
      <c r="J26" s="280">
        <v>3627</v>
      </c>
      <c r="K26" s="280"/>
      <c r="L26" s="283">
        <v>0.05</v>
      </c>
      <c r="M26" s="283"/>
      <c r="N26" s="142"/>
      <c r="O26" s="142"/>
      <c r="P26" s="142"/>
      <c r="Q26" s="142"/>
      <c r="R26" s="143"/>
      <c r="S26" s="2"/>
      <c r="T26" s="6"/>
      <c r="U26" s="2"/>
      <c r="V26" s="7"/>
      <c r="W26" s="7"/>
      <c r="X26" s="7"/>
      <c r="Y26" s="7"/>
      <c r="Z26" s="7"/>
      <c r="AA26" s="7"/>
      <c r="AB26" s="7"/>
    </row>
    <row r="27" spans="1:28" ht="195" x14ac:dyDescent="0.2">
      <c r="A27" s="2"/>
      <c r="B27" s="142"/>
      <c r="C27" s="168" t="s">
        <v>107</v>
      </c>
      <c r="D27" s="170" t="s">
        <v>122</v>
      </c>
      <c r="E27" s="168" t="s">
        <v>132</v>
      </c>
      <c r="F27" s="176" t="s">
        <v>137</v>
      </c>
      <c r="G27" s="176"/>
      <c r="H27" s="176">
        <v>0.61399999999999999</v>
      </c>
      <c r="I27" s="176"/>
      <c r="J27" s="176">
        <v>2974.23</v>
      </c>
      <c r="K27" s="176"/>
      <c r="L27" s="282">
        <v>0.15</v>
      </c>
      <c r="M27" s="282"/>
      <c r="N27" s="142"/>
      <c r="O27" s="142"/>
      <c r="P27" s="142"/>
      <c r="Q27" s="142"/>
      <c r="R27" s="143"/>
      <c r="S27" s="2"/>
      <c r="T27" s="6"/>
      <c r="U27" s="2"/>
      <c r="V27" s="7"/>
      <c r="W27" s="7"/>
      <c r="X27" s="7"/>
      <c r="Y27" s="7"/>
      <c r="Z27" s="7"/>
      <c r="AA27" s="7"/>
      <c r="AB27" s="7"/>
    </row>
    <row r="28" spans="1:28" x14ac:dyDescent="0.2">
      <c r="A28" s="2"/>
      <c r="B28" s="142"/>
      <c r="C28" s="168" t="s">
        <v>108</v>
      </c>
      <c r="D28" s="142" t="s">
        <v>123</v>
      </c>
      <c r="E28" s="168" t="s">
        <v>139</v>
      </c>
      <c r="F28" s="176" t="s">
        <v>138</v>
      </c>
      <c r="G28" s="176"/>
      <c r="H28" s="176">
        <v>0.62</v>
      </c>
      <c r="I28" s="176"/>
      <c r="J28" s="281">
        <v>3408</v>
      </c>
      <c r="K28" s="281"/>
      <c r="L28" s="282">
        <v>0.1</v>
      </c>
      <c r="M28" s="282"/>
      <c r="N28" s="142"/>
      <c r="O28" s="142"/>
      <c r="P28" s="142"/>
      <c r="Q28" s="142"/>
      <c r="R28" s="143"/>
      <c r="S28" s="2"/>
      <c r="T28" s="6"/>
      <c r="U28" s="2"/>
      <c r="V28" s="7"/>
      <c r="W28" s="7"/>
      <c r="X28" s="7"/>
      <c r="Y28" s="7"/>
      <c r="Z28" s="7"/>
      <c r="AA28" s="7"/>
      <c r="AB28" s="7"/>
    </row>
    <row r="29" spans="1:28" x14ac:dyDescent="0.2">
      <c r="A29" s="2"/>
      <c r="B29" s="142"/>
      <c r="C29" s="168" t="s">
        <v>109</v>
      </c>
      <c r="D29" s="142" t="s">
        <v>123</v>
      </c>
      <c r="E29" s="168" t="s">
        <v>140</v>
      </c>
      <c r="F29" s="176" t="s">
        <v>141</v>
      </c>
      <c r="G29" s="176"/>
      <c r="H29" s="176">
        <v>0.61599999999999999</v>
      </c>
      <c r="I29" s="176"/>
      <c r="J29" s="281">
        <v>2851.35</v>
      </c>
      <c r="K29" s="281"/>
      <c r="L29" s="282">
        <v>0.05</v>
      </c>
      <c r="M29" s="282"/>
      <c r="N29" s="142"/>
      <c r="O29" s="142"/>
      <c r="P29" s="142"/>
      <c r="Q29" s="142"/>
      <c r="R29" s="143"/>
      <c r="S29" s="2"/>
      <c r="T29" s="6"/>
      <c r="U29" s="2"/>
      <c r="V29" s="7"/>
      <c r="W29" s="7"/>
      <c r="X29" s="7"/>
      <c r="Y29" s="7"/>
      <c r="Z29" s="7"/>
      <c r="AA29" s="7"/>
      <c r="AB29" s="7"/>
    </row>
    <row r="30" spans="1:28" ht="195" x14ac:dyDescent="0.2">
      <c r="A30" s="2"/>
      <c r="B30" s="142"/>
      <c r="C30" s="169" t="s">
        <v>110</v>
      </c>
      <c r="D30" s="173" t="s">
        <v>127</v>
      </c>
      <c r="E30" s="169" t="s">
        <v>131</v>
      </c>
      <c r="F30" s="182" t="s">
        <v>130</v>
      </c>
      <c r="G30" s="182"/>
      <c r="H30" s="182">
        <v>0.61699999999999999</v>
      </c>
      <c r="I30" s="182"/>
      <c r="J30" s="182">
        <v>2594.7399999999998</v>
      </c>
      <c r="K30" s="182"/>
      <c r="L30" s="283">
        <v>0.15</v>
      </c>
      <c r="M30" s="283"/>
      <c r="N30" s="142"/>
      <c r="O30" s="142"/>
      <c r="P30" s="142"/>
      <c r="Q30" s="142"/>
      <c r="R30" s="143"/>
      <c r="S30" s="2"/>
      <c r="T30" s="6"/>
      <c r="U30" s="2"/>
      <c r="V30" s="7"/>
      <c r="W30" s="7"/>
      <c r="X30" s="7"/>
      <c r="Y30" s="7"/>
      <c r="Z30" s="7"/>
      <c r="AA30" s="7"/>
      <c r="AB30" s="7"/>
    </row>
    <row r="31" spans="1:28" x14ac:dyDescent="0.2">
      <c r="A31" s="2"/>
      <c r="B31" s="142"/>
      <c r="C31" s="169" t="s">
        <v>111</v>
      </c>
      <c r="D31" s="171" t="s">
        <v>128</v>
      </c>
      <c r="E31" s="169" t="s">
        <v>133</v>
      </c>
      <c r="F31" s="182" t="s">
        <v>134</v>
      </c>
      <c r="G31" s="182"/>
      <c r="H31" s="182">
        <v>0.61099999999999999</v>
      </c>
      <c r="I31" s="182"/>
      <c r="J31" s="280">
        <v>1560.61</v>
      </c>
      <c r="K31" s="280"/>
      <c r="L31" s="283">
        <v>0.1</v>
      </c>
      <c r="M31" s="283"/>
      <c r="N31" s="142"/>
      <c r="O31" s="142"/>
      <c r="P31" s="142"/>
      <c r="Q31" s="142"/>
      <c r="R31" s="143"/>
      <c r="S31" s="2"/>
      <c r="T31" s="6"/>
      <c r="U31" s="2"/>
      <c r="V31" s="7"/>
      <c r="W31" s="7"/>
      <c r="X31" s="7"/>
      <c r="Y31" s="7"/>
      <c r="Z31" s="7"/>
      <c r="AA31" s="7"/>
      <c r="AB31" s="7"/>
    </row>
    <row r="32" spans="1:28" x14ac:dyDescent="0.2">
      <c r="A32" s="2"/>
      <c r="B32" s="142"/>
      <c r="C32" s="169" t="s">
        <v>112</v>
      </c>
      <c r="D32" s="171" t="s">
        <v>129</v>
      </c>
      <c r="E32" s="169" t="s">
        <v>136</v>
      </c>
      <c r="F32" s="182" t="s">
        <v>135</v>
      </c>
      <c r="G32" s="182"/>
      <c r="H32" s="182">
        <v>0.61399999999999999</v>
      </c>
      <c r="I32" s="182"/>
      <c r="J32" s="280">
        <v>2417.2600000000002</v>
      </c>
      <c r="K32" s="280"/>
      <c r="L32" s="283">
        <v>0.05</v>
      </c>
      <c r="M32" s="283"/>
      <c r="N32" s="142"/>
      <c r="O32" s="142"/>
      <c r="P32" s="142"/>
      <c r="Q32" s="142"/>
      <c r="R32" s="143"/>
      <c r="S32" s="2"/>
      <c r="T32" s="6"/>
      <c r="U32" s="2"/>
      <c r="V32" s="7"/>
      <c r="W32" s="7"/>
      <c r="X32" s="7"/>
      <c r="Y32" s="7"/>
      <c r="Z32" s="7"/>
      <c r="AA32" s="7"/>
      <c r="AB32" s="7"/>
    </row>
    <row r="33" spans="1:28" x14ac:dyDescent="0.2">
      <c r="A33" s="2"/>
      <c r="B33" s="142"/>
      <c r="C33" s="168" t="s">
        <v>113</v>
      </c>
      <c r="D33" s="142"/>
      <c r="E33" s="168"/>
      <c r="F33" s="176"/>
      <c r="G33" s="176"/>
      <c r="H33" s="176"/>
      <c r="I33" s="176"/>
      <c r="J33" s="281"/>
      <c r="K33" s="281"/>
      <c r="L33" s="282"/>
      <c r="M33" s="282"/>
      <c r="N33" s="142"/>
      <c r="O33" s="142"/>
      <c r="P33" s="142"/>
      <c r="Q33" s="142"/>
      <c r="R33" s="143"/>
      <c r="S33" s="2"/>
      <c r="T33" s="6"/>
      <c r="U33" s="2"/>
      <c r="V33" s="7"/>
      <c r="W33" s="7"/>
      <c r="X33" s="7"/>
      <c r="Y33" s="7"/>
      <c r="Z33" s="7"/>
      <c r="AA33" s="7"/>
      <c r="AB33" s="7"/>
    </row>
    <row r="34" spans="1:28" x14ac:dyDescent="0.2">
      <c r="A34" s="2"/>
      <c r="B34" s="2"/>
      <c r="C34" s="168" t="s">
        <v>114</v>
      </c>
      <c r="D34" s="2"/>
      <c r="E34" s="168"/>
      <c r="F34" s="176"/>
      <c r="G34" s="176"/>
      <c r="H34" s="176"/>
      <c r="I34" s="176"/>
      <c r="J34" s="281"/>
      <c r="K34" s="281"/>
      <c r="L34" s="282"/>
      <c r="M34" s="282"/>
      <c r="N34" s="2"/>
      <c r="O34" s="2"/>
      <c r="P34" s="2"/>
      <c r="Q34" s="2"/>
      <c r="R34" s="5"/>
      <c r="S34" s="2"/>
      <c r="T34" s="6"/>
      <c r="U34" s="2"/>
      <c r="V34" s="7"/>
      <c r="W34" s="7"/>
      <c r="X34" s="7"/>
      <c r="Y34" s="7"/>
      <c r="Z34" s="7"/>
      <c r="AA34" s="7"/>
      <c r="AB34" s="7"/>
    </row>
    <row r="35" spans="1:28" x14ac:dyDescent="0.2">
      <c r="A35" s="2"/>
      <c r="B35" s="2"/>
      <c r="C35" s="168" t="s">
        <v>115</v>
      </c>
      <c r="D35" s="2"/>
      <c r="E35" s="168"/>
      <c r="F35" s="176"/>
      <c r="G35" s="176"/>
      <c r="H35" s="176"/>
      <c r="I35" s="176"/>
      <c r="J35" s="281"/>
      <c r="K35" s="281"/>
      <c r="L35" s="282"/>
      <c r="M35" s="282"/>
      <c r="N35" s="2"/>
      <c r="O35" s="2"/>
      <c r="P35" s="2"/>
      <c r="Q35" s="2"/>
      <c r="R35" s="5"/>
      <c r="S35" s="2"/>
      <c r="T35" s="6"/>
      <c r="U35" s="2"/>
      <c r="V35" s="7"/>
      <c r="W35" s="7"/>
      <c r="X35" s="7"/>
      <c r="Y35" s="7"/>
      <c r="Z35" s="7"/>
      <c r="AA35" s="7"/>
      <c r="AB35" s="7"/>
    </row>
    <row r="36" spans="1:28" x14ac:dyDescent="0.2">
      <c r="A36" s="2"/>
      <c r="B36" s="2"/>
      <c r="C36" s="169" t="s">
        <v>124</v>
      </c>
      <c r="D36" s="172"/>
      <c r="E36" s="172"/>
      <c r="F36" s="172"/>
      <c r="G36" s="172"/>
      <c r="H36" s="172"/>
      <c r="I36" s="172"/>
      <c r="J36" s="172"/>
      <c r="K36" s="172"/>
      <c r="L36" s="174"/>
      <c r="M36" s="174"/>
      <c r="N36" s="2"/>
      <c r="O36" s="2"/>
      <c r="P36" s="2"/>
      <c r="Q36" s="2"/>
      <c r="R36" s="5"/>
      <c r="S36" s="2"/>
      <c r="T36" s="6"/>
      <c r="U36" s="2"/>
      <c r="V36" s="7"/>
      <c r="W36" s="7"/>
      <c r="X36" s="7"/>
      <c r="Y36" s="7"/>
      <c r="Z36" s="7"/>
      <c r="AA36" s="7"/>
      <c r="AB36" s="7"/>
    </row>
    <row r="37" spans="1:28" x14ac:dyDescent="0.2">
      <c r="A37" s="2"/>
      <c r="B37" s="2"/>
      <c r="C37" s="169" t="s">
        <v>125</v>
      </c>
      <c r="D37" s="172"/>
      <c r="E37" s="172"/>
      <c r="F37" s="172"/>
      <c r="G37" s="172"/>
      <c r="H37" s="172"/>
      <c r="I37" s="172"/>
      <c r="J37" s="172"/>
      <c r="K37" s="172"/>
      <c r="L37" s="175"/>
      <c r="M37" s="175"/>
      <c r="N37" s="2"/>
      <c r="O37" s="2"/>
      <c r="P37" s="2"/>
      <c r="Q37" s="2"/>
      <c r="R37" s="5"/>
      <c r="S37" s="2"/>
      <c r="T37" s="6"/>
      <c r="U37" s="2"/>
      <c r="V37" s="7"/>
      <c r="W37" s="7"/>
      <c r="X37" s="7"/>
      <c r="Y37" s="7"/>
      <c r="Z37" s="7"/>
      <c r="AA37" s="7"/>
      <c r="AB37" s="7"/>
    </row>
    <row r="38" spans="1:28" x14ac:dyDescent="0.2">
      <c r="A38" s="2"/>
      <c r="B38" s="2"/>
      <c r="C38" s="169" t="s">
        <v>126</v>
      </c>
      <c r="D38" s="172"/>
      <c r="E38" s="172"/>
      <c r="F38" s="172"/>
      <c r="G38" s="172"/>
      <c r="H38" s="172"/>
      <c r="I38" s="172"/>
      <c r="J38" s="172"/>
      <c r="K38" s="172"/>
      <c r="L38" s="175"/>
      <c r="M38" s="175"/>
      <c r="N38" s="2"/>
      <c r="O38" s="2"/>
      <c r="P38" s="2"/>
      <c r="Q38" s="2"/>
      <c r="R38" s="5"/>
      <c r="S38" s="2"/>
      <c r="T38" s="6"/>
      <c r="U38" s="2"/>
      <c r="V38" s="7"/>
      <c r="W38" s="7"/>
      <c r="X38" s="7"/>
      <c r="Y38" s="7"/>
      <c r="Z38" s="7"/>
      <c r="AA38" s="7"/>
      <c r="AB38" s="7"/>
    </row>
    <row r="39" spans="1:28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5"/>
      <c r="S39" s="2"/>
      <c r="T39" s="6"/>
      <c r="U39" s="2"/>
      <c r="V39" s="7"/>
      <c r="W39" s="7"/>
      <c r="X39" s="7"/>
      <c r="Y39" s="7"/>
      <c r="Z39" s="7"/>
      <c r="AA39" s="7"/>
      <c r="AB39" s="7"/>
    </row>
    <row r="40" spans="1:28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5"/>
      <c r="S40" s="2"/>
      <c r="T40" s="6"/>
      <c r="U40" s="2"/>
      <c r="V40" s="7"/>
      <c r="W40" s="7"/>
      <c r="X40" s="7"/>
      <c r="Y40" s="7"/>
      <c r="Z40" s="7"/>
      <c r="AA40" s="7"/>
      <c r="AB40" s="7"/>
    </row>
    <row r="41" spans="1:28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5"/>
      <c r="S41" s="2"/>
      <c r="T41" s="6"/>
      <c r="U41" s="2"/>
      <c r="V41" s="7"/>
      <c r="W41" s="7"/>
      <c r="X41" s="7"/>
      <c r="Y41" s="7"/>
      <c r="Z41" s="7"/>
      <c r="AA41" s="7"/>
      <c r="AB41" s="7"/>
    </row>
    <row r="42" spans="1:28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5"/>
      <c r="S42" s="2"/>
      <c r="T42" s="6"/>
      <c r="U42" s="2"/>
      <c r="V42" s="7"/>
      <c r="W42" s="7"/>
      <c r="X42" s="7"/>
      <c r="Y42" s="7"/>
      <c r="Z42" s="7"/>
      <c r="AA42" s="7"/>
      <c r="AB42" s="7"/>
    </row>
    <row r="43" spans="1:28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5"/>
      <c r="S43" s="2"/>
      <c r="T43" s="6"/>
      <c r="U43" s="2"/>
      <c r="V43" s="7"/>
      <c r="W43" s="7"/>
      <c r="X43" s="7"/>
      <c r="Y43" s="7"/>
      <c r="Z43" s="7"/>
      <c r="AA43" s="7"/>
      <c r="AB43" s="7"/>
    </row>
    <row r="44" spans="1:28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5"/>
      <c r="S44" s="2"/>
      <c r="T44" s="6"/>
      <c r="U44" s="2"/>
      <c r="V44" s="7"/>
      <c r="W44" s="7"/>
      <c r="X44" s="7"/>
      <c r="Y44" s="7"/>
      <c r="Z44" s="7"/>
      <c r="AA44" s="7"/>
      <c r="AB44" s="7"/>
    </row>
    <row r="45" spans="1:28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5"/>
      <c r="S45" s="2"/>
      <c r="T45" s="6"/>
      <c r="U45" s="2"/>
    </row>
    <row r="49" spans="1:26" ht="15.75" thickBot="1" x14ac:dyDescent="0.25"/>
    <row r="50" spans="1:26" ht="15.75" customHeight="1" x14ac:dyDescent="0.2">
      <c r="A50" s="272" t="s">
        <v>3</v>
      </c>
      <c r="B50" s="17"/>
      <c r="C50" s="18"/>
      <c r="D50" s="19"/>
      <c r="E50" s="20"/>
      <c r="F50" s="20"/>
      <c r="G50" s="20"/>
      <c r="H50" s="20"/>
      <c r="I50" s="21"/>
      <c r="J50" s="21"/>
      <c r="K50" s="21"/>
      <c r="L50" s="21"/>
      <c r="M50" s="21"/>
      <c r="N50" s="21"/>
      <c r="O50" s="21"/>
      <c r="P50" s="21"/>
      <c r="Q50" s="21"/>
      <c r="R50" s="22"/>
      <c r="S50" s="7"/>
      <c r="T50" s="23"/>
      <c r="U50" s="7"/>
      <c r="V50" s="7"/>
      <c r="W50" s="7"/>
      <c r="X50" s="7"/>
      <c r="Y50" s="7"/>
      <c r="Z50" s="7"/>
    </row>
    <row r="51" spans="1:26" ht="15.75" x14ac:dyDescent="0.2">
      <c r="A51" s="273"/>
      <c r="B51" s="24"/>
      <c r="C51" s="25"/>
      <c r="D51" s="26"/>
      <c r="E51" s="20"/>
      <c r="F51" s="20"/>
      <c r="G51" s="20"/>
      <c r="H51" s="20"/>
      <c r="I51" s="27"/>
      <c r="J51" s="27"/>
      <c r="K51" s="21"/>
      <c r="L51" s="21"/>
      <c r="M51" s="21"/>
      <c r="N51" s="21"/>
      <c r="O51" s="21"/>
      <c r="P51" s="21"/>
      <c r="Q51" s="21"/>
      <c r="R51" s="22"/>
      <c r="S51" s="7"/>
      <c r="T51" s="23"/>
      <c r="U51" s="7"/>
      <c r="V51" s="7"/>
      <c r="W51" s="7"/>
      <c r="X51" s="7"/>
      <c r="Y51" s="7"/>
      <c r="Z51" s="7"/>
    </row>
    <row r="52" spans="1:26" ht="15.75" x14ac:dyDescent="0.2">
      <c r="A52" s="273"/>
      <c r="B52" s="24"/>
      <c r="C52" s="25"/>
      <c r="D52" s="26"/>
      <c r="E52" s="20"/>
      <c r="F52" s="20"/>
      <c r="G52" s="20"/>
      <c r="H52" s="20"/>
      <c r="I52" s="27"/>
      <c r="J52" s="27"/>
      <c r="K52" s="21"/>
      <c r="L52" s="21"/>
      <c r="M52" s="21"/>
      <c r="N52" s="21"/>
      <c r="O52" s="21"/>
      <c r="P52" s="21"/>
      <c r="Q52" s="21"/>
      <c r="R52" s="22"/>
      <c r="S52" s="7"/>
      <c r="T52" s="23"/>
      <c r="U52" s="7"/>
      <c r="V52" s="7"/>
      <c r="W52" s="7"/>
      <c r="X52" s="7"/>
      <c r="Y52" s="7"/>
      <c r="Z52" s="7"/>
    </row>
    <row r="53" spans="1:26" ht="15.75" x14ac:dyDescent="0.2">
      <c r="A53" s="273"/>
      <c r="B53" s="24"/>
      <c r="C53" s="25"/>
      <c r="D53" s="26"/>
      <c r="E53" s="20"/>
      <c r="F53" s="20"/>
      <c r="G53" s="20"/>
      <c r="H53" s="20"/>
      <c r="I53" s="27"/>
      <c r="J53" s="27"/>
      <c r="K53" s="21"/>
      <c r="L53" s="21"/>
      <c r="M53" s="21"/>
      <c r="N53" s="21"/>
      <c r="O53" s="21"/>
      <c r="P53" s="21"/>
      <c r="Q53" s="21"/>
      <c r="R53" s="22"/>
      <c r="S53" s="7"/>
      <c r="T53" s="23"/>
      <c r="U53" s="7"/>
      <c r="V53" s="7"/>
      <c r="W53" s="7"/>
      <c r="X53" s="7"/>
      <c r="Y53" s="7"/>
      <c r="Z53" s="7"/>
    </row>
    <row r="54" spans="1:26" ht="15.75" x14ac:dyDescent="0.2">
      <c r="A54" s="273"/>
      <c r="B54" s="24"/>
      <c r="C54" s="25"/>
      <c r="D54" s="26"/>
      <c r="E54" s="20"/>
      <c r="F54" s="28"/>
      <c r="G54" s="28"/>
      <c r="H54" s="28"/>
      <c r="I54" s="27"/>
      <c r="J54" s="27"/>
      <c r="K54" s="21"/>
      <c r="L54" s="21"/>
      <c r="M54" s="21"/>
      <c r="N54" s="21"/>
      <c r="O54" s="21"/>
      <c r="P54" s="21"/>
      <c r="Q54" s="21"/>
      <c r="R54" s="22"/>
      <c r="S54" s="7"/>
      <c r="T54" s="23"/>
      <c r="U54" s="7"/>
      <c r="V54" s="7"/>
      <c r="W54" s="7"/>
      <c r="X54" s="7"/>
      <c r="Y54" s="7"/>
      <c r="Z54" s="7"/>
    </row>
    <row r="55" spans="1:26" x14ac:dyDescent="0.2">
      <c r="A55" s="273"/>
      <c r="B55" s="24"/>
      <c r="C55" s="25"/>
      <c r="D55" s="26"/>
      <c r="E55" s="28"/>
      <c r="F55" s="28"/>
      <c r="G55" s="28"/>
      <c r="H55" s="28"/>
      <c r="I55" s="27"/>
      <c r="J55" s="27"/>
      <c r="K55" s="21"/>
      <c r="L55" s="21"/>
      <c r="M55" s="21"/>
      <c r="N55" s="21"/>
      <c r="O55" s="21"/>
      <c r="P55" s="21"/>
      <c r="Q55" s="21"/>
      <c r="R55" s="22"/>
      <c r="S55" s="7"/>
      <c r="T55" s="23"/>
      <c r="U55" s="7"/>
      <c r="V55" s="7"/>
      <c r="W55" s="7"/>
      <c r="X55" s="7"/>
      <c r="Y55" s="7"/>
      <c r="Z55" s="7"/>
    </row>
    <row r="56" spans="1:26" x14ac:dyDescent="0.2">
      <c r="A56" s="273"/>
      <c r="B56" s="24"/>
      <c r="C56" s="25"/>
      <c r="D56" s="26"/>
      <c r="E56" s="28"/>
      <c r="F56" s="28"/>
      <c r="G56" s="28"/>
      <c r="H56" s="28"/>
      <c r="I56" s="21"/>
      <c r="J56" s="21"/>
      <c r="K56" s="21"/>
      <c r="L56" s="21"/>
      <c r="M56" s="21"/>
      <c r="N56" s="21"/>
      <c r="O56" s="21"/>
      <c r="P56" s="21"/>
      <c r="Q56" s="21"/>
      <c r="R56" s="22"/>
      <c r="S56" s="7"/>
      <c r="T56" s="23"/>
      <c r="U56" s="7"/>
      <c r="V56" s="7"/>
      <c r="W56" s="7"/>
      <c r="X56" s="7"/>
      <c r="Y56" s="7"/>
      <c r="Z56" s="7"/>
    </row>
    <row r="57" spans="1:26" x14ac:dyDescent="0.2">
      <c r="A57" s="273"/>
      <c r="B57" s="29"/>
      <c r="C57" s="30"/>
      <c r="D57" s="31"/>
    </row>
    <row r="58" spans="1:26" ht="15.75" thickBot="1" x14ac:dyDescent="0.25">
      <c r="A58" s="273"/>
      <c r="B58" s="32"/>
      <c r="C58" s="33"/>
      <c r="D58" s="34"/>
    </row>
    <row r="74" spans="1:26" ht="15.75" thickBot="1" x14ac:dyDescent="0.25"/>
    <row r="75" spans="1:26" ht="15.75" x14ac:dyDescent="0.2">
      <c r="A75" s="274" t="s">
        <v>5</v>
      </c>
      <c r="B75" s="35"/>
      <c r="C75" s="36"/>
      <c r="D75" s="36"/>
      <c r="E75" s="37"/>
      <c r="F75" s="266"/>
      <c r="G75" s="266"/>
      <c r="H75" s="266"/>
      <c r="I75" s="38"/>
      <c r="J75" s="38"/>
      <c r="K75" s="39"/>
      <c r="L75" s="258"/>
      <c r="M75" s="40"/>
      <c r="N75" s="202"/>
      <c r="O75" s="197"/>
      <c r="P75" s="256"/>
      <c r="Q75" s="21"/>
      <c r="R75" s="22"/>
      <c r="S75" s="7"/>
      <c r="T75" s="23"/>
      <c r="U75" s="7"/>
      <c r="V75" s="7"/>
      <c r="W75" s="7"/>
      <c r="X75" s="7"/>
      <c r="Y75" s="7"/>
      <c r="Z75" s="7"/>
    </row>
    <row r="76" spans="1:26" ht="16.5" thickBot="1" x14ac:dyDescent="0.25">
      <c r="A76" s="274"/>
      <c r="B76" s="41"/>
      <c r="C76" s="42"/>
      <c r="D76" s="42"/>
      <c r="E76" s="43"/>
      <c r="F76" s="260"/>
      <c r="G76" s="260"/>
      <c r="H76" s="260"/>
      <c r="I76" s="42"/>
      <c r="J76" s="42"/>
      <c r="K76" s="44"/>
      <c r="L76" s="259"/>
      <c r="M76" s="45"/>
      <c r="N76" s="198"/>
      <c r="O76" s="199"/>
      <c r="P76" s="257"/>
      <c r="Q76" s="21"/>
      <c r="R76" s="22"/>
      <c r="S76" s="7"/>
      <c r="T76" s="23"/>
      <c r="U76" s="7"/>
      <c r="V76" s="7"/>
      <c r="W76" s="7"/>
      <c r="X76" s="7"/>
      <c r="Y76" s="7"/>
      <c r="Z76" s="7"/>
    </row>
    <row r="77" spans="1:26" ht="15.75" x14ac:dyDescent="0.2">
      <c r="A77" s="274"/>
      <c r="B77" s="41"/>
      <c r="C77" s="42"/>
      <c r="D77" s="42"/>
      <c r="E77" s="43"/>
      <c r="F77" s="260"/>
      <c r="G77" s="260"/>
      <c r="H77" s="260"/>
      <c r="I77" s="42"/>
      <c r="J77" s="42"/>
      <c r="K77" s="44"/>
      <c r="L77" s="258" t="s">
        <v>1</v>
      </c>
      <c r="M77" s="40"/>
      <c r="N77" s="202">
        <f>N151+N163+N177+N191+N205+N219+N233+N247+N261+N275</f>
        <v>33.201344999999996</v>
      </c>
      <c r="O77" s="197"/>
      <c r="P77" s="256"/>
      <c r="Q77" s="21"/>
      <c r="R77" s="22"/>
      <c r="S77" s="7"/>
      <c r="T77" s="23"/>
      <c r="U77" s="7"/>
      <c r="V77" s="7"/>
      <c r="W77" s="7"/>
      <c r="X77" s="7"/>
      <c r="Y77" s="7"/>
      <c r="Z77" s="7"/>
    </row>
    <row r="78" spans="1:26" ht="16.5" thickBot="1" x14ac:dyDescent="0.25">
      <c r="A78" s="274"/>
      <c r="B78" s="41"/>
      <c r="C78" s="42"/>
      <c r="D78" s="42"/>
      <c r="E78" s="43"/>
      <c r="F78" s="260"/>
      <c r="G78" s="260"/>
      <c r="H78" s="260"/>
      <c r="I78" s="42"/>
      <c r="J78" s="42"/>
      <c r="K78" s="44"/>
      <c r="L78" s="259"/>
      <c r="M78" s="45"/>
      <c r="N78" s="198"/>
      <c r="O78" s="199"/>
      <c r="P78" s="257"/>
      <c r="Q78" s="21"/>
      <c r="R78" s="22"/>
      <c r="S78" s="7"/>
      <c r="T78" s="23"/>
      <c r="U78" s="7"/>
      <c r="V78" s="7"/>
      <c r="W78" s="7"/>
      <c r="X78" s="7"/>
      <c r="Y78" s="7"/>
      <c r="Z78" s="7"/>
    </row>
    <row r="79" spans="1:26" ht="15.75" x14ac:dyDescent="0.2">
      <c r="A79" s="274"/>
      <c r="B79" s="41"/>
      <c r="C79" s="42"/>
      <c r="D79" s="42"/>
      <c r="E79" s="43"/>
      <c r="F79" s="176"/>
      <c r="G79" s="176"/>
      <c r="H79" s="176"/>
      <c r="I79" s="42"/>
      <c r="J79" s="42"/>
      <c r="K79" s="44"/>
      <c r="L79" s="258" t="s">
        <v>2</v>
      </c>
      <c r="M79" s="40"/>
      <c r="N79" s="230">
        <f>T149+T163+T177+T191+T205+T219+T233+T247+T261+T275</f>
        <v>4966.8599999999988</v>
      </c>
      <c r="O79" s="261"/>
      <c r="P79" s="262"/>
      <c r="Q79" s="21"/>
      <c r="R79" s="22"/>
      <c r="S79" s="7"/>
      <c r="T79" s="23"/>
      <c r="U79" s="7"/>
      <c r="V79" s="7"/>
      <c r="W79" s="7"/>
      <c r="X79" s="7"/>
      <c r="Y79" s="7"/>
      <c r="Z79" s="7"/>
    </row>
    <row r="80" spans="1:26" ht="16.5" thickBot="1" x14ac:dyDescent="0.25">
      <c r="A80" s="274"/>
      <c r="B80" s="41"/>
      <c r="C80" s="42"/>
      <c r="D80" s="42"/>
      <c r="E80" s="176"/>
      <c r="F80" s="176"/>
      <c r="G80" s="176"/>
      <c r="H80" s="176"/>
      <c r="I80" s="42"/>
      <c r="J80" s="42"/>
      <c r="K80" s="44"/>
      <c r="L80" s="259"/>
      <c r="M80" s="45"/>
      <c r="N80" s="263"/>
      <c r="O80" s="264"/>
      <c r="P80" s="265"/>
      <c r="Q80" s="21"/>
      <c r="R80" s="22"/>
      <c r="S80" s="7"/>
      <c r="T80" s="23"/>
      <c r="U80" s="7"/>
      <c r="V80" s="7"/>
      <c r="W80" s="7"/>
      <c r="X80" s="7"/>
      <c r="Y80" s="7"/>
      <c r="Z80" s="7"/>
    </row>
    <row r="81" spans="1:26" ht="16.5" thickBot="1" x14ac:dyDescent="0.25">
      <c r="A81" s="274"/>
      <c r="B81" s="46"/>
      <c r="C81" s="47"/>
      <c r="D81" s="47"/>
      <c r="E81" s="252"/>
      <c r="F81" s="252"/>
      <c r="G81" s="252"/>
      <c r="H81" s="252"/>
      <c r="I81" s="48"/>
      <c r="J81" s="48"/>
      <c r="K81" s="49"/>
      <c r="L81" s="11" t="s">
        <v>19</v>
      </c>
      <c r="M81" s="45"/>
      <c r="N81" s="234">
        <f>(T158+T170+T184+T198+T212+T226+T240+T254+T268+T282)/10</f>
        <v>32.791363528610383</v>
      </c>
      <c r="O81" s="235"/>
      <c r="P81" s="236"/>
      <c r="Q81" s="21"/>
      <c r="R81" s="22"/>
      <c r="S81" s="7"/>
      <c r="T81" s="23"/>
      <c r="U81" s="7"/>
      <c r="V81" s="7"/>
      <c r="W81" s="7"/>
      <c r="X81" s="7"/>
      <c r="Y81" s="7"/>
      <c r="Z81" s="7"/>
    </row>
    <row r="89" spans="1:26" ht="15.75" thickBot="1" x14ac:dyDescent="0.25"/>
    <row r="90" spans="1:26" ht="15.75" x14ac:dyDescent="0.2">
      <c r="A90" s="253" t="s">
        <v>6</v>
      </c>
      <c r="B90" s="35"/>
      <c r="C90" s="36"/>
      <c r="D90" s="36"/>
      <c r="E90" s="37"/>
      <c r="F90" s="266"/>
      <c r="G90" s="266"/>
      <c r="H90" s="266"/>
      <c r="I90" s="38"/>
      <c r="J90" s="38"/>
      <c r="K90" s="39"/>
      <c r="L90" s="258"/>
      <c r="M90" s="40"/>
      <c r="N90" s="202"/>
      <c r="O90" s="197"/>
      <c r="P90" s="256"/>
    </row>
    <row r="91" spans="1:26" ht="16.5" thickBot="1" x14ac:dyDescent="0.25">
      <c r="A91" s="253"/>
      <c r="B91" s="41"/>
      <c r="C91" s="42"/>
      <c r="D91" s="42"/>
      <c r="E91" s="43"/>
      <c r="F91" s="260"/>
      <c r="G91" s="260"/>
      <c r="H91" s="260"/>
      <c r="I91" s="42"/>
      <c r="J91" s="42"/>
      <c r="K91" s="44"/>
      <c r="L91" s="259"/>
      <c r="M91" s="45"/>
      <c r="N91" s="198"/>
      <c r="O91" s="199"/>
      <c r="P91" s="257"/>
    </row>
    <row r="92" spans="1:26" ht="15.75" x14ac:dyDescent="0.2">
      <c r="A92" s="253"/>
      <c r="B92" s="41"/>
      <c r="C92" s="42"/>
      <c r="D92" s="42"/>
      <c r="E92" s="43"/>
      <c r="F92" s="260"/>
      <c r="G92" s="260"/>
      <c r="H92" s="260"/>
      <c r="I92" s="42"/>
      <c r="J92" s="42"/>
      <c r="K92" s="44"/>
      <c r="L92" s="258" t="s">
        <v>1</v>
      </c>
      <c r="M92" s="40"/>
      <c r="N92" s="202">
        <f>N305+N319+N333+N347+N361+N375+N389+N403+N417+N431</f>
        <v>12.537964999999996</v>
      </c>
      <c r="O92" s="197"/>
      <c r="P92" s="256"/>
    </row>
    <row r="93" spans="1:26" ht="16.5" thickBot="1" x14ac:dyDescent="0.25">
      <c r="A93" s="253"/>
      <c r="B93" s="41"/>
      <c r="C93" s="42"/>
      <c r="D93" s="42"/>
      <c r="E93" s="43"/>
      <c r="F93" s="260"/>
      <c r="G93" s="260"/>
      <c r="H93" s="260"/>
      <c r="I93" s="42"/>
      <c r="J93" s="42"/>
      <c r="K93" s="44"/>
      <c r="L93" s="259"/>
      <c r="M93" s="45"/>
      <c r="N93" s="198"/>
      <c r="O93" s="199"/>
      <c r="P93" s="257"/>
    </row>
    <row r="94" spans="1:26" ht="15.75" x14ac:dyDescent="0.2">
      <c r="A94" s="253"/>
      <c r="B94" s="41"/>
      <c r="C94" s="42"/>
      <c r="D94" s="42"/>
      <c r="E94" s="43"/>
      <c r="F94" s="176"/>
      <c r="G94" s="176"/>
      <c r="H94" s="176"/>
      <c r="I94" s="42"/>
      <c r="J94" s="42"/>
      <c r="K94" s="44"/>
      <c r="L94" s="258" t="s">
        <v>2</v>
      </c>
      <c r="M94" s="40"/>
      <c r="N94" s="230">
        <f>T305+T319+T333+T347+T361+T375+T389+T403+T417+T431</f>
        <v>474.41999999999996</v>
      </c>
      <c r="O94" s="231"/>
      <c r="P94" s="232"/>
    </row>
    <row r="95" spans="1:26" ht="16.5" thickBot="1" x14ac:dyDescent="0.25">
      <c r="A95" s="253"/>
      <c r="B95" s="41"/>
      <c r="C95" s="42"/>
      <c r="D95" s="42"/>
      <c r="E95" s="176"/>
      <c r="F95" s="176"/>
      <c r="G95" s="176"/>
      <c r="H95" s="176"/>
      <c r="I95" s="42"/>
      <c r="J95" s="42"/>
      <c r="K95" s="44"/>
      <c r="L95" s="259"/>
      <c r="M95" s="45"/>
      <c r="N95" s="233"/>
      <c r="O95" s="178"/>
      <c r="P95" s="179"/>
    </row>
    <row r="96" spans="1:26" ht="16.5" thickBot="1" x14ac:dyDescent="0.25">
      <c r="A96" s="253"/>
      <c r="B96" s="46"/>
      <c r="C96" s="47"/>
      <c r="D96" s="47"/>
      <c r="E96" s="252"/>
      <c r="F96" s="252"/>
      <c r="G96" s="252"/>
      <c r="H96" s="252"/>
      <c r="I96" s="48"/>
      <c r="J96" s="48"/>
      <c r="K96" s="49"/>
      <c r="L96" s="11" t="s">
        <v>19</v>
      </c>
      <c r="M96" s="45"/>
      <c r="N96" s="234"/>
      <c r="O96" s="235"/>
      <c r="P96" s="236"/>
    </row>
    <row r="104" spans="1:16" ht="15.75" thickBot="1" x14ac:dyDescent="0.25"/>
    <row r="105" spans="1:16" ht="15.75" x14ac:dyDescent="0.2">
      <c r="A105" s="253" t="s">
        <v>7</v>
      </c>
      <c r="B105" s="35"/>
      <c r="C105" s="36"/>
      <c r="D105" s="36"/>
      <c r="E105" s="37"/>
      <c r="F105" s="266"/>
      <c r="G105" s="266"/>
      <c r="H105" s="266"/>
      <c r="I105" s="38"/>
      <c r="J105" s="38"/>
      <c r="K105" s="39"/>
      <c r="L105" s="258"/>
      <c r="M105" s="40"/>
      <c r="N105" s="202"/>
      <c r="O105" s="197"/>
      <c r="P105" s="256"/>
    </row>
    <row r="106" spans="1:16" ht="16.5" thickBot="1" x14ac:dyDescent="0.25">
      <c r="A106" s="253"/>
      <c r="B106" s="41"/>
      <c r="C106" s="42"/>
      <c r="D106" s="42"/>
      <c r="E106" s="43"/>
      <c r="F106" s="260"/>
      <c r="G106" s="260"/>
      <c r="H106" s="260"/>
      <c r="I106" s="42"/>
      <c r="J106" s="42"/>
      <c r="K106" s="44"/>
      <c r="L106" s="259"/>
      <c r="M106" s="45"/>
      <c r="N106" s="198"/>
      <c r="O106" s="199"/>
      <c r="P106" s="257"/>
    </row>
    <row r="107" spans="1:16" ht="15.75" x14ac:dyDescent="0.2">
      <c r="A107" s="253"/>
      <c r="B107" s="41"/>
      <c r="C107" s="42"/>
      <c r="D107" s="42"/>
      <c r="E107" s="43"/>
      <c r="F107" s="260"/>
      <c r="G107" s="260"/>
      <c r="H107" s="260"/>
      <c r="I107" s="42"/>
      <c r="J107" s="42"/>
      <c r="K107" s="44"/>
      <c r="L107" s="258" t="s">
        <v>1</v>
      </c>
      <c r="M107" s="40"/>
      <c r="N107" s="202">
        <f>N461+N475+N489+N503+N517+N531+N545+N559+N573+N587</f>
        <v>9.5741399999999981</v>
      </c>
      <c r="O107" s="197"/>
      <c r="P107" s="256"/>
    </row>
    <row r="108" spans="1:16" ht="16.5" thickBot="1" x14ac:dyDescent="0.25">
      <c r="A108" s="253"/>
      <c r="B108" s="41"/>
      <c r="C108" s="42"/>
      <c r="D108" s="42"/>
      <c r="E108" s="43"/>
      <c r="F108" s="260"/>
      <c r="G108" s="260"/>
      <c r="H108" s="260"/>
      <c r="I108" s="42"/>
      <c r="J108" s="42"/>
      <c r="K108" s="44"/>
      <c r="L108" s="259"/>
      <c r="M108" s="45"/>
      <c r="N108" s="198"/>
      <c r="O108" s="199"/>
      <c r="P108" s="257"/>
    </row>
    <row r="109" spans="1:16" ht="15.75" x14ac:dyDescent="0.2">
      <c r="A109" s="253"/>
      <c r="B109" s="41"/>
      <c r="C109" s="42"/>
      <c r="D109" s="42"/>
      <c r="E109" s="43"/>
      <c r="F109" s="176"/>
      <c r="G109" s="176"/>
      <c r="H109" s="176"/>
      <c r="I109" s="42"/>
      <c r="J109" s="42"/>
      <c r="K109" s="44"/>
      <c r="L109" s="258" t="s">
        <v>2</v>
      </c>
      <c r="M109" s="40"/>
      <c r="N109" s="230">
        <f>T461+T475+T489+T503+T517+T531+T545+T559+T573+T587</f>
        <v>266.54999999999995</v>
      </c>
      <c r="O109" s="231"/>
      <c r="P109" s="232"/>
    </row>
    <row r="110" spans="1:16" ht="16.5" thickBot="1" x14ac:dyDescent="0.25">
      <c r="A110" s="253"/>
      <c r="B110" s="41"/>
      <c r="C110" s="42"/>
      <c r="D110" s="42"/>
      <c r="E110" s="176"/>
      <c r="F110" s="176"/>
      <c r="G110" s="176"/>
      <c r="H110" s="176"/>
      <c r="I110" s="42"/>
      <c r="J110" s="42"/>
      <c r="K110" s="44"/>
      <c r="L110" s="259"/>
      <c r="M110" s="45"/>
      <c r="N110" s="233"/>
      <c r="O110" s="178"/>
      <c r="P110" s="179"/>
    </row>
    <row r="111" spans="1:16" ht="16.5" thickBot="1" x14ac:dyDescent="0.25">
      <c r="A111" s="253"/>
      <c r="B111" s="46"/>
      <c r="C111" s="47"/>
      <c r="D111" s="47"/>
      <c r="E111" s="252"/>
      <c r="F111" s="252"/>
      <c r="G111" s="252"/>
      <c r="H111" s="252"/>
      <c r="I111" s="48"/>
      <c r="J111" s="48"/>
      <c r="K111" s="49"/>
      <c r="L111" s="11" t="s">
        <v>19</v>
      </c>
      <c r="M111" s="45"/>
      <c r="N111" s="234"/>
      <c r="O111" s="235"/>
      <c r="P111" s="236"/>
    </row>
    <row r="119" spans="1:16" ht="15.75" thickBot="1" x14ac:dyDescent="0.25"/>
    <row r="120" spans="1:16" ht="15.75" x14ac:dyDescent="0.2">
      <c r="A120" s="253" t="s">
        <v>35</v>
      </c>
      <c r="B120" s="35"/>
      <c r="C120" s="36"/>
      <c r="D120" s="36"/>
      <c r="E120" s="37"/>
      <c r="F120" s="266"/>
      <c r="G120" s="266"/>
      <c r="H120" s="266"/>
      <c r="I120" s="38"/>
      <c r="J120" s="38"/>
      <c r="K120" s="39"/>
      <c r="L120" s="258"/>
      <c r="M120" s="40"/>
      <c r="N120" s="202"/>
      <c r="O120" s="197"/>
      <c r="P120" s="256"/>
    </row>
    <row r="121" spans="1:16" ht="16.5" thickBot="1" x14ac:dyDescent="0.25">
      <c r="A121" s="253"/>
      <c r="B121" s="41"/>
      <c r="C121" s="42"/>
      <c r="D121" s="42"/>
      <c r="E121" s="43"/>
      <c r="F121" s="260"/>
      <c r="G121" s="260"/>
      <c r="H121" s="260"/>
      <c r="I121" s="42"/>
      <c r="J121" s="42"/>
      <c r="K121" s="44"/>
      <c r="L121" s="259"/>
      <c r="M121" s="45"/>
      <c r="N121" s="198"/>
      <c r="O121" s="199"/>
      <c r="P121" s="257"/>
    </row>
    <row r="122" spans="1:16" ht="15.75" x14ac:dyDescent="0.2">
      <c r="A122" s="253"/>
      <c r="B122" s="41"/>
      <c r="C122" s="42"/>
      <c r="D122" s="42"/>
      <c r="E122" s="43"/>
      <c r="F122" s="260"/>
      <c r="G122" s="260"/>
      <c r="H122" s="260"/>
      <c r="I122" s="42"/>
      <c r="J122" s="42"/>
      <c r="K122" s="44"/>
      <c r="L122" s="258" t="s">
        <v>1</v>
      </c>
      <c r="M122" s="40"/>
      <c r="N122" s="202">
        <f>SUM(N631+N645+N659+N673+N687+N701+N715+N729+N743)</f>
        <v>0</v>
      </c>
      <c r="O122" s="197"/>
      <c r="P122" s="256"/>
    </row>
    <row r="123" spans="1:16" ht="16.5" thickBot="1" x14ac:dyDescent="0.25">
      <c r="A123" s="253"/>
      <c r="B123" s="41"/>
      <c r="C123" s="42"/>
      <c r="D123" s="42"/>
      <c r="E123" s="43"/>
      <c r="F123" s="260"/>
      <c r="G123" s="260"/>
      <c r="H123" s="260"/>
      <c r="I123" s="42"/>
      <c r="J123" s="42"/>
      <c r="K123" s="44"/>
      <c r="L123" s="259"/>
      <c r="M123" s="45"/>
      <c r="N123" s="198"/>
      <c r="O123" s="199"/>
      <c r="P123" s="257"/>
    </row>
    <row r="124" spans="1:16" ht="15.75" x14ac:dyDescent="0.2">
      <c r="A124" s="253"/>
      <c r="B124" s="41"/>
      <c r="C124" s="42"/>
      <c r="D124" s="42"/>
      <c r="E124" s="43"/>
      <c r="F124" s="176"/>
      <c r="G124" s="176"/>
      <c r="H124" s="176"/>
      <c r="I124" s="42"/>
      <c r="J124" s="42"/>
      <c r="K124" s="44"/>
      <c r="L124" s="258" t="s">
        <v>2</v>
      </c>
      <c r="M124" s="40"/>
      <c r="N124" s="230">
        <f>SUM(T617+T631+T645+T659+T673+T687+T701+T715+T729+T743)</f>
        <v>0</v>
      </c>
      <c r="O124" s="231"/>
      <c r="P124" s="232"/>
    </row>
    <row r="125" spans="1:16" ht="16.5" thickBot="1" x14ac:dyDescent="0.25">
      <c r="A125" s="253"/>
      <c r="B125" s="41"/>
      <c r="C125" s="42"/>
      <c r="D125" s="42"/>
      <c r="E125" s="176"/>
      <c r="F125" s="176"/>
      <c r="G125" s="176"/>
      <c r="H125" s="176"/>
      <c r="I125" s="42"/>
      <c r="J125" s="42"/>
      <c r="K125" s="44"/>
      <c r="L125" s="259"/>
      <c r="M125" s="45"/>
      <c r="N125" s="233"/>
      <c r="O125" s="178"/>
      <c r="P125" s="179"/>
    </row>
    <row r="126" spans="1:16" ht="16.5" thickBot="1" x14ac:dyDescent="0.25">
      <c r="A126" s="253"/>
      <c r="B126" s="46"/>
      <c r="C126" s="47"/>
      <c r="D126" s="47"/>
      <c r="E126" s="252"/>
      <c r="F126" s="252"/>
      <c r="G126" s="252"/>
      <c r="H126" s="252"/>
      <c r="I126" s="48"/>
      <c r="J126" s="48"/>
      <c r="K126" s="49"/>
      <c r="L126" s="11" t="s">
        <v>19</v>
      </c>
      <c r="M126" s="45"/>
      <c r="N126" s="234"/>
      <c r="O126" s="235"/>
      <c r="P126" s="236"/>
    </row>
    <row r="132" spans="1:21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3"/>
      <c r="S132" s="12"/>
      <c r="T132" s="14"/>
      <c r="U132" s="12"/>
    </row>
    <row r="133" spans="1:21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3"/>
      <c r="S133" s="12"/>
      <c r="T133" s="14"/>
      <c r="U133" s="12"/>
    </row>
    <row r="134" spans="1:21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3"/>
      <c r="S134" s="12"/>
      <c r="T134" s="14"/>
      <c r="U134" s="12"/>
    </row>
    <row r="135" spans="1:21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3"/>
      <c r="S135" s="12"/>
      <c r="T135" s="14"/>
      <c r="U135" s="12"/>
    </row>
    <row r="136" spans="1:21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3"/>
      <c r="S136" s="12"/>
      <c r="T136" s="14"/>
      <c r="U136" s="12"/>
    </row>
    <row r="137" spans="1:21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3"/>
      <c r="S137" s="12"/>
      <c r="T137" s="14"/>
      <c r="U137" s="12"/>
    </row>
    <row r="138" spans="1:21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3"/>
      <c r="S138" s="12"/>
      <c r="T138" s="14"/>
      <c r="U138" s="12"/>
    </row>
    <row r="139" spans="1:21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3"/>
      <c r="S139" s="12"/>
      <c r="T139" s="14"/>
      <c r="U139" s="12"/>
    </row>
    <row r="140" spans="1:21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3"/>
      <c r="S140" s="12"/>
      <c r="T140" s="14"/>
      <c r="U140" s="12"/>
    </row>
    <row r="141" spans="1:21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3"/>
      <c r="S141" s="12"/>
      <c r="T141" s="14"/>
      <c r="U141" s="12"/>
    </row>
    <row r="142" spans="1:21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3"/>
      <c r="S142" s="12"/>
      <c r="T142" s="14"/>
      <c r="U142" s="12"/>
    </row>
    <row r="143" spans="1:21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3"/>
      <c r="S143" s="12"/>
      <c r="T143" s="14"/>
      <c r="U143" s="12"/>
    </row>
    <row r="144" spans="1:21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3"/>
      <c r="S144" s="12"/>
      <c r="T144" s="14"/>
      <c r="U144" s="12"/>
    </row>
    <row r="145" spans="1:21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3"/>
      <c r="S145" s="12"/>
      <c r="T145" s="14"/>
      <c r="U145" s="12"/>
    </row>
    <row r="146" spans="1:21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3"/>
      <c r="S146" s="12"/>
      <c r="T146" s="14"/>
      <c r="U146" s="12"/>
    </row>
    <row r="147" spans="1:21" ht="15.75" thickBot="1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3"/>
      <c r="S147" s="12"/>
      <c r="T147" s="14"/>
      <c r="U147" s="12"/>
    </row>
    <row r="148" spans="1:21" ht="18.75" thickBot="1" x14ac:dyDescent="0.3">
      <c r="A148" s="238" t="s">
        <v>5</v>
      </c>
      <c r="B148" s="241" t="s">
        <v>8</v>
      </c>
      <c r="C148" s="50" t="s">
        <v>39</v>
      </c>
      <c r="D148" s="51" t="s">
        <v>9</v>
      </c>
      <c r="E148" s="51" t="s">
        <v>10</v>
      </c>
      <c r="F148" s="51" t="s">
        <v>11</v>
      </c>
      <c r="G148" s="51" t="s">
        <v>12</v>
      </c>
      <c r="H148" s="51" t="s">
        <v>13</v>
      </c>
      <c r="I148" s="51" t="s">
        <v>14</v>
      </c>
      <c r="J148" s="51" t="s">
        <v>15</v>
      </c>
      <c r="K148" s="51" t="s">
        <v>33</v>
      </c>
      <c r="L148" s="51" t="s">
        <v>16</v>
      </c>
      <c r="M148" s="51" t="s">
        <v>38</v>
      </c>
      <c r="N148" s="52" t="s">
        <v>17</v>
      </c>
      <c r="P148" s="53" t="s">
        <v>18</v>
      </c>
      <c r="R148" s="54" t="s">
        <v>34</v>
      </c>
      <c r="S148" s="55"/>
      <c r="T148" s="56" t="s">
        <v>29</v>
      </c>
      <c r="U148" s="12"/>
    </row>
    <row r="149" spans="1:21" x14ac:dyDescent="0.2">
      <c r="A149" s="239"/>
      <c r="B149" s="242"/>
      <c r="C149" s="57">
        <v>0.5</v>
      </c>
      <c r="D149" s="58" t="s">
        <v>65</v>
      </c>
      <c r="E149" s="58" t="s">
        <v>63</v>
      </c>
      <c r="F149" s="58">
        <f>IF(AND(C149=""),"",1-C149)</f>
        <v>0.5</v>
      </c>
      <c r="G149" s="59">
        <v>1.72</v>
      </c>
      <c r="H149" s="59">
        <v>2</v>
      </c>
      <c r="I149" s="58">
        <f>IF(AND(C149=""),"",G149*C149)</f>
        <v>0.86</v>
      </c>
      <c r="J149" s="58">
        <f>IF(AND(C149=""),"",H149*F149)</f>
        <v>1</v>
      </c>
      <c r="K149" s="60" t="str">
        <f t="shared" ref="K149:K158" si="0">IF(AND(I149=""),"",IF(AND(I149&gt;J149),"T1","T2"))</f>
        <v>T2</v>
      </c>
      <c r="L149" s="60" t="str">
        <f t="shared" ref="L149:L158" si="1">IF(AND(K149=""),"",IF(AND((J149*0.95-1)&lt;0,(I149*0.95-1)&lt;0),"NO BET", IF(AND(K149="T1"),I149*0.95 - 1,J149*0.95 - 1)))</f>
        <v>NO BET</v>
      </c>
      <c r="M149" s="61" t="str">
        <f t="shared" ref="M149:M158" si="2">IF(L149="","",IF(L149&lt;0.5,K$2*M$2,IF(L149&lt;0.75,K$2*M$3,IF(L149&lt;1,K$2*M$4,IF(L149&lt;1.25,K$2*M$5,IF(L149&lt;1.5,K$2*M$6,IF(L149&lt;2,K$2*M$7,IF(L149&lt;2.5,K$2*M$8,IF(L149="NO BET","NO BET",K$2*M$9)))))))))</f>
        <v>NO BET</v>
      </c>
      <c r="N149" s="246">
        <f>SUMIF(L149:L158,"&gt;0")</f>
        <v>11.168749999999999</v>
      </c>
      <c r="P149" s="62" t="s">
        <v>40</v>
      </c>
      <c r="R149" s="63">
        <f>IF(OR(P149="",L149="NO BET"),0,IF(AND(K149=P149),IF(AND(K149="T2"),ROUNDUP(H149*M149*0.95,2)-M149,ROUNDUP(G149*M149*0.95,2)-M149),-M149))</f>
        <v>0</v>
      </c>
      <c r="S149" s="244"/>
      <c r="T149" s="237">
        <f>SUM(R149:R158)</f>
        <v>3403.6</v>
      </c>
      <c r="U149" s="12"/>
    </row>
    <row r="150" spans="1:21" ht="18.75" customHeight="1" x14ac:dyDescent="0.2">
      <c r="A150" s="239"/>
      <c r="B150" s="242"/>
      <c r="C150" s="64">
        <v>0.5</v>
      </c>
      <c r="D150" s="65" t="s">
        <v>62</v>
      </c>
      <c r="E150" s="65" t="s">
        <v>67</v>
      </c>
      <c r="F150" s="65">
        <f t="shared" ref="F150:F158" si="3">IF(AND(C150=""),"",1-C150)</f>
        <v>0.5</v>
      </c>
      <c r="G150" s="66">
        <v>2.5</v>
      </c>
      <c r="H150" s="66">
        <v>1.5</v>
      </c>
      <c r="I150" s="65">
        <f t="shared" ref="I150:I156" si="4">IF(AND(C150=""),"",G150*C150)</f>
        <v>1.25</v>
      </c>
      <c r="J150" s="65">
        <f t="shared" ref="J150:J156" si="5">IF(AND(C150=""),"",H150*F150)</f>
        <v>0.75</v>
      </c>
      <c r="K150" s="67" t="str">
        <f t="shared" si="0"/>
        <v>T1</v>
      </c>
      <c r="L150" s="67">
        <f t="shared" si="1"/>
        <v>0.1875</v>
      </c>
      <c r="M150" s="68">
        <f t="shared" si="2"/>
        <v>56.25</v>
      </c>
      <c r="N150" s="247"/>
      <c r="P150" s="69" t="s">
        <v>41</v>
      </c>
      <c r="R150" s="70">
        <f t="shared" ref="R150:R157" si="6">IF(OR(P150="",L150="NO BET"),0,IF(AND(K150=P150),IF(AND(K150="T2"),ROUNDUP(H150*M150*0.95,2)-M150,ROUNDUP(G150*M150*0.95,2)-M150),-M150))</f>
        <v>77.349999999999994</v>
      </c>
      <c r="S150" s="244"/>
      <c r="T150" s="237"/>
      <c r="U150" s="12"/>
    </row>
    <row r="151" spans="1:21" ht="18" customHeight="1" x14ac:dyDescent="0.2">
      <c r="A151" s="239"/>
      <c r="B151" s="242"/>
      <c r="C151" s="71">
        <v>0.5</v>
      </c>
      <c r="D151" s="10" t="s">
        <v>49</v>
      </c>
      <c r="E151" s="10" t="s">
        <v>64</v>
      </c>
      <c r="F151" s="10">
        <f t="shared" si="3"/>
        <v>0.5</v>
      </c>
      <c r="G151" s="72">
        <v>7</v>
      </c>
      <c r="H151" s="72">
        <v>1.1000000000000001</v>
      </c>
      <c r="I151" s="10">
        <f t="shared" si="4"/>
        <v>3.5</v>
      </c>
      <c r="J151" s="10">
        <f t="shared" si="5"/>
        <v>0.55000000000000004</v>
      </c>
      <c r="K151" s="73" t="str">
        <f t="shared" si="0"/>
        <v>T1</v>
      </c>
      <c r="L151" s="73">
        <f t="shared" si="1"/>
        <v>2.3249999999999997</v>
      </c>
      <c r="M151" s="74">
        <f t="shared" si="2"/>
        <v>300</v>
      </c>
      <c r="N151" s="247"/>
      <c r="P151" s="69" t="s">
        <v>41</v>
      </c>
      <c r="R151" s="70">
        <f t="shared" si="6"/>
        <v>1695</v>
      </c>
      <c r="S151" s="244"/>
      <c r="T151" s="237"/>
      <c r="U151" s="12"/>
    </row>
    <row r="152" spans="1:21" ht="18" customHeight="1" x14ac:dyDescent="0.2">
      <c r="A152" s="239"/>
      <c r="B152" s="242"/>
      <c r="C152" s="64">
        <v>0.5</v>
      </c>
      <c r="D152" s="65" t="s">
        <v>72</v>
      </c>
      <c r="E152" s="65" t="s">
        <v>70</v>
      </c>
      <c r="F152" s="65">
        <f t="shared" si="3"/>
        <v>0.5</v>
      </c>
      <c r="G152" s="66">
        <v>1.1100000000000001</v>
      </c>
      <c r="H152" s="66">
        <v>6</v>
      </c>
      <c r="I152" s="65">
        <f t="shared" si="4"/>
        <v>0.55500000000000005</v>
      </c>
      <c r="J152" s="65">
        <f t="shared" si="5"/>
        <v>3</v>
      </c>
      <c r="K152" s="67" t="str">
        <f t="shared" si="0"/>
        <v>T2</v>
      </c>
      <c r="L152" s="67">
        <f t="shared" si="1"/>
        <v>1.8499999999999996</v>
      </c>
      <c r="M152" s="68">
        <f t="shared" si="2"/>
        <v>243.75</v>
      </c>
      <c r="N152" s="247"/>
      <c r="P152" s="69" t="s">
        <v>41</v>
      </c>
      <c r="R152" s="70">
        <f t="shared" si="6"/>
        <v>-243.75</v>
      </c>
      <c r="S152" s="244"/>
      <c r="T152" s="237"/>
      <c r="U152" s="12"/>
    </row>
    <row r="153" spans="1:21" ht="18" customHeight="1" x14ac:dyDescent="0.2">
      <c r="A153" s="239"/>
      <c r="B153" s="242"/>
      <c r="C153" s="71">
        <v>0.5</v>
      </c>
      <c r="D153" s="10" t="s">
        <v>62</v>
      </c>
      <c r="E153" s="10" t="s">
        <v>42</v>
      </c>
      <c r="F153" s="10">
        <f t="shared" si="3"/>
        <v>0.5</v>
      </c>
      <c r="G153" s="72">
        <v>2.75</v>
      </c>
      <c r="H153" s="72">
        <v>1.4</v>
      </c>
      <c r="I153" s="10">
        <f t="shared" si="4"/>
        <v>1.375</v>
      </c>
      <c r="J153" s="10">
        <f t="shared" si="5"/>
        <v>0.7</v>
      </c>
      <c r="K153" s="73" t="str">
        <f t="shared" si="0"/>
        <v>T1</v>
      </c>
      <c r="L153" s="73">
        <f t="shared" si="1"/>
        <v>0.30624999999999991</v>
      </c>
      <c r="M153" s="75">
        <f t="shared" si="2"/>
        <v>56.25</v>
      </c>
      <c r="N153" s="247"/>
      <c r="P153" s="69" t="s">
        <v>40</v>
      </c>
      <c r="R153" s="70">
        <f t="shared" si="6"/>
        <v>-56.25</v>
      </c>
      <c r="S153" s="244"/>
      <c r="T153" s="237"/>
      <c r="U153" s="12"/>
    </row>
    <row r="154" spans="1:21" ht="18" customHeight="1" x14ac:dyDescent="0.2">
      <c r="A154" s="239"/>
      <c r="B154" s="242"/>
      <c r="C154" s="64">
        <v>0.5</v>
      </c>
      <c r="D154" s="65" t="s">
        <v>61</v>
      </c>
      <c r="E154" s="65" t="s">
        <v>63</v>
      </c>
      <c r="F154" s="65">
        <f t="shared" si="3"/>
        <v>0.5</v>
      </c>
      <c r="G154" s="66">
        <v>5.5</v>
      </c>
      <c r="H154" s="66">
        <v>1.1200000000000001</v>
      </c>
      <c r="I154" s="65">
        <f t="shared" si="4"/>
        <v>2.75</v>
      </c>
      <c r="J154" s="65">
        <f t="shared" si="5"/>
        <v>0.56000000000000005</v>
      </c>
      <c r="K154" s="67" t="str">
        <f t="shared" si="0"/>
        <v>T1</v>
      </c>
      <c r="L154" s="67">
        <f t="shared" si="1"/>
        <v>1.6124999999999998</v>
      </c>
      <c r="M154" s="68">
        <f t="shared" si="2"/>
        <v>243.75</v>
      </c>
      <c r="N154" s="247"/>
      <c r="P154" s="69" t="s">
        <v>40</v>
      </c>
      <c r="R154" s="70">
        <f t="shared" si="6"/>
        <v>-243.75</v>
      </c>
      <c r="S154" s="244"/>
      <c r="T154" s="237"/>
      <c r="U154" s="12"/>
    </row>
    <row r="155" spans="1:21" ht="18" customHeight="1" thickBot="1" x14ac:dyDescent="0.25">
      <c r="A155" s="239"/>
      <c r="B155" s="242"/>
      <c r="C155" s="71">
        <v>0.5</v>
      </c>
      <c r="D155" s="10" t="s">
        <v>64</v>
      </c>
      <c r="E155" s="10" t="s">
        <v>67</v>
      </c>
      <c r="F155" s="10">
        <f t="shared" si="3"/>
        <v>0.5</v>
      </c>
      <c r="G155" s="72">
        <v>1.1000000000000001</v>
      </c>
      <c r="H155" s="72">
        <v>6.5</v>
      </c>
      <c r="I155" s="10">
        <f t="shared" si="4"/>
        <v>0.55000000000000004</v>
      </c>
      <c r="J155" s="10">
        <f t="shared" si="5"/>
        <v>3.25</v>
      </c>
      <c r="K155" s="73" t="str">
        <f t="shared" si="0"/>
        <v>T2</v>
      </c>
      <c r="L155" s="73">
        <f t="shared" si="1"/>
        <v>2.0874999999999999</v>
      </c>
      <c r="M155" s="74">
        <f t="shared" si="2"/>
        <v>300</v>
      </c>
      <c r="N155" s="247"/>
      <c r="P155" s="69" t="s">
        <v>41</v>
      </c>
      <c r="R155" s="70">
        <f t="shared" si="6"/>
        <v>-300</v>
      </c>
      <c r="S155" s="55"/>
      <c r="T155" s="76" t="s">
        <v>31</v>
      </c>
      <c r="U155" s="12"/>
    </row>
    <row r="156" spans="1:21" ht="18" customHeight="1" x14ac:dyDescent="0.2">
      <c r="A156" s="239"/>
      <c r="B156" s="242"/>
      <c r="C156" s="64">
        <v>0.5</v>
      </c>
      <c r="D156" s="65" t="s">
        <v>61</v>
      </c>
      <c r="E156" s="65" t="s">
        <v>72</v>
      </c>
      <c r="F156" s="65">
        <f t="shared" si="3"/>
        <v>0.5</v>
      </c>
      <c r="G156" s="66">
        <v>8</v>
      </c>
      <c r="H156" s="66">
        <v>1.0620000000000001</v>
      </c>
      <c r="I156" s="65">
        <f t="shared" si="4"/>
        <v>4</v>
      </c>
      <c r="J156" s="65">
        <f t="shared" si="5"/>
        <v>0.53100000000000003</v>
      </c>
      <c r="K156" s="67" t="str">
        <f t="shared" si="0"/>
        <v>T1</v>
      </c>
      <c r="L156" s="67">
        <f t="shared" si="1"/>
        <v>2.8</v>
      </c>
      <c r="M156" s="77">
        <f t="shared" si="2"/>
        <v>375</v>
      </c>
      <c r="N156" s="247"/>
      <c r="P156" s="69" t="s">
        <v>41</v>
      </c>
      <c r="R156" s="70">
        <f t="shared" si="6"/>
        <v>2475</v>
      </c>
      <c r="S156" s="245"/>
      <c r="T156" s="249">
        <f>IF(AND(NOT(N149=0)),T149/N149,0)</f>
        <v>304.74314493564634</v>
      </c>
      <c r="U156" s="12"/>
    </row>
    <row r="157" spans="1:21" x14ac:dyDescent="0.2">
      <c r="A157" s="239"/>
      <c r="B157" s="242"/>
      <c r="C157" s="78"/>
      <c r="D157" s="10"/>
      <c r="E157" s="10"/>
      <c r="F157" s="10" t="str">
        <f t="shared" si="3"/>
        <v/>
      </c>
      <c r="G157" s="72"/>
      <c r="H157" s="72"/>
      <c r="I157" s="10" t="str">
        <f>IF(AND(C157=""),"",G157*C157)</f>
        <v/>
      </c>
      <c r="J157" s="10" t="str">
        <f>IF(AND(C157=""),"",H157*F157)</f>
        <v/>
      </c>
      <c r="K157" s="73" t="str">
        <f t="shared" si="0"/>
        <v/>
      </c>
      <c r="L157" s="73" t="str">
        <f t="shared" si="1"/>
        <v/>
      </c>
      <c r="M157" s="75" t="str">
        <f t="shared" si="2"/>
        <v/>
      </c>
      <c r="N157" s="247"/>
      <c r="P157" s="69"/>
      <c r="R157" s="70">
        <f t="shared" si="6"/>
        <v>0</v>
      </c>
      <c r="S157" s="245"/>
      <c r="T157" s="250"/>
      <c r="U157" s="12"/>
    </row>
    <row r="158" spans="1:21" ht="15.75" thickBot="1" x14ac:dyDescent="0.25">
      <c r="A158" s="240"/>
      <c r="B158" s="243"/>
      <c r="C158" s="79"/>
      <c r="D158" s="80"/>
      <c r="E158" s="80"/>
      <c r="F158" s="80" t="str">
        <f t="shared" si="3"/>
        <v/>
      </c>
      <c r="G158" s="81"/>
      <c r="H158" s="81"/>
      <c r="I158" s="80" t="str">
        <f>IF(AND(C158=""),"",G158*C158)</f>
        <v/>
      </c>
      <c r="J158" s="80" t="str">
        <f>IF(AND(C158=""),"",H158*F158)</f>
        <v/>
      </c>
      <c r="K158" s="82" t="str">
        <f t="shared" si="0"/>
        <v/>
      </c>
      <c r="L158" s="82" t="str">
        <f t="shared" si="1"/>
        <v/>
      </c>
      <c r="M158" s="83" t="str">
        <f t="shared" si="2"/>
        <v/>
      </c>
      <c r="N158" s="248"/>
      <c r="P158" s="84"/>
      <c r="R158" s="85">
        <f>IF(OR(P158="",L158="NO BET"),0,IF(AND(K158=P158),IF(AND(K158="T2"),ROUNDUP(H158*M158*0.95,2)-M158,ROUNDUP(G158*M158*0.95,2)-M158),-M158))</f>
        <v>0</v>
      </c>
      <c r="S158" s="245"/>
      <c r="T158" s="251"/>
      <c r="U158" s="12"/>
    </row>
    <row r="159" spans="1:21" ht="15.75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86"/>
      <c r="M159" s="86"/>
      <c r="N159" s="12"/>
      <c r="O159" s="12"/>
      <c r="P159" s="12"/>
      <c r="Q159" s="87"/>
      <c r="R159" s="13"/>
      <c r="S159" s="87"/>
      <c r="T159" s="14"/>
      <c r="U159" s="12"/>
    </row>
    <row r="160" spans="1:21" x14ac:dyDescent="0.2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3"/>
      <c r="S160" s="12"/>
      <c r="T160" s="14"/>
      <c r="U160" s="12"/>
    </row>
    <row r="161" spans="1:21" ht="15.75" thickBot="1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87"/>
      <c r="R161" s="13"/>
      <c r="S161" s="87"/>
      <c r="T161" s="14"/>
      <c r="U161" s="12"/>
    </row>
    <row r="162" spans="1:21" ht="19.5" customHeight="1" thickBot="1" x14ac:dyDescent="0.3">
      <c r="A162" s="238" t="s">
        <v>5</v>
      </c>
      <c r="B162" s="241" t="s">
        <v>20</v>
      </c>
      <c r="C162" s="51"/>
      <c r="D162" s="51" t="s">
        <v>9</v>
      </c>
      <c r="E162" s="51" t="s">
        <v>10</v>
      </c>
      <c r="F162" s="51" t="s">
        <v>11</v>
      </c>
      <c r="G162" s="51" t="s">
        <v>12</v>
      </c>
      <c r="H162" s="51" t="s">
        <v>13</v>
      </c>
      <c r="I162" s="51" t="s">
        <v>14</v>
      </c>
      <c r="J162" s="51" t="s">
        <v>15</v>
      </c>
      <c r="K162" s="51" t="s">
        <v>33</v>
      </c>
      <c r="L162" s="51" t="s">
        <v>16</v>
      </c>
      <c r="M162" s="51" t="s">
        <v>38</v>
      </c>
      <c r="N162" s="52" t="s">
        <v>17</v>
      </c>
      <c r="O162" s="88"/>
      <c r="P162" s="53" t="s">
        <v>18</v>
      </c>
      <c r="Q162" s="87"/>
      <c r="R162" s="54" t="s">
        <v>34</v>
      </c>
      <c r="S162" s="87"/>
      <c r="T162" s="56" t="s">
        <v>29</v>
      </c>
      <c r="U162" s="12"/>
    </row>
    <row r="163" spans="1:21" ht="15.75" x14ac:dyDescent="0.2">
      <c r="A163" s="239"/>
      <c r="B163" s="242"/>
      <c r="C163" s="57">
        <v>0.5</v>
      </c>
      <c r="D163" s="89" t="s">
        <v>49</v>
      </c>
      <c r="E163" s="89" t="s">
        <v>65</v>
      </c>
      <c r="F163" s="58">
        <f>IF(AND(C163=""),"",1-C163)</f>
        <v>0.5</v>
      </c>
      <c r="G163" s="59">
        <v>2.62</v>
      </c>
      <c r="H163" s="59">
        <v>1.44</v>
      </c>
      <c r="I163" s="58">
        <f>IF(AND(C163=""),"",G163*C163)</f>
        <v>1.31</v>
      </c>
      <c r="J163" s="58">
        <f>IF(AND(C163=""),"",H163*F163)</f>
        <v>0.72</v>
      </c>
      <c r="K163" s="58" t="str">
        <f t="shared" ref="K163:K172" si="7">IF(AND(I163=""),"",IF(AND(I163&gt;J163),"T1","T2"))</f>
        <v>T1</v>
      </c>
      <c r="L163" s="58">
        <f t="shared" ref="L163:L172" si="8">IF(AND(K163=""),"",IF(AND((J163*0.95-1)&lt;0,(I163*0.95-1)&lt;0),"NO BET", IF(AND(K163="T1"),I163*0.95 - 1,J163*0.95 - 1)))</f>
        <v>0.24449999999999994</v>
      </c>
      <c r="M163" s="61">
        <f t="shared" ref="M163:M172" si="9">IF(L163="","",IF(L163&lt;0.5,K$2*M$2,IF(L163&lt;0.75,K$2*M$3,IF(L163&lt;1,K$2*M$4,IF(L163&lt;1.25,K$2*M$5,IF(L163&lt;1.5,K$2*M$6,IF(L163&lt;2,K$2*M$7,IF(L163&lt;2.5,K$2*M$8,IF(L163="NO BET","NO BET",K$2*M$9)))))))))</f>
        <v>56.25</v>
      </c>
      <c r="N163" s="246">
        <f>SUMIF(L163:L172,"&gt;0")</f>
        <v>4.8962499999999993</v>
      </c>
      <c r="O163" s="88"/>
      <c r="P163" s="62" t="s">
        <v>40</v>
      </c>
      <c r="Q163" s="88"/>
      <c r="R163" s="63">
        <f>IF(OR(P163="",L163="NO BET"),0,IF(AND(K163=P163),IF(AND(K163="T2"),ROUNDUP(H163*M163*0.95,2)-M163,ROUNDUP(G163*M163*0.95,2)-M163),-M163))</f>
        <v>-56.25</v>
      </c>
      <c r="S163" s="87"/>
      <c r="T163" s="237">
        <f>SUM(R163:R172)</f>
        <v>639.37999999999988</v>
      </c>
      <c r="U163" s="12"/>
    </row>
    <row r="164" spans="1:21" x14ac:dyDescent="0.2">
      <c r="A164" s="239"/>
      <c r="B164" s="242"/>
      <c r="C164" s="64">
        <v>0.5</v>
      </c>
      <c r="D164" s="90" t="s">
        <v>42</v>
      </c>
      <c r="E164" s="90" t="s">
        <v>70</v>
      </c>
      <c r="F164" s="65">
        <f t="shared" ref="F164:F172" si="10">IF(AND(C164=""),"",1-C164)</f>
        <v>0.5</v>
      </c>
      <c r="G164" s="65">
        <v>1.72</v>
      </c>
      <c r="H164" s="65">
        <v>2</v>
      </c>
      <c r="I164" s="65">
        <f t="shared" ref="I164:I170" si="11">IF(AND(C164=""),"",G164*C164)</f>
        <v>0.86</v>
      </c>
      <c r="J164" s="65">
        <f t="shared" ref="J164:J170" si="12">IF(AND(C164=""),"",H164*F164)</f>
        <v>1</v>
      </c>
      <c r="K164" s="65" t="str">
        <f t="shared" si="7"/>
        <v>T2</v>
      </c>
      <c r="L164" s="65" t="str">
        <f t="shared" si="8"/>
        <v>NO BET</v>
      </c>
      <c r="M164" s="68" t="str">
        <f t="shared" si="9"/>
        <v>NO BET</v>
      </c>
      <c r="N164" s="247"/>
      <c r="O164" s="12"/>
      <c r="P164" s="69" t="s">
        <v>40</v>
      </c>
      <c r="Q164" s="87"/>
      <c r="R164" s="70">
        <f t="shared" ref="R164:R171" si="13">IF(OR(P164="",L164="NO BET"),0,IF(AND(K164=P164),IF(AND(K164="T2"),ROUNDUP(H164*M164*0.95,2)-M164,ROUNDUP(G164*M164*0.95,2)-M164),-M164))</f>
        <v>0</v>
      </c>
      <c r="S164" s="87"/>
      <c r="T164" s="237"/>
      <c r="U164" s="12"/>
    </row>
    <row r="165" spans="1:21" ht="15.75" x14ac:dyDescent="0.2">
      <c r="A165" s="239"/>
      <c r="B165" s="242"/>
      <c r="C165" s="71">
        <v>0.5</v>
      </c>
      <c r="D165" s="91" t="s">
        <v>61</v>
      </c>
      <c r="E165" s="91" t="s">
        <v>67</v>
      </c>
      <c r="F165" s="10">
        <f t="shared" si="10"/>
        <v>0.5</v>
      </c>
      <c r="G165" s="72">
        <v>1.4</v>
      </c>
      <c r="H165" s="10">
        <v>2.75</v>
      </c>
      <c r="I165" s="10">
        <f t="shared" si="11"/>
        <v>0.7</v>
      </c>
      <c r="J165" s="10">
        <f t="shared" si="12"/>
        <v>1.375</v>
      </c>
      <c r="K165" s="10" t="str">
        <f t="shared" si="7"/>
        <v>T2</v>
      </c>
      <c r="L165" s="10">
        <f t="shared" si="8"/>
        <v>0.30624999999999991</v>
      </c>
      <c r="M165" s="74">
        <f t="shared" si="9"/>
        <v>56.25</v>
      </c>
      <c r="N165" s="247"/>
      <c r="O165" s="88"/>
      <c r="P165" s="69" t="s">
        <v>41</v>
      </c>
      <c r="Q165" s="87"/>
      <c r="R165" s="70">
        <f t="shared" si="13"/>
        <v>-56.25</v>
      </c>
      <c r="S165" s="87"/>
      <c r="T165" s="237"/>
      <c r="U165" s="12"/>
    </row>
    <row r="166" spans="1:21" x14ac:dyDescent="0.2">
      <c r="A166" s="239"/>
      <c r="B166" s="242"/>
      <c r="C166" s="64">
        <v>0.5</v>
      </c>
      <c r="D166" s="90" t="s">
        <v>64</v>
      </c>
      <c r="E166" s="90" t="s">
        <v>72</v>
      </c>
      <c r="F166" s="65">
        <f t="shared" si="10"/>
        <v>0.5</v>
      </c>
      <c r="G166" s="66">
        <v>1.61</v>
      </c>
      <c r="H166" s="65">
        <v>2.2000000000000002</v>
      </c>
      <c r="I166" s="65">
        <f t="shared" si="11"/>
        <v>0.80500000000000005</v>
      </c>
      <c r="J166" s="65">
        <f t="shared" si="12"/>
        <v>1.1000000000000001</v>
      </c>
      <c r="K166" s="65" t="str">
        <f t="shared" si="7"/>
        <v>T2</v>
      </c>
      <c r="L166" s="65">
        <f t="shared" si="8"/>
        <v>4.4999999999999929E-2</v>
      </c>
      <c r="M166" s="68">
        <f t="shared" si="9"/>
        <v>56.25</v>
      </c>
      <c r="N166" s="247"/>
      <c r="O166" s="92"/>
      <c r="P166" s="69" t="s">
        <v>41</v>
      </c>
      <c r="Q166" s="87"/>
      <c r="R166" s="70">
        <f t="shared" si="13"/>
        <v>-56.25</v>
      </c>
      <c r="S166" s="87"/>
      <c r="T166" s="237"/>
      <c r="U166" s="12"/>
    </row>
    <row r="167" spans="1:21" x14ac:dyDescent="0.2">
      <c r="A167" s="239"/>
      <c r="B167" s="242"/>
      <c r="C167" s="71">
        <v>0.5</v>
      </c>
      <c r="D167" s="91" t="s">
        <v>70</v>
      </c>
      <c r="E167" s="91" t="s">
        <v>62</v>
      </c>
      <c r="F167" s="10">
        <f t="shared" si="10"/>
        <v>0.5</v>
      </c>
      <c r="G167" s="72">
        <v>2</v>
      </c>
      <c r="H167" s="10">
        <v>1.72</v>
      </c>
      <c r="I167" s="10">
        <f t="shared" si="11"/>
        <v>1</v>
      </c>
      <c r="J167" s="10">
        <f t="shared" si="12"/>
        <v>0.86</v>
      </c>
      <c r="K167" s="10" t="str">
        <f t="shared" si="7"/>
        <v>T1</v>
      </c>
      <c r="L167" s="10" t="str">
        <f t="shared" si="8"/>
        <v>NO BET</v>
      </c>
      <c r="M167" s="75" t="str">
        <f t="shared" si="9"/>
        <v>NO BET</v>
      </c>
      <c r="N167" s="247"/>
      <c r="O167" s="92"/>
      <c r="P167" s="69" t="s">
        <v>41</v>
      </c>
      <c r="Q167" s="87"/>
      <c r="R167" s="70">
        <f t="shared" si="13"/>
        <v>0</v>
      </c>
      <c r="S167" s="87"/>
      <c r="T167" s="237"/>
      <c r="U167" s="12"/>
    </row>
    <row r="168" spans="1:21" x14ac:dyDescent="0.2">
      <c r="A168" s="239"/>
      <c r="B168" s="242"/>
      <c r="C168" s="64">
        <v>0.5</v>
      </c>
      <c r="D168" s="90" t="s">
        <v>63</v>
      </c>
      <c r="E168" s="90" t="s">
        <v>49</v>
      </c>
      <c r="F168" s="65">
        <f t="shared" si="10"/>
        <v>0.5</v>
      </c>
      <c r="G168" s="66">
        <v>1.25</v>
      </c>
      <c r="H168" s="65">
        <v>3.75</v>
      </c>
      <c r="I168" s="65">
        <f t="shared" si="11"/>
        <v>0.625</v>
      </c>
      <c r="J168" s="65">
        <f t="shared" si="12"/>
        <v>1.875</v>
      </c>
      <c r="K168" s="65" t="str">
        <f t="shared" si="7"/>
        <v>T2</v>
      </c>
      <c r="L168" s="65">
        <f t="shared" si="8"/>
        <v>0.78125</v>
      </c>
      <c r="M168" s="68">
        <f t="shared" si="9"/>
        <v>93.75</v>
      </c>
      <c r="N168" s="247"/>
      <c r="O168" s="92"/>
      <c r="P168" s="69" t="s">
        <v>41</v>
      </c>
      <c r="Q168" s="87"/>
      <c r="R168" s="70">
        <f t="shared" si="13"/>
        <v>-93.75</v>
      </c>
      <c r="S168" s="87"/>
      <c r="T168" s="237"/>
      <c r="U168" s="12"/>
    </row>
    <row r="169" spans="1:21" ht="16.5" thickBot="1" x14ac:dyDescent="0.25">
      <c r="A169" s="239"/>
      <c r="B169" s="242"/>
      <c r="C169" s="71">
        <v>0.5</v>
      </c>
      <c r="D169" s="91" t="s">
        <v>65</v>
      </c>
      <c r="E169" s="91" t="s">
        <v>72</v>
      </c>
      <c r="F169" s="10">
        <f t="shared" si="10"/>
        <v>0.5</v>
      </c>
      <c r="G169" s="72">
        <v>1.5</v>
      </c>
      <c r="H169" s="10">
        <v>2.5</v>
      </c>
      <c r="I169" s="10">
        <f t="shared" si="11"/>
        <v>0.75</v>
      </c>
      <c r="J169" s="10">
        <f t="shared" si="12"/>
        <v>1.25</v>
      </c>
      <c r="K169" s="10" t="str">
        <f t="shared" si="7"/>
        <v>T2</v>
      </c>
      <c r="L169" s="10">
        <f t="shared" si="8"/>
        <v>0.1875</v>
      </c>
      <c r="M169" s="74">
        <f t="shared" si="9"/>
        <v>56.25</v>
      </c>
      <c r="N169" s="247"/>
      <c r="O169" s="12"/>
      <c r="P169" s="69" t="s">
        <v>41</v>
      </c>
      <c r="Q169" s="87"/>
      <c r="R169" s="70">
        <f t="shared" si="13"/>
        <v>-56.25</v>
      </c>
      <c r="S169" s="87"/>
      <c r="T169" s="76" t="s">
        <v>31</v>
      </c>
      <c r="U169" s="12"/>
    </row>
    <row r="170" spans="1:21" x14ac:dyDescent="0.2">
      <c r="A170" s="239"/>
      <c r="B170" s="242"/>
      <c r="C170" s="64">
        <v>0.5</v>
      </c>
      <c r="D170" s="90" t="s">
        <v>64</v>
      </c>
      <c r="E170" s="90" t="s">
        <v>42</v>
      </c>
      <c r="F170" s="65">
        <f t="shared" si="10"/>
        <v>0.5</v>
      </c>
      <c r="G170" s="66">
        <v>1.2</v>
      </c>
      <c r="H170" s="65">
        <v>4.33</v>
      </c>
      <c r="I170" s="65">
        <f t="shared" si="11"/>
        <v>0.6</v>
      </c>
      <c r="J170" s="65">
        <f t="shared" si="12"/>
        <v>2.165</v>
      </c>
      <c r="K170" s="65" t="str">
        <f t="shared" si="7"/>
        <v>T2</v>
      </c>
      <c r="L170" s="65">
        <f t="shared" si="8"/>
        <v>1.0567500000000001</v>
      </c>
      <c r="M170" s="77">
        <f t="shared" si="9"/>
        <v>131.25</v>
      </c>
      <c r="N170" s="247"/>
      <c r="O170" s="12"/>
      <c r="P170" s="69" t="s">
        <v>41</v>
      </c>
      <c r="Q170" s="87"/>
      <c r="R170" s="70">
        <f t="shared" si="13"/>
        <v>-131.25</v>
      </c>
      <c r="S170" s="87"/>
      <c r="T170" s="249">
        <f>IF(AND(NOT(N163=0)),T163/N163,0)</f>
        <v>130.58565228491193</v>
      </c>
      <c r="U170" s="12"/>
    </row>
    <row r="171" spans="1:21" x14ac:dyDescent="0.2">
      <c r="A171" s="239"/>
      <c r="B171" s="242"/>
      <c r="C171" s="71">
        <v>0.5</v>
      </c>
      <c r="D171" s="91" t="s">
        <v>63</v>
      </c>
      <c r="E171" s="91" t="s">
        <v>62</v>
      </c>
      <c r="F171" s="10">
        <f t="shared" si="10"/>
        <v>0.5</v>
      </c>
      <c r="G171" s="10">
        <v>1.1000000000000001</v>
      </c>
      <c r="H171" s="10">
        <v>6</v>
      </c>
      <c r="I171" s="10">
        <f>IF(AND(C171=""),"",G171*C171)</f>
        <v>0.55000000000000004</v>
      </c>
      <c r="J171" s="10">
        <f>IF(AND(C171=""),"",H171*F171)</f>
        <v>3</v>
      </c>
      <c r="K171" s="10" t="str">
        <f t="shared" si="7"/>
        <v>T2</v>
      </c>
      <c r="L171" s="10">
        <f t="shared" si="8"/>
        <v>1.8499999999999996</v>
      </c>
      <c r="M171" s="75">
        <f t="shared" si="9"/>
        <v>243.75</v>
      </c>
      <c r="N171" s="247"/>
      <c r="O171" s="12"/>
      <c r="P171" s="69" t="s">
        <v>40</v>
      </c>
      <c r="Q171" s="87"/>
      <c r="R171" s="70">
        <f t="shared" si="13"/>
        <v>1145.6299999999999</v>
      </c>
      <c r="S171" s="87"/>
      <c r="T171" s="250"/>
      <c r="U171" s="12"/>
    </row>
    <row r="172" spans="1:21" ht="15.75" thickBot="1" x14ac:dyDescent="0.25">
      <c r="A172" s="240"/>
      <c r="B172" s="243"/>
      <c r="C172" s="93">
        <v>0.5</v>
      </c>
      <c r="D172" s="94" t="s">
        <v>70</v>
      </c>
      <c r="E172" s="94" t="s">
        <v>49</v>
      </c>
      <c r="F172" s="80">
        <f t="shared" si="10"/>
        <v>0.5</v>
      </c>
      <c r="G172" s="80">
        <v>3</v>
      </c>
      <c r="H172" s="80">
        <v>1.36</v>
      </c>
      <c r="I172" s="80">
        <f>IF(AND(C172=""),"",G172*C172)</f>
        <v>1.5</v>
      </c>
      <c r="J172" s="80">
        <f>IF(AND(C172=""),"",H172*F172)</f>
        <v>0.68</v>
      </c>
      <c r="K172" s="80" t="str">
        <f t="shared" si="7"/>
        <v>T1</v>
      </c>
      <c r="L172" s="80">
        <f t="shared" si="8"/>
        <v>0.42499999999999982</v>
      </c>
      <c r="M172" s="83">
        <f t="shared" si="9"/>
        <v>56.25</v>
      </c>
      <c r="N172" s="248"/>
      <c r="O172" s="12"/>
      <c r="P172" s="84" t="s">
        <v>40</v>
      </c>
      <c r="Q172" s="12"/>
      <c r="R172" s="85">
        <f>IF(OR(P172="",L172="NO BET"),0,IF(AND(K172=P172),IF(AND(K172="T2"),ROUNDUP(H172*M172*0.95,2)-M172,ROUNDUP(G172*M172*0.95,2)-M172),-M172))</f>
        <v>-56.25</v>
      </c>
      <c r="S172" s="12"/>
      <c r="T172" s="251"/>
      <c r="U172" s="12"/>
    </row>
    <row r="173" spans="1:21" x14ac:dyDescent="0.2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R173" s="13"/>
      <c r="S173" s="12"/>
      <c r="T173" s="14"/>
      <c r="U173" s="12"/>
    </row>
    <row r="174" spans="1:21" x14ac:dyDescent="0.2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3"/>
      <c r="S174" s="12"/>
      <c r="T174" s="14"/>
      <c r="U174" s="12"/>
    </row>
    <row r="175" spans="1:21" ht="15.75" thickBot="1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3"/>
      <c r="S175" s="12"/>
      <c r="T175" s="14"/>
      <c r="U175" s="12"/>
    </row>
    <row r="176" spans="1:21" ht="19.5" customHeight="1" thickBot="1" x14ac:dyDescent="0.3">
      <c r="A176" s="238" t="s">
        <v>5</v>
      </c>
      <c r="B176" s="241" t="s">
        <v>21</v>
      </c>
      <c r="C176" s="51"/>
      <c r="D176" s="51" t="s">
        <v>9</v>
      </c>
      <c r="E176" s="51" t="s">
        <v>10</v>
      </c>
      <c r="F176" s="51" t="s">
        <v>11</v>
      </c>
      <c r="G176" s="51" t="s">
        <v>12</v>
      </c>
      <c r="H176" s="51" t="s">
        <v>13</v>
      </c>
      <c r="I176" s="51" t="s">
        <v>14</v>
      </c>
      <c r="J176" s="51" t="s">
        <v>15</v>
      </c>
      <c r="K176" s="51" t="s">
        <v>33</v>
      </c>
      <c r="L176" s="51" t="s">
        <v>16</v>
      </c>
      <c r="M176" s="51" t="s">
        <v>38</v>
      </c>
      <c r="N176" s="52" t="s">
        <v>17</v>
      </c>
      <c r="O176" s="88"/>
      <c r="P176" s="53" t="s">
        <v>18</v>
      </c>
      <c r="Q176" s="87"/>
      <c r="R176" s="54" t="s">
        <v>34</v>
      </c>
      <c r="S176" s="87"/>
      <c r="T176" s="56" t="s">
        <v>29</v>
      </c>
      <c r="U176" s="12"/>
    </row>
    <row r="177" spans="1:21" ht="15.75" customHeight="1" x14ac:dyDescent="0.2">
      <c r="A177" s="239"/>
      <c r="B177" s="242"/>
      <c r="C177" s="57">
        <v>0.53</v>
      </c>
      <c r="D177" s="89" t="s">
        <v>42</v>
      </c>
      <c r="E177" s="89" t="s">
        <v>61</v>
      </c>
      <c r="F177" s="58">
        <f>IF(AND(C177=""),"",1-C177)</f>
        <v>0.47</v>
      </c>
      <c r="G177" s="58">
        <v>1.72</v>
      </c>
      <c r="H177" s="58">
        <v>2</v>
      </c>
      <c r="I177" s="58">
        <f>IF(AND(C177=""),"",G177*C177)</f>
        <v>0.91160000000000008</v>
      </c>
      <c r="J177" s="58">
        <f>IF(AND(C177=""),"",H177*F177)</f>
        <v>0.94</v>
      </c>
      <c r="K177" s="58" t="str">
        <f t="shared" ref="K177:K186" si="14">IF(AND(I177=""),"",IF(AND(I177&gt;J177),"T1","T2"))</f>
        <v>T2</v>
      </c>
      <c r="L177" s="58" t="str">
        <f t="shared" ref="L177:L186" si="15">IF(AND(K177=""),"",IF(AND((J177*0.95-1)&lt;0,(I177*0.95-1)&lt;0),"NO BET", IF(AND(K177="T1"),I177*0.95 - 1,J177*0.95 - 1)))</f>
        <v>NO BET</v>
      </c>
      <c r="M177" s="61" t="str">
        <f t="shared" ref="M177:M186" si="16">IF(L177="","",IF(L177&lt;0.5,K$2*M$2,IF(L177&lt;0.75,K$2*M$3,IF(L177&lt;1,K$2*M$4,IF(L177&lt;1.25,K$2*M$5,IF(L177&lt;1.5,K$2*M$6,IF(L177&lt;2,K$2*M$7,IF(L177&lt;2.5,K$2*M$8,IF(L177="NO BET","NO BET",K$2*M$9)))))))))</f>
        <v>NO BET</v>
      </c>
      <c r="N177" s="246">
        <f>SUMIF(L177:L186,"&gt;0")</f>
        <v>7.3112449999999978</v>
      </c>
      <c r="O177" s="88"/>
      <c r="P177" s="62" t="s">
        <v>41</v>
      </c>
      <c r="Q177" s="88"/>
      <c r="R177" s="63">
        <f>IF(OR(P177="",L177="NO BET"),0,IF(AND(K177=P177),IF(AND(K177="T2"),ROUNDUP(H177*M177*0.95,2)-M177,ROUNDUP(G177*M177*0.95,2)-M177),-M177))</f>
        <v>0</v>
      </c>
      <c r="S177" s="87"/>
      <c r="T177" s="237">
        <f>SUM(R177:R186)</f>
        <v>-543.75</v>
      </c>
      <c r="U177" s="12"/>
    </row>
    <row r="178" spans="1:21" ht="15.75" customHeight="1" x14ac:dyDescent="0.2">
      <c r="A178" s="239"/>
      <c r="B178" s="242"/>
      <c r="C178" s="64">
        <v>0.49</v>
      </c>
      <c r="D178" s="90" t="s">
        <v>67</v>
      </c>
      <c r="E178" s="90" t="s">
        <v>65</v>
      </c>
      <c r="F178" s="65">
        <f t="shared" ref="F178:F186" si="17">IF(AND(C178=""),"",1-C178)</f>
        <v>0.51</v>
      </c>
      <c r="G178" s="65">
        <v>5</v>
      </c>
      <c r="H178" s="65">
        <v>1.1399999999999999</v>
      </c>
      <c r="I178" s="65">
        <f t="shared" ref="I178:I186" si="18">IF(AND(C178=""),"",G178*C178)</f>
        <v>2.4500000000000002</v>
      </c>
      <c r="J178" s="65">
        <f t="shared" ref="J178:J186" si="19">IF(AND(C178=""),"",H178*F178)</f>
        <v>0.58139999999999992</v>
      </c>
      <c r="K178" s="65" t="str">
        <f t="shared" si="14"/>
        <v>T1</v>
      </c>
      <c r="L178" s="65">
        <f t="shared" si="15"/>
        <v>1.3275000000000001</v>
      </c>
      <c r="M178" s="68">
        <f t="shared" si="16"/>
        <v>187.5</v>
      </c>
      <c r="N178" s="247"/>
      <c r="O178" s="12"/>
      <c r="P178" s="69" t="s">
        <v>40</v>
      </c>
      <c r="Q178" s="87"/>
      <c r="R178" s="70">
        <f t="shared" ref="R178:R185" si="20">IF(OR(P178="",L178="NO BET"),0,IF(AND(K178=P178),IF(AND(K178="T2"),ROUNDUP(H178*M178*0.95,2)-M178,ROUNDUP(G178*M178*0.95,2)-M178),-M178))</f>
        <v>-187.5</v>
      </c>
      <c r="S178" s="87"/>
      <c r="T178" s="237"/>
      <c r="U178" s="12"/>
    </row>
    <row r="179" spans="1:21" ht="15.75" customHeight="1" x14ac:dyDescent="0.2">
      <c r="A179" s="239"/>
      <c r="B179" s="242"/>
      <c r="C179" s="71">
        <v>0.53</v>
      </c>
      <c r="D179" s="91" t="s">
        <v>65</v>
      </c>
      <c r="E179" s="91" t="s">
        <v>70</v>
      </c>
      <c r="F179" s="10">
        <f t="shared" si="17"/>
        <v>0.47</v>
      </c>
      <c r="G179" s="10">
        <v>1.2</v>
      </c>
      <c r="H179" s="10">
        <v>4.33</v>
      </c>
      <c r="I179" s="10">
        <f t="shared" si="18"/>
        <v>0.63600000000000001</v>
      </c>
      <c r="J179" s="10">
        <f t="shared" si="19"/>
        <v>2.0350999999999999</v>
      </c>
      <c r="K179" s="10" t="str">
        <f t="shared" si="14"/>
        <v>T2</v>
      </c>
      <c r="L179" s="10">
        <f t="shared" si="15"/>
        <v>0.93334499999999987</v>
      </c>
      <c r="M179" s="74">
        <f t="shared" si="16"/>
        <v>93.75</v>
      </c>
      <c r="N179" s="247"/>
      <c r="O179" s="88"/>
      <c r="P179" s="69" t="s">
        <v>41</v>
      </c>
      <c r="Q179" s="87"/>
      <c r="R179" s="70">
        <f t="shared" si="20"/>
        <v>-93.75</v>
      </c>
      <c r="S179" s="87"/>
      <c r="T179" s="237"/>
      <c r="U179" s="12"/>
    </row>
    <row r="180" spans="1:21" ht="15.75" customHeight="1" x14ac:dyDescent="0.2">
      <c r="A180" s="239"/>
      <c r="B180" s="242"/>
      <c r="C180" s="64">
        <v>0.49</v>
      </c>
      <c r="D180" s="90" t="s">
        <v>49</v>
      </c>
      <c r="E180" s="90" t="s">
        <v>42</v>
      </c>
      <c r="F180" s="65">
        <f t="shared" si="17"/>
        <v>0.51</v>
      </c>
      <c r="G180" s="65">
        <v>1.44</v>
      </c>
      <c r="H180" s="65">
        <v>2.62</v>
      </c>
      <c r="I180" s="65">
        <f t="shared" si="18"/>
        <v>0.7056</v>
      </c>
      <c r="J180" s="65">
        <f t="shared" si="19"/>
        <v>1.3362000000000001</v>
      </c>
      <c r="K180" s="65" t="str">
        <f t="shared" si="14"/>
        <v>T2</v>
      </c>
      <c r="L180" s="65">
        <f t="shared" si="15"/>
        <v>0.26939000000000002</v>
      </c>
      <c r="M180" s="68">
        <f t="shared" si="16"/>
        <v>56.25</v>
      </c>
      <c r="N180" s="247"/>
      <c r="O180" s="92"/>
      <c r="P180" s="69" t="s">
        <v>41</v>
      </c>
      <c r="Q180" s="87"/>
      <c r="R180" s="70">
        <f t="shared" si="20"/>
        <v>-56.25</v>
      </c>
      <c r="S180" s="87"/>
      <c r="T180" s="237"/>
      <c r="U180" s="12"/>
    </row>
    <row r="181" spans="1:21" ht="15.75" customHeight="1" x14ac:dyDescent="0.2">
      <c r="A181" s="239"/>
      <c r="B181" s="242"/>
      <c r="C181" s="71">
        <v>0.49</v>
      </c>
      <c r="D181" s="91" t="s">
        <v>64</v>
      </c>
      <c r="E181" s="91" t="s">
        <v>61</v>
      </c>
      <c r="F181" s="10">
        <f t="shared" si="17"/>
        <v>0.51</v>
      </c>
      <c r="G181" s="10">
        <v>1.33</v>
      </c>
      <c r="H181" s="10">
        <v>3.25</v>
      </c>
      <c r="I181" s="10">
        <f t="shared" si="18"/>
        <v>0.65170000000000006</v>
      </c>
      <c r="J181" s="10">
        <f t="shared" si="19"/>
        <v>1.6575</v>
      </c>
      <c r="K181" s="10" t="str">
        <f t="shared" si="14"/>
        <v>T2</v>
      </c>
      <c r="L181" s="10">
        <f t="shared" si="15"/>
        <v>0.57462499999999994</v>
      </c>
      <c r="M181" s="75">
        <f t="shared" si="16"/>
        <v>75</v>
      </c>
      <c r="N181" s="247"/>
      <c r="O181" s="92"/>
      <c r="P181" s="69" t="s">
        <v>41</v>
      </c>
      <c r="Q181" s="87"/>
      <c r="R181" s="70">
        <f t="shared" si="20"/>
        <v>-75</v>
      </c>
      <c r="S181" s="87"/>
      <c r="T181" s="237"/>
      <c r="U181" s="12"/>
    </row>
    <row r="182" spans="1:21" ht="15.75" customHeight="1" x14ac:dyDescent="0.2">
      <c r="A182" s="239"/>
      <c r="B182" s="242"/>
      <c r="C182" s="64">
        <v>0.49</v>
      </c>
      <c r="D182" s="90" t="s">
        <v>67</v>
      </c>
      <c r="E182" s="90" t="s">
        <v>72</v>
      </c>
      <c r="F182" s="65">
        <f t="shared" si="17"/>
        <v>0.51</v>
      </c>
      <c r="G182" s="65">
        <v>4</v>
      </c>
      <c r="H182" s="65">
        <v>1.22</v>
      </c>
      <c r="I182" s="65">
        <f t="shared" si="18"/>
        <v>1.96</v>
      </c>
      <c r="J182" s="65">
        <f t="shared" si="19"/>
        <v>0.62219999999999998</v>
      </c>
      <c r="K182" s="65" t="str">
        <f t="shared" si="14"/>
        <v>T1</v>
      </c>
      <c r="L182" s="65">
        <f t="shared" si="15"/>
        <v>0.86199999999999988</v>
      </c>
      <c r="M182" s="68">
        <f t="shared" si="16"/>
        <v>93.75</v>
      </c>
      <c r="N182" s="247"/>
      <c r="O182" s="92"/>
      <c r="P182" s="69" t="s">
        <v>41</v>
      </c>
      <c r="Q182" s="87"/>
      <c r="R182" s="70">
        <f t="shared" si="20"/>
        <v>262.5</v>
      </c>
      <c r="S182" s="87"/>
      <c r="T182" s="237"/>
      <c r="U182" s="12"/>
    </row>
    <row r="183" spans="1:21" ht="16.5" thickBot="1" x14ac:dyDescent="0.25">
      <c r="A183" s="239"/>
      <c r="B183" s="242"/>
      <c r="C183" s="71">
        <v>0.53</v>
      </c>
      <c r="D183" s="91" t="s">
        <v>65</v>
      </c>
      <c r="E183" s="91" t="s">
        <v>62</v>
      </c>
      <c r="F183" s="10">
        <f t="shared" si="17"/>
        <v>0.47</v>
      </c>
      <c r="G183" s="10">
        <v>1.1399999999999999</v>
      </c>
      <c r="H183" s="10">
        <v>5</v>
      </c>
      <c r="I183" s="10">
        <f t="shared" si="18"/>
        <v>0.60419999999999996</v>
      </c>
      <c r="J183" s="10">
        <f t="shared" si="19"/>
        <v>2.3499999999999996</v>
      </c>
      <c r="K183" s="10" t="str">
        <f t="shared" si="14"/>
        <v>T2</v>
      </c>
      <c r="L183" s="10">
        <f t="shared" si="15"/>
        <v>1.2324999999999995</v>
      </c>
      <c r="M183" s="74">
        <f t="shared" si="16"/>
        <v>131.25</v>
      </c>
      <c r="N183" s="247"/>
      <c r="O183" s="12"/>
      <c r="P183" s="69" t="s">
        <v>41</v>
      </c>
      <c r="Q183" s="87"/>
      <c r="R183" s="70">
        <f t="shared" si="20"/>
        <v>-131.25</v>
      </c>
      <c r="S183" s="87"/>
      <c r="T183" s="76" t="s">
        <v>31</v>
      </c>
      <c r="U183" s="12"/>
    </row>
    <row r="184" spans="1:21" x14ac:dyDescent="0.2">
      <c r="A184" s="239"/>
      <c r="B184" s="242"/>
      <c r="C184" s="64">
        <v>0.49</v>
      </c>
      <c r="D184" s="90" t="s">
        <v>63</v>
      </c>
      <c r="E184" s="90" t="s">
        <v>42</v>
      </c>
      <c r="F184" s="65">
        <f t="shared" si="17"/>
        <v>0.51</v>
      </c>
      <c r="G184" s="65">
        <v>1.2</v>
      </c>
      <c r="H184" s="65">
        <v>4.33</v>
      </c>
      <c r="I184" s="65">
        <f t="shared" si="18"/>
        <v>0.58799999999999997</v>
      </c>
      <c r="J184" s="65">
        <f t="shared" si="19"/>
        <v>2.2082999999999999</v>
      </c>
      <c r="K184" s="65" t="str">
        <f t="shared" si="14"/>
        <v>T2</v>
      </c>
      <c r="L184" s="65">
        <f t="shared" si="15"/>
        <v>1.0978849999999998</v>
      </c>
      <c r="M184" s="77">
        <f t="shared" si="16"/>
        <v>131.25</v>
      </c>
      <c r="N184" s="247"/>
      <c r="O184" s="12"/>
      <c r="P184" s="69" t="s">
        <v>41</v>
      </c>
      <c r="Q184" s="87"/>
      <c r="R184" s="70">
        <f t="shared" si="20"/>
        <v>-131.25</v>
      </c>
      <c r="S184" s="87"/>
      <c r="T184" s="249">
        <f>IF(AND(NOT(N177=0)),T177/N177,0)</f>
        <v>-74.371738329108126</v>
      </c>
      <c r="U184" s="12"/>
    </row>
    <row r="185" spans="1:21" x14ac:dyDescent="0.2">
      <c r="A185" s="239"/>
      <c r="B185" s="242"/>
      <c r="C185" s="71">
        <v>0.53</v>
      </c>
      <c r="D185" s="91" t="s">
        <v>70</v>
      </c>
      <c r="E185" s="91" t="s">
        <v>64</v>
      </c>
      <c r="F185" s="10">
        <f t="shared" si="17"/>
        <v>0.47</v>
      </c>
      <c r="G185" s="10">
        <v>4</v>
      </c>
      <c r="H185" s="10">
        <v>1.22</v>
      </c>
      <c r="I185" s="10">
        <f t="shared" si="18"/>
        <v>2.12</v>
      </c>
      <c r="J185" s="10">
        <f t="shared" si="19"/>
        <v>0.57339999999999991</v>
      </c>
      <c r="K185" s="10" t="str">
        <f t="shared" si="14"/>
        <v>T1</v>
      </c>
      <c r="L185" s="10">
        <f t="shared" si="15"/>
        <v>1.0139999999999998</v>
      </c>
      <c r="M185" s="75">
        <f t="shared" si="16"/>
        <v>131.25</v>
      </c>
      <c r="N185" s="247"/>
      <c r="O185" s="12"/>
      <c r="P185" s="69" t="s">
        <v>40</v>
      </c>
      <c r="Q185" s="87"/>
      <c r="R185" s="70">
        <f t="shared" si="20"/>
        <v>-131.25</v>
      </c>
      <c r="S185" s="87"/>
      <c r="T185" s="250"/>
      <c r="U185" s="12"/>
    </row>
    <row r="186" spans="1:21" ht="15.75" thickBot="1" x14ac:dyDescent="0.25">
      <c r="A186" s="240"/>
      <c r="B186" s="243"/>
      <c r="C186" s="93">
        <v>0.53</v>
      </c>
      <c r="D186" s="94" t="s">
        <v>72</v>
      </c>
      <c r="E186" s="94" t="s">
        <v>49</v>
      </c>
      <c r="F186" s="80">
        <f t="shared" si="17"/>
        <v>0.47</v>
      </c>
      <c r="G186" s="80">
        <v>1.83</v>
      </c>
      <c r="H186" s="80">
        <v>1.83</v>
      </c>
      <c r="I186" s="80">
        <f t="shared" si="18"/>
        <v>0.9699000000000001</v>
      </c>
      <c r="J186" s="80">
        <f t="shared" si="19"/>
        <v>0.86009999999999998</v>
      </c>
      <c r="K186" s="80" t="str">
        <f t="shared" si="14"/>
        <v>T1</v>
      </c>
      <c r="L186" s="80" t="str">
        <f t="shared" si="15"/>
        <v>NO BET</v>
      </c>
      <c r="M186" s="83" t="str">
        <f t="shared" si="16"/>
        <v>NO BET</v>
      </c>
      <c r="N186" s="248"/>
      <c r="O186" s="12"/>
      <c r="P186" s="84" t="s">
        <v>40</v>
      </c>
      <c r="Q186" s="12"/>
      <c r="R186" s="85">
        <f>IF(OR(P186="",L186="NO BET"),0,IF(AND(K186=P186),IF(AND(K186="T2"),ROUNDUP(H186*M186*0.95,2)-M186,ROUNDUP(G186*M186*0.95,2)-M186),-M186))</f>
        <v>0</v>
      </c>
      <c r="S186" s="12"/>
      <c r="T186" s="251"/>
      <c r="U186" s="12"/>
    </row>
    <row r="187" spans="1:21" x14ac:dyDescent="0.2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3"/>
      <c r="S187" s="12"/>
      <c r="T187" s="14"/>
      <c r="U187" s="12"/>
    </row>
    <row r="188" spans="1:21" x14ac:dyDescent="0.2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3"/>
      <c r="S188" s="12"/>
      <c r="T188" s="14"/>
      <c r="U188" s="12"/>
    </row>
    <row r="189" spans="1:21" ht="15.75" thickBot="1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3"/>
      <c r="S189" s="12"/>
      <c r="T189" s="14"/>
      <c r="U189" s="12"/>
    </row>
    <row r="190" spans="1:21" ht="19.5" customHeight="1" thickBot="1" x14ac:dyDescent="0.3">
      <c r="A190" s="238" t="s">
        <v>5</v>
      </c>
      <c r="B190" s="241" t="s">
        <v>22</v>
      </c>
      <c r="C190" s="51"/>
      <c r="D190" s="51" t="s">
        <v>9</v>
      </c>
      <c r="E190" s="51" t="s">
        <v>10</v>
      </c>
      <c r="F190" s="51" t="s">
        <v>11</v>
      </c>
      <c r="G190" s="51" t="s">
        <v>12</v>
      </c>
      <c r="H190" s="51" t="s">
        <v>13</v>
      </c>
      <c r="I190" s="51" t="s">
        <v>14</v>
      </c>
      <c r="J190" s="51" t="s">
        <v>15</v>
      </c>
      <c r="K190" s="51" t="s">
        <v>33</v>
      </c>
      <c r="L190" s="51" t="s">
        <v>16</v>
      </c>
      <c r="M190" s="51" t="s">
        <v>38</v>
      </c>
      <c r="N190" s="52" t="s">
        <v>17</v>
      </c>
      <c r="O190" s="88"/>
      <c r="P190" s="53" t="s">
        <v>18</v>
      </c>
      <c r="Q190" s="87"/>
      <c r="R190" s="54" t="s">
        <v>34</v>
      </c>
      <c r="S190" s="87"/>
      <c r="T190" s="56" t="s">
        <v>29</v>
      </c>
      <c r="U190" s="12"/>
    </row>
    <row r="191" spans="1:21" ht="15.75" customHeight="1" x14ac:dyDescent="0.2">
      <c r="A191" s="239"/>
      <c r="B191" s="242"/>
      <c r="C191" s="57">
        <v>0.56000000000000005</v>
      </c>
      <c r="D191" s="59" t="s">
        <v>70</v>
      </c>
      <c r="E191" s="59" t="s">
        <v>63</v>
      </c>
      <c r="F191" s="59">
        <f>IF(AND(C191=""),"",1-C191)</f>
        <v>0.43999999999999995</v>
      </c>
      <c r="G191" s="59">
        <v>4.5</v>
      </c>
      <c r="H191" s="59">
        <v>1.1599999999999999</v>
      </c>
      <c r="I191" s="59">
        <f>IF(AND(C191=""),"",G191*C191)</f>
        <v>2.5200000000000005</v>
      </c>
      <c r="J191" s="59">
        <f>IF(AND(C191=""),"",H191*F191)</f>
        <v>0.51039999999999985</v>
      </c>
      <c r="K191" s="59" t="str">
        <f t="shared" ref="K191:K200" si="21">IF(AND(I191=""),"",IF(AND(I191&gt;J191),"T1","T2"))</f>
        <v>T1</v>
      </c>
      <c r="L191" s="58">
        <f t="shared" ref="L191:L200" si="22">IF(AND(K191=""),"",IF(AND((J191*0.95-1)&lt;0,(I191*0.95-1)&lt;0),"NO BET", IF(AND(K191="T1"),I191*0.95 - 1,J191*0.95 - 1)))</f>
        <v>1.3940000000000001</v>
      </c>
      <c r="M191" s="61">
        <f t="shared" ref="M191:M200" si="23">IF(L191="","",IF(L191&lt;0.5,K$2*M$2,IF(L191&lt;0.75,K$2*M$3,IF(L191&lt;1,K$2*M$4,IF(L191&lt;1.25,K$2*M$5,IF(L191&lt;1.5,K$2*M$6,IF(L191&lt;2,K$2*M$7,IF(L191&lt;2.5,K$2*M$8,IF(L191="NO BET","NO BET",K$2*M$9)))))))))</f>
        <v>187.5</v>
      </c>
      <c r="N191" s="246">
        <f>SUMIF(L191:L200,"&gt;0")</f>
        <v>6.1587350000000001</v>
      </c>
      <c r="O191" s="88"/>
      <c r="P191" s="62" t="s">
        <v>41</v>
      </c>
      <c r="Q191" s="88"/>
      <c r="R191" s="63">
        <f>IF(OR(P191="",L191="NO BET"),0,IF(AND(K191=P191),IF(AND(K191="T2"),ROUNDUP(H191*M191*0.95,2)-M191,ROUNDUP(G191*M191*0.95,2)-M191),-M191))</f>
        <v>614.06999999999994</v>
      </c>
      <c r="S191" s="87"/>
      <c r="T191" s="237">
        <f>SUM(R191:R200)</f>
        <v>139.46999999999991</v>
      </c>
      <c r="U191" s="12"/>
    </row>
    <row r="192" spans="1:21" ht="15.75" customHeight="1" x14ac:dyDescent="0.2">
      <c r="A192" s="239"/>
      <c r="B192" s="242"/>
      <c r="C192" s="64">
        <v>0.53</v>
      </c>
      <c r="D192" s="66" t="s">
        <v>62</v>
      </c>
      <c r="E192" s="66" t="s">
        <v>49</v>
      </c>
      <c r="F192" s="66">
        <f t="shared" ref="F192:F200" si="24">IF(AND(C192=""),"",1-C192)</f>
        <v>0.47</v>
      </c>
      <c r="G192" s="66">
        <v>3.25</v>
      </c>
      <c r="H192" s="66">
        <v>1.33</v>
      </c>
      <c r="I192" s="66">
        <f t="shared" ref="I192:I199" si="25">IF(AND(C192=""),"",G192*C192)</f>
        <v>1.7225000000000001</v>
      </c>
      <c r="J192" s="66">
        <f t="shared" ref="J192:J200" si="26">IF(AND(C192=""),"",H192*F192)</f>
        <v>0.62509999999999999</v>
      </c>
      <c r="K192" s="66" t="str">
        <f t="shared" si="21"/>
        <v>T1</v>
      </c>
      <c r="L192" s="65">
        <f t="shared" si="22"/>
        <v>0.63637500000000014</v>
      </c>
      <c r="M192" s="68">
        <f t="shared" si="23"/>
        <v>75</v>
      </c>
      <c r="N192" s="247"/>
      <c r="O192" s="12"/>
      <c r="P192" s="69" t="s">
        <v>40</v>
      </c>
      <c r="Q192" s="87"/>
      <c r="R192" s="70">
        <f t="shared" ref="R192:R199" si="27">IF(OR(P192="",L192="NO BET"),0,IF(AND(K192=P192),IF(AND(K192="T2"),ROUNDUP(H192*M192*0.95,2)-M192,ROUNDUP(G192*M192*0.95,2)-M192),-M192))</f>
        <v>-75</v>
      </c>
      <c r="S192" s="87"/>
      <c r="T192" s="237"/>
      <c r="U192" s="12"/>
    </row>
    <row r="193" spans="1:21" ht="15.75" customHeight="1" x14ac:dyDescent="0.2">
      <c r="A193" s="239"/>
      <c r="B193" s="242"/>
      <c r="C193" s="71">
        <v>0.68</v>
      </c>
      <c r="D193" s="72" t="s">
        <v>42</v>
      </c>
      <c r="E193" s="72" t="s">
        <v>72</v>
      </c>
      <c r="F193" s="72">
        <f t="shared" si="24"/>
        <v>0.31999999999999995</v>
      </c>
      <c r="G193" s="72">
        <v>2.2000000000000002</v>
      </c>
      <c r="H193" s="72">
        <v>1.61</v>
      </c>
      <c r="I193" s="72">
        <f t="shared" si="25"/>
        <v>1.4960000000000002</v>
      </c>
      <c r="J193" s="72">
        <f t="shared" si="26"/>
        <v>0.51519999999999999</v>
      </c>
      <c r="K193" s="72" t="str">
        <f t="shared" si="21"/>
        <v>T1</v>
      </c>
      <c r="L193" s="10">
        <f t="shared" si="22"/>
        <v>0.42120000000000024</v>
      </c>
      <c r="M193" s="74">
        <f t="shared" si="23"/>
        <v>56.25</v>
      </c>
      <c r="N193" s="247"/>
      <c r="O193" s="88"/>
      <c r="P193" s="69" t="s">
        <v>40</v>
      </c>
      <c r="Q193" s="87"/>
      <c r="R193" s="70">
        <f t="shared" si="27"/>
        <v>-56.25</v>
      </c>
      <c r="S193" s="87"/>
      <c r="T193" s="237"/>
      <c r="U193" s="12"/>
    </row>
    <row r="194" spans="1:21" ht="15.75" customHeight="1" x14ac:dyDescent="0.2">
      <c r="A194" s="239"/>
      <c r="B194" s="242"/>
      <c r="C194" s="64">
        <v>0.55000000000000004</v>
      </c>
      <c r="D194" s="66" t="s">
        <v>64</v>
      </c>
      <c r="E194" s="66" t="s">
        <v>65</v>
      </c>
      <c r="F194" s="66">
        <f t="shared" si="24"/>
        <v>0.44999999999999996</v>
      </c>
      <c r="G194" s="66">
        <v>2.25</v>
      </c>
      <c r="H194" s="66">
        <v>1.57</v>
      </c>
      <c r="I194" s="66">
        <f t="shared" si="25"/>
        <v>1.2375</v>
      </c>
      <c r="J194" s="66">
        <f t="shared" si="26"/>
        <v>0.70649999999999991</v>
      </c>
      <c r="K194" s="66" t="str">
        <f t="shared" si="21"/>
        <v>T1</v>
      </c>
      <c r="L194" s="65">
        <f t="shared" si="22"/>
        <v>0.17562499999999992</v>
      </c>
      <c r="M194" s="68">
        <f t="shared" si="23"/>
        <v>56.25</v>
      </c>
      <c r="N194" s="247"/>
      <c r="O194" s="92"/>
      <c r="P194" s="69" t="s">
        <v>40</v>
      </c>
      <c r="Q194" s="87"/>
      <c r="R194" s="70">
        <f t="shared" si="27"/>
        <v>-56.25</v>
      </c>
      <c r="S194" s="87"/>
      <c r="T194" s="237"/>
      <c r="U194" s="12"/>
    </row>
    <row r="195" spans="1:21" ht="15.75" customHeight="1" x14ac:dyDescent="0.2">
      <c r="A195" s="239"/>
      <c r="B195" s="242"/>
      <c r="C195" s="71">
        <v>0.86</v>
      </c>
      <c r="D195" s="72" t="s">
        <v>49</v>
      </c>
      <c r="E195" s="72" t="s">
        <v>67</v>
      </c>
      <c r="F195" s="72">
        <f t="shared" si="24"/>
        <v>0.14000000000000001</v>
      </c>
      <c r="G195" s="72">
        <v>1.22</v>
      </c>
      <c r="H195" s="72">
        <v>4</v>
      </c>
      <c r="I195" s="72">
        <f t="shared" si="25"/>
        <v>1.0491999999999999</v>
      </c>
      <c r="J195" s="72">
        <f t="shared" si="26"/>
        <v>0.56000000000000005</v>
      </c>
      <c r="K195" s="72" t="str">
        <f t="shared" si="21"/>
        <v>T1</v>
      </c>
      <c r="L195" s="10" t="str">
        <f t="shared" si="22"/>
        <v>NO BET</v>
      </c>
      <c r="M195" s="75" t="str">
        <f t="shared" si="23"/>
        <v>NO BET</v>
      </c>
      <c r="N195" s="247"/>
      <c r="O195" s="92"/>
      <c r="P195" s="69" t="s">
        <v>41</v>
      </c>
      <c r="Q195" s="87"/>
      <c r="R195" s="70">
        <f t="shared" si="27"/>
        <v>0</v>
      </c>
      <c r="S195" s="87"/>
      <c r="T195" s="237"/>
      <c r="U195" s="12"/>
    </row>
    <row r="196" spans="1:21" ht="15.75" customHeight="1" x14ac:dyDescent="0.2">
      <c r="A196" s="239"/>
      <c r="B196" s="242"/>
      <c r="C196" s="64">
        <v>0.65</v>
      </c>
      <c r="D196" s="66" t="s">
        <v>61</v>
      </c>
      <c r="E196" s="66" t="s">
        <v>70</v>
      </c>
      <c r="F196" s="66">
        <f t="shared" si="24"/>
        <v>0.35</v>
      </c>
      <c r="G196" s="66">
        <v>1.53</v>
      </c>
      <c r="H196" s="66">
        <v>2.37</v>
      </c>
      <c r="I196" s="66">
        <f t="shared" si="25"/>
        <v>0.99450000000000005</v>
      </c>
      <c r="J196" s="66">
        <f t="shared" si="26"/>
        <v>0.82950000000000002</v>
      </c>
      <c r="K196" s="66" t="str">
        <f t="shared" si="21"/>
        <v>T1</v>
      </c>
      <c r="L196" s="65" t="str">
        <f t="shared" si="22"/>
        <v>NO BET</v>
      </c>
      <c r="M196" s="68" t="str">
        <f t="shared" si="23"/>
        <v>NO BET</v>
      </c>
      <c r="N196" s="247"/>
      <c r="O196" s="92"/>
      <c r="P196" s="69" t="s">
        <v>40</v>
      </c>
      <c r="Q196" s="87"/>
      <c r="R196" s="70">
        <f t="shared" si="27"/>
        <v>0</v>
      </c>
      <c r="S196" s="87"/>
      <c r="T196" s="237"/>
      <c r="U196" s="12"/>
    </row>
    <row r="197" spans="1:21" ht="16.5" thickBot="1" x14ac:dyDescent="0.25">
      <c r="A197" s="239"/>
      <c r="B197" s="242"/>
      <c r="C197" s="71">
        <v>0.28000000000000003</v>
      </c>
      <c r="D197" s="72" t="s">
        <v>61</v>
      </c>
      <c r="E197" s="72" t="s">
        <v>65</v>
      </c>
      <c r="F197" s="72">
        <f t="shared" si="24"/>
        <v>0.72</v>
      </c>
      <c r="G197" s="72">
        <v>3.75</v>
      </c>
      <c r="H197" s="72">
        <v>1.25</v>
      </c>
      <c r="I197" s="72">
        <f t="shared" si="25"/>
        <v>1.05</v>
      </c>
      <c r="J197" s="72">
        <f t="shared" si="26"/>
        <v>0.89999999999999991</v>
      </c>
      <c r="K197" s="72" t="str">
        <f t="shared" si="21"/>
        <v>T1</v>
      </c>
      <c r="L197" s="10" t="str">
        <f t="shared" si="22"/>
        <v>NO BET</v>
      </c>
      <c r="M197" s="74" t="str">
        <f t="shared" si="23"/>
        <v>NO BET</v>
      </c>
      <c r="N197" s="247"/>
      <c r="O197" s="12"/>
      <c r="P197" s="69" t="s">
        <v>40</v>
      </c>
      <c r="Q197" s="87"/>
      <c r="R197" s="70">
        <f t="shared" si="27"/>
        <v>0</v>
      </c>
      <c r="S197" s="87"/>
      <c r="T197" s="76" t="s">
        <v>31</v>
      </c>
      <c r="U197" s="12"/>
    </row>
    <row r="198" spans="1:21" x14ac:dyDescent="0.2">
      <c r="A198" s="239"/>
      <c r="B198" s="242"/>
      <c r="C198" s="64">
        <v>0.87</v>
      </c>
      <c r="D198" s="66" t="s">
        <v>42</v>
      </c>
      <c r="E198" s="66" t="s">
        <v>67</v>
      </c>
      <c r="F198" s="66">
        <f t="shared" si="24"/>
        <v>0.13</v>
      </c>
      <c r="G198" s="66">
        <v>1.44</v>
      </c>
      <c r="H198" s="66">
        <v>2.62</v>
      </c>
      <c r="I198" s="66">
        <f t="shared" si="25"/>
        <v>1.2527999999999999</v>
      </c>
      <c r="J198" s="66">
        <f t="shared" si="26"/>
        <v>0.34060000000000001</v>
      </c>
      <c r="K198" s="66" t="str">
        <f t="shared" si="21"/>
        <v>T1</v>
      </c>
      <c r="L198" s="65">
        <f t="shared" si="22"/>
        <v>0.19015999999999988</v>
      </c>
      <c r="M198" s="77">
        <f t="shared" si="23"/>
        <v>56.25</v>
      </c>
      <c r="N198" s="247"/>
      <c r="O198" s="12"/>
      <c r="P198" s="69" t="s">
        <v>40</v>
      </c>
      <c r="Q198" s="87"/>
      <c r="R198" s="70">
        <f t="shared" si="27"/>
        <v>-56.25</v>
      </c>
      <c r="S198" s="87"/>
      <c r="T198" s="249">
        <f>IF(AND(NOT(N191=0)),T191/N191,0)</f>
        <v>22.645884260322926</v>
      </c>
      <c r="U198" s="12"/>
    </row>
    <row r="199" spans="1:21" x14ac:dyDescent="0.2">
      <c r="A199" s="239"/>
      <c r="B199" s="242"/>
      <c r="C199" s="71">
        <v>0.37</v>
      </c>
      <c r="D199" s="72" t="s">
        <v>73</v>
      </c>
      <c r="E199" s="72" t="s">
        <v>63</v>
      </c>
      <c r="F199" s="72">
        <f t="shared" si="24"/>
        <v>0.63</v>
      </c>
      <c r="G199" s="72">
        <v>3.75</v>
      </c>
      <c r="H199" s="72">
        <v>1.25</v>
      </c>
      <c r="I199" s="72">
        <f t="shared" si="25"/>
        <v>1.3875</v>
      </c>
      <c r="J199" s="72">
        <f t="shared" si="26"/>
        <v>0.78749999999999998</v>
      </c>
      <c r="K199" s="72" t="str">
        <f t="shared" si="21"/>
        <v>T1</v>
      </c>
      <c r="L199" s="10">
        <f t="shared" si="22"/>
        <v>0.31812499999999999</v>
      </c>
      <c r="M199" s="75">
        <f t="shared" si="23"/>
        <v>56.25</v>
      </c>
      <c r="N199" s="247"/>
      <c r="O199" s="12"/>
      <c r="P199" s="69" t="s">
        <v>41</v>
      </c>
      <c r="Q199" s="87"/>
      <c r="R199" s="70">
        <f t="shared" si="27"/>
        <v>144.14999999999998</v>
      </c>
      <c r="S199" s="87"/>
      <c r="T199" s="250"/>
      <c r="U199" s="12"/>
    </row>
    <row r="200" spans="1:21" ht="15.75" thickBot="1" x14ac:dyDescent="0.25">
      <c r="A200" s="240"/>
      <c r="B200" s="243"/>
      <c r="C200" s="93">
        <v>0.77</v>
      </c>
      <c r="D200" s="81" t="s">
        <v>62</v>
      </c>
      <c r="E200" s="81" t="s">
        <v>64</v>
      </c>
      <c r="F200" s="81">
        <f t="shared" si="24"/>
        <v>0.22999999999999998</v>
      </c>
      <c r="G200" s="81">
        <v>5.5</v>
      </c>
      <c r="H200" s="81">
        <v>1.1200000000000001</v>
      </c>
      <c r="I200" s="81">
        <f>IF(AND(C200=""),"",G200*C200)</f>
        <v>4.2350000000000003</v>
      </c>
      <c r="J200" s="81">
        <f t="shared" si="26"/>
        <v>0.2576</v>
      </c>
      <c r="K200" s="81" t="str">
        <f t="shared" si="21"/>
        <v>T1</v>
      </c>
      <c r="L200" s="80">
        <f t="shared" si="22"/>
        <v>3.02325</v>
      </c>
      <c r="M200" s="83">
        <f t="shared" si="23"/>
        <v>375</v>
      </c>
      <c r="N200" s="248"/>
      <c r="O200" s="12"/>
      <c r="P200" s="84" t="s">
        <v>40</v>
      </c>
      <c r="Q200" s="12"/>
      <c r="R200" s="85">
        <f>IF(OR(P200="",L200="NO BET"),0,IF(AND(K200=P200),IF(AND(K200="T2"),ROUNDUP(H200*M200*0.95,2)-M200,ROUNDUP(G200*M200*0.95,2)-M200),-M200))</f>
        <v>-375</v>
      </c>
      <c r="S200" s="12"/>
      <c r="T200" s="251"/>
      <c r="U200" s="12"/>
    </row>
    <row r="201" spans="1:21" x14ac:dyDescent="0.2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3"/>
      <c r="S201" s="12"/>
      <c r="T201" s="14"/>
      <c r="U201" s="12"/>
    </row>
    <row r="202" spans="1:21" x14ac:dyDescent="0.2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3"/>
      <c r="S202" s="12"/>
      <c r="T202" s="14"/>
      <c r="U202" s="12"/>
    </row>
    <row r="203" spans="1:21" ht="15.75" thickBot="1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3"/>
      <c r="S203" s="12"/>
      <c r="T203" s="14"/>
      <c r="U203" s="12"/>
    </row>
    <row r="204" spans="1:21" ht="19.5" customHeight="1" thickBot="1" x14ac:dyDescent="0.3">
      <c r="A204" s="238" t="s">
        <v>5</v>
      </c>
      <c r="B204" s="241" t="s">
        <v>23</v>
      </c>
      <c r="C204" s="51"/>
      <c r="D204" s="51" t="s">
        <v>9</v>
      </c>
      <c r="E204" s="51" t="s">
        <v>10</v>
      </c>
      <c r="F204" s="51" t="s">
        <v>11</v>
      </c>
      <c r="G204" s="51" t="s">
        <v>12</v>
      </c>
      <c r="H204" s="51" t="s">
        <v>13</v>
      </c>
      <c r="I204" s="51" t="s">
        <v>14</v>
      </c>
      <c r="J204" s="51" t="s">
        <v>15</v>
      </c>
      <c r="K204" s="51" t="s">
        <v>33</v>
      </c>
      <c r="L204" s="51" t="s">
        <v>16</v>
      </c>
      <c r="M204" s="51" t="s">
        <v>38</v>
      </c>
      <c r="N204" s="52" t="s">
        <v>17</v>
      </c>
      <c r="O204" s="88"/>
      <c r="P204" s="53" t="s">
        <v>18</v>
      </c>
      <c r="Q204" s="87"/>
      <c r="R204" s="54" t="s">
        <v>34</v>
      </c>
      <c r="S204" s="87"/>
      <c r="T204" s="56" t="s">
        <v>29</v>
      </c>
      <c r="U204" s="12"/>
    </row>
    <row r="205" spans="1:21" ht="15.75" customHeight="1" x14ac:dyDescent="0.2">
      <c r="A205" s="239"/>
      <c r="B205" s="242"/>
      <c r="C205" s="57">
        <v>0.7</v>
      </c>
      <c r="D205" s="58" t="s">
        <v>72</v>
      </c>
      <c r="E205" s="58" t="s">
        <v>62</v>
      </c>
      <c r="F205" s="58">
        <f>IF(AND(C205=""),"",1-C205)</f>
        <v>0.30000000000000004</v>
      </c>
      <c r="G205" s="58">
        <v>1.2</v>
      </c>
      <c r="H205" s="58">
        <v>4.33</v>
      </c>
      <c r="I205" s="58">
        <f t="shared" ref="I205:I214" si="28">IF(AND(C205=""),"",G205*C205)</f>
        <v>0.84</v>
      </c>
      <c r="J205" s="58">
        <f>IF(AND(C205=""),"",H205*F205)</f>
        <v>1.2990000000000002</v>
      </c>
      <c r="K205" s="58" t="str">
        <f t="shared" ref="K205:K214" si="29">IF(AND(I205=""),"",IF(AND(I205&gt;J205),"T1","T2"))</f>
        <v>T2</v>
      </c>
      <c r="L205" s="58">
        <f t="shared" ref="L205:L214" si="30">IF(AND(K205=""),"",IF(AND((J205*0.95-1)&lt;0,(I205*0.95-1)&lt;0),"NO BET", IF(AND(K205="T1"),I205*0.95 - 1,J205*0.95 - 1)))</f>
        <v>0.23405000000000009</v>
      </c>
      <c r="M205" s="61">
        <f t="shared" ref="M205:M214" si="31">IF(L205="","",IF(L205&lt;0.5,K$2*M$2,IF(L205&lt;0.75,K$2*M$3,IF(L205&lt;1,K$2*M$4,IF(L205&lt;1.25,K$2*M$5,IF(L205&lt;1.5,K$2*M$6,IF(L205&lt;2,K$2*M$7,IF(L205&lt;2.5,K$2*M$8,IF(L205="NO BET","NO BET",K$2*M$9)))))))))</f>
        <v>56.25</v>
      </c>
      <c r="N205" s="246">
        <f>SUMIF(L205:L214,"&gt;0")</f>
        <v>3.7910499999999994</v>
      </c>
      <c r="O205" s="88"/>
      <c r="P205" s="62" t="s">
        <v>41</v>
      </c>
      <c r="Q205" s="88"/>
      <c r="R205" s="63">
        <f>IF(OR(P205="",L205="NO BET"),0,IF(AND(K205=P205),IF(AND(K205="T2"),ROUNDUP(H205*M205*0.95,2)-M205,ROUNDUP(G205*M205*0.95,2)-M205),-M205))</f>
        <v>-56.25</v>
      </c>
      <c r="S205" s="87"/>
      <c r="T205" s="237">
        <f>SUM(R205:R214)</f>
        <v>468.75</v>
      </c>
      <c r="U205" s="12"/>
    </row>
    <row r="206" spans="1:21" ht="15.75" customHeight="1" x14ac:dyDescent="0.2">
      <c r="A206" s="239"/>
      <c r="B206" s="242"/>
      <c r="C206" s="64">
        <v>0.54</v>
      </c>
      <c r="D206" s="65" t="s">
        <v>63</v>
      </c>
      <c r="E206" s="65" t="s">
        <v>64</v>
      </c>
      <c r="F206" s="65">
        <f t="shared" ref="F206:F214" si="32">IF(AND(C206=""),"",1-C206)</f>
        <v>0.45999999999999996</v>
      </c>
      <c r="G206" s="65">
        <v>2.25</v>
      </c>
      <c r="H206" s="65">
        <v>1.57</v>
      </c>
      <c r="I206" s="65">
        <f t="shared" si="28"/>
        <v>1.2150000000000001</v>
      </c>
      <c r="J206" s="65">
        <f t="shared" ref="J206:J214" si="33">IF(AND(C206=""),"",H206*F206)</f>
        <v>0.72219999999999995</v>
      </c>
      <c r="K206" s="65" t="str">
        <f t="shared" si="29"/>
        <v>T1</v>
      </c>
      <c r="L206" s="65">
        <f t="shared" si="30"/>
        <v>0.15425</v>
      </c>
      <c r="M206" s="68">
        <f t="shared" si="31"/>
        <v>56.25</v>
      </c>
      <c r="N206" s="247"/>
      <c r="O206" s="12"/>
      <c r="P206" s="69" t="s">
        <v>40</v>
      </c>
      <c r="Q206" s="87"/>
      <c r="R206" s="70">
        <f t="shared" ref="R206:R213" si="34">IF(OR(P206="",L206="NO BET"),0,IF(AND(K206=P206),IF(AND(K206="T2"),ROUNDUP(H206*M206*0.95,2)-M206,ROUNDUP(G206*M206*0.95,2)-M206),-M206))</f>
        <v>-56.25</v>
      </c>
      <c r="S206" s="87"/>
      <c r="T206" s="237"/>
      <c r="U206" s="12"/>
    </row>
    <row r="207" spans="1:21" ht="15.75" customHeight="1" x14ac:dyDescent="0.2">
      <c r="A207" s="239"/>
      <c r="B207" s="242"/>
      <c r="C207" s="71">
        <v>0.7</v>
      </c>
      <c r="D207" s="10" t="s">
        <v>49</v>
      </c>
      <c r="E207" s="10" t="s">
        <v>61</v>
      </c>
      <c r="F207" s="10">
        <f t="shared" si="32"/>
        <v>0.30000000000000004</v>
      </c>
      <c r="G207" s="10">
        <v>1.36</v>
      </c>
      <c r="H207" s="10">
        <v>3</v>
      </c>
      <c r="I207" s="10">
        <f t="shared" si="28"/>
        <v>0.95199999999999996</v>
      </c>
      <c r="J207" s="10">
        <f t="shared" si="33"/>
        <v>0.90000000000000013</v>
      </c>
      <c r="K207" s="10" t="str">
        <f t="shared" si="29"/>
        <v>T1</v>
      </c>
      <c r="L207" s="10" t="str">
        <f t="shared" si="30"/>
        <v>NO BET</v>
      </c>
      <c r="M207" s="74" t="str">
        <f t="shared" si="31"/>
        <v>NO BET</v>
      </c>
      <c r="N207" s="247"/>
      <c r="O207" s="88"/>
      <c r="P207" s="69" t="s">
        <v>40</v>
      </c>
      <c r="Q207" s="87"/>
      <c r="R207" s="70">
        <f t="shared" si="34"/>
        <v>0</v>
      </c>
      <c r="S207" s="87"/>
      <c r="T207" s="237"/>
      <c r="U207" s="12"/>
    </row>
    <row r="208" spans="1:21" ht="15.75" customHeight="1" x14ac:dyDescent="0.2">
      <c r="A208" s="239"/>
      <c r="B208" s="242"/>
      <c r="C208" s="64">
        <v>0.43</v>
      </c>
      <c r="D208" s="65" t="s">
        <v>67</v>
      </c>
      <c r="E208" s="65" t="s">
        <v>70</v>
      </c>
      <c r="F208" s="65">
        <f t="shared" si="32"/>
        <v>0.57000000000000006</v>
      </c>
      <c r="G208" s="65">
        <v>2.5</v>
      </c>
      <c r="H208" s="65">
        <v>1.5</v>
      </c>
      <c r="I208" s="65">
        <f t="shared" si="28"/>
        <v>1.075</v>
      </c>
      <c r="J208" s="65">
        <f t="shared" si="33"/>
        <v>0.85500000000000009</v>
      </c>
      <c r="K208" s="65" t="str">
        <f t="shared" si="29"/>
        <v>T1</v>
      </c>
      <c r="L208" s="65">
        <f t="shared" si="30"/>
        <v>2.1249999999999991E-2</v>
      </c>
      <c r="M208" s="68">
        <f t="shared" si="31"/>
        <v>56.25</v>
      </c>
      <c r="N208" s="247"/>
      <c r="O208" s="92"/>
      <c r="P208" s="69" t="s">
        <v>40</v>
      </c>
      <c r="Q208" s="87"/>
      <c r="R208" s="70">
        <f t="shared" si="34"/>
        <v>-56.25</v>
      </c>
      <c r="S208" s="87"/>
      <c r="T208" s="237"/>
      <c r="U208" s="12"/>
    </row>
    <row r="209" spans="1:21" ht="15.75" customHeight="1" x14ac:dyDescent="0.2">
      <c r="A209" s="239"/>
      <c r="B209" s="242"/>
      <c r="C209" s="71">
        <v>0.42</v>
      </c>
      <c r="D209" s="10" t="s">
        <v>42</v>
      </c>
      <c r="E209" s="10" t="s">
        <v>65</v>
      </c>
      <c r="F209" s="10">
        <f t="shared" si="32"/>
        <v>0.58000000000000007</v>
      </c>
      <c r="G209" s="10">
        <v>6</v>
      </c>
      <c r="H209" s="10">
        <v>1.1100000000000001</v>
      </c>
      <c r="I209" s="10">
        <f t="shared" si="28"/>
        <v>2.52</v>
      </c>
      <c r="J209" s="10">
        <f t="shared" si="33"/>
        <v>0.64380000000000015</v>
      </c>
      <c r="K209" s="10" t="str">
        <f t="shared" si="29"/>
        <v>T1</v>
      </c>
      <c r="L209" s="10">
        <f t="shared" si="30"/>
        <v>1.3939999999999997</v>
      </c>
      <c r="M209" s="75">
        <f t="shared" si="31"/>
        <v>187.5</v>
      </c>
      <c r="N209" s="247"/>
      <c r="O209" s="92"/>
      <c r="P209" s="69" t="s">
        <v>41</v>
      </c>
      <c r="Q209" s="87"/>
      <c r="R209" s="70">
        <f t="shared" si="34"/>
        <v>881.25</v>
      </c>
      <c r="S209" s="87"/>
      <c r="T209" s="237"/>
      <c r="U209" s="12"/>
    </row>
    <row r="210" spans="1:21" ht="15.75" customHeight="1" x14ac:dyDescent="0.2">
      <c r="A210" s="239"/>
      <c r="B210" s="242"/>
      <c r="C210" s="64">
        <v>0.52</v>
      </c>
      <c r="D210" s="65" t="s">
        <v>62</v>
      </c>
      <c r="E210" s="65" t="s">
        <v>63</v>
      </c>
      <c r="F210" s="65">
        <f t="shared" si="32"/>
        <v>0.48</v>
      </c>
      <c r="G210" s="65">
        <v>3.75</v>
      </c>
      <c r="H210" s="65">
        <v>1.25</v>
      </c>
      <c r="I210" s="65">
        <f t="shared" si="28"/>
        <v>1.9500000000000002</v>
      </c>
      <c r="J210" s="65">
        <f t="shared" si="33"/>
        <v>0.6</v>
      </c>
      <c r="K210" s="65" t="str">
        <f t="shared" si="29"/>
        <v>T1</v>
      </c>
      <c r="L210" s="65">
        <f t="shared" si="30"/>
        <v>0.85250000000000004</v>
      </c>
      <c r="M210" s="68">
        <f t="shared" si="31"/>
        <v>93.75</v>
      </c>
      <c r="N210" s="247"/>
      <c r="O210" s="92"/>
      <c r="P210" s="69" t="s">
        <v>40</v>
      </c>
      <c r="Q210" s="87"/>
      <c r="R210" s="70">
        <f t="shared" si="34"/>
        <v>-93.75</v>
      </c>
      <c r="S210" s="87"/>
      <c r="T210" s="237"/>
      <c r="U210" s="12"/>
    </row>
    <row r="211" spans="1:21" ht="16.5" thickBot="1" x14ac:dyDescent="0.25">
      <c r="A211" s="239"/>
      <c r="B211" s="242"/>
      <c r="C211" s="71">
        <v>0.55000000000000004</v>
      </c>
      <c r="D211" s="10" t="s">
        <v>70</v>
      </c>
      <c r="E211" s="10" t="s">
        <v>72</v>
      </c>
      <c r="F211" s="10">
        <f t="shared" si="32"/>
        <v>0.44999999999999996</v>
      </c>
      <c r="G211" s="10">
        <v>3</v>
      </c>
      <c r="H211" s="10">
        <v>1.36</v>
      </c>
      <c r="I211" s="10">
        <f t="shared" si="28"/>
        <v>1.6500000000000001</v>
      </c>
      <c r="J211" s="10">
        <f t="shared" si="33"/>
        <v>0.61199999999999999</v>
      </c>
      <c r="K211" s="10" t="str">
        <f t="shared" si="29"/>
        <v>T1</v>
      </c>
      <c r="L211" s="10">
        <f t="shared" si="30"/>
        <v>0.56750000000000012</v>
      </c>
      <c r="M211" s="74">
        <f t="shared" si="31"/>
        <v>75</v>
      </c>
      <c r="N211" s="247"/>
      <c r="O211" s="12"/>
      <c r="P211" s="69" t="s">
        <v>40</v>
      </c>
      <c r="Q211" s="87"/>
      <c r="R211" s="70">
        <f t="shared" si="34"/>
        <v>-75</v>
      </c>
      <c r="S211" s="87"/>
      <c r="T211" s="76" t="s">
        <v>31</v>
      </c>
      <c r="U211" s="12"/>
    </row>
    <row r="212" spans="1:21" x14ac:dyDescent="0.2">
      <c r="A212" s="239"/>
      <c r="B212" s="242"/>
      <c r="C212" s="64">
        <v>0.45</v>
      </c>
      <c r="D212" s="65" t="s">
        <v>65</v>
      </c>
      <c r="E212" s="65" t="s">
        <v>49</v>
      </c>
      <c r="F212" s="65">
        <f t="shared" si="32"/>
        <v>0.55000000000000004</v>
      </c>
      <c r="G212" s="65">
        <v>1.36</v>
      </c>
      <c r="H212" s="65">
        <v>3</v>
      </c>
      <c r="I212" s="65">
        <f t="shared" si="28"/>
        <v>0.6120000000000001</v>
      </c>
      <c r="J212" s="65">
        <f t="shared" si="33"/>
        <v>1.6500000000000001</v>
      </c>
      <c r="K212" s="65" t="str">
        <f t="shared" si="29"/>
        <v>T2</v>
      </c>
      <c r="L212" s="65">
        <f t="shared" si="30"/>
        <v>0.56750000000000012</v>
      </c>
      <c r="M212" s="77">
        <f t="shared" si="31"/>
        <v>75</v>
      </c>
      <c r="N212" s="247"/>
      <c r="O212" s="12"/>
      <c r="P212" s="69" t="s">
        <v>41</v>
      </c>
      <c r="Q212" s="87"/>
      <c r="R212" s="70">
        <f t="shared" si="34"/>
        <v>-75</v>
      </c>
      <c r="S212" s="87"/>
      <c r="T212" s="249">
        <f>IF(AND(NOT(N205=0)),T205/N205,0)</f>
        <v>123.64648316429488</v>
      </c>
      <c r="U212" s="12"/>
    </row>
    <row r="213" spans="1:21" x14ac:dyDescent="0.2">
      <c r="A213" s="239"/>
      <c r="B213" s="242"/>
      <c r="C213" s="71">
        <v>0.32</v>
      </c>
      <c r="D213" s="10" t="s">
        <v>61</v>
      </c>
      <c r="E213" s="10" t="s">
        <v>64</v>
      </c>
      <c r="F213" s="10">
        <f t="shared" si="32"/>
        <v>0.67999999999999994</v>
      </c>
      <c r="G213" s="10">
        <v>3.25</v>
      </c>
      <c r="H213" s="10">
        <v>1.33</v>
      </c>
      <c r="I213" s="10">
        <f t="shared" si="28"/>
        <v>1.04</v>
      </c>
      <c r="J213" s="10">
        <f t="shared" si="33"/>
        <v>0.90439999999999998</v>
      </c>
      <c r="K213" s="10" t="str">
        <f t="shared" si="29"/>
        <v>T1</v>
      </c>
      <c r="L213" s="10" t="str">
        <f t="shared" si="30"/>
        <v>NO BET</v>
      </c>
      <c r="M213" s="75" t="str">
        <f t="shared" si="31"/>
        <v>NO BET</v>
      </c>
      <c r="N213" s="247"/>
      <c r="O213" s="12"/>
      <c r="P213" s="69" t="s">
        <v>40</v>
      </c>
      <c r="Q213" s="87"/>
      <c r="R213" s="70">
        <f t="shared" si="34"/>
        <v>0</v>
      </c>
      <c r="S213" s="87"/>
      <c r="T213" s="250"/>
      <c r="U213" s="12"/>
    </row>
    <row r="214" spans="1:21" ht="15.75" thickBot="1" x14ac:dyDescent="0.25">
      <c r="A214" s="240"/>
      <c r="B214" s="243"/>
      <c r="C214" s="93">
        <v>0.44</v>
      </c>
      <c r="D214" s="80" t="s">
        <v>67</v>
      </c>
      <c r="E214" s="80" t="s">
        <v>42</v>
      </c>
      <c r="F214" s="80">
        <f t="shared" si="32"/>
        <v>0.56000000000000005</v>
      </c>
      <c r="G214" s="80">
        <v>1.83</v>
      </c>
      <c r="H214" s="80">
        <v>1.83</v>
      </c>
      <c r="I214" s="80">
        <f t="shared" si="28"/>
        <v>0.80520000000000003</v>
      </c>
      <c r="J214" s="80">
        <f t="shared" si="33"/>
        <v>1.0248000000000002</v>
      </c>
      <c r="K214" s="80" t="str">
        <f t="shared" si="29"/>
        <v>T2</v>
      </c>
      <c r="L214" s="80" t="str">
        <f t="shared" si="30"/>
        <v>NO BET</v>
      </c>
      <c r="M214" s="83" t="str">
        <f t="shared" si="31"/>
        <v>NO BET</v>
      </c>
      <c r="N214" s="248"/>
      <c r="O214" s="12"/>
      <c r="P214" s="84" t="s">
        <v>41</v>
      </c>
      <c r="Q214" s="12"/>
      <c r="R214" s="85">
        <f>IF(OR(P214="",L214="NO BET"),0,IF(AND(K214=P214),IF(AND(K214="T2"),ROUNDUP(H214*M214*0.95,2)-M214,ROUNDUP(G214*M214*0.95,2)-M214),-M214))</f>
        <v>0</v>
      </c>
      <c r="S214" s="12"/>
      <c r="T214" s="251"/>
      <c r="U214" s="12"/>
    </row>
    <row r="215" spans="1:21" x14ac:dyDescent="0.2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3"/>
      <c r="S215" s="12"/>
      <c r="T215" s="14"/>
      <c r="U215" s="12"/>
    </row>
    <row r="216" spans="1:21" x14ac:dyDescent="0.2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3"/>
      <c r="S216" s="12"/>
      <c r="T216" s="14"/>
      <c r="U216" s="12"/>
    </row>
    <row r="217" spans="1:21" ht="15.75" thickBot="1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3"/>
      <c r="S217" s="12"/>
      <c r="T217" s="14"/>
      <c r="U217" s="12"/>
    </row>
    <row r="218" spans="1:21" ht="19.5" customHeight="1" thickBot="1" x14ac:dyDescent="0.3">
      <c r="A218" s="238" t="s">
        <v>5</v>
      </c>
      <c r="B218" s="241" t="s">
        <v>24</v>
      </c>
      <c r="C218" s="51"/>
      <c r="D218" s="51" t="s">
        <v>9</v>
      </c>
      <c r="E218" s="51" t="s">
        <v>10</v>
      </c>
      <c r="F218" s="51" t="s">
        <v>11</v>
      </c>
      <c r="G218" s="51" t="s">
        <v>12</v>
      </c>
      <c r="H218" s="51" t="s">
        <v>13</v>
      </c>
      <c r="I218" s="51" t="s">
        <v>14</v>
      </c>
      <c r="J218" s="51" t="s">
        <v>15</v>
      </c>
      <c r="K218" s="51" t="s">
        <v>33</v>
      </c>
      <c r="L218" s="51" t="s">
        <v>16</v>
      </c>
      <c r="M218" s="51" t="s">
        <v>38</v>
      </c>
      <c r="N218" s="52" t="s">
        <v>17</v>
      </c>
      <c r="O218" s="88"/>
      <c r="P218" s="53" t="s">
        <v>18</v>
      </c>
      <c r="Q218" s="87"/>
      <c r="R218" s="54" t="s">
        <v>34</v>
      </c>
      <c r="S218" s="87"/>
      <c r="T218" s="56" t="s">
        <v>29</v>
      </c>
      <c r="U218" s="12"/>
    </row>
    <row r="219" spans="1:21" ht="15.75" customHeight="1" x14ac:dyDescent="0.2">
      <c r="A219" s="239"/>
      <c r="B219" s="242"/>
      <c r="C219" s="57">
        <v>0.5</v>
      </c>
      <c r="D219" s="58" t="s">
        <v>49</v>
      </c>
      <c r="E219" s="58" t="s">
        <v>72</v>
      </c>
      <c r="F219" s="58">
        <f>IF(AND(C219=""),"",1-C219)</f>
        <v>0.5</v>
      </c>
      <c r="G219" s="58">
        <v>2</v>
      </c>
      <c r="H219" s="58">
        <v>1.72</v>
      </c>
      <c r="I219" s="58">
        <f t="shared" ref="I219:I228" si="35">IF(AND(C219=""),"",G219*C219)</f>
        <v>1</v>
      </c>
      <c r="J219" s="58">
        <f>IF(AND(C219=""),"",H219*F219)</f>
        <v>0.86</v>
      </c>
      <c r="K219" s="58" t="str">
        <f t="shared" ref="K219:K228" si="36">IF(AND(I219=""),"",IF(AND(I219&gt;J219),"T1","T2"))</f>
        <v>T1</v>
      </c>
      <c r="L219" s="58" t="str">
        <f t="shared" ref="L219:L228" si="37">IF(AND(K219=""),"",IF(AND((J219*0.95-1)&lt;0,(I219*0.95-1)&lt;0),"NO BET", IF(AND(K219="T1"),I219*0.95 - 1,J219*0.95 - 1)))</f>
        <v>NO BET</v>
      </c>
      <c r="M219" s="61" t="str">
        <f t="shared" ref="M219:M228" si="38">IF(L219="","",IF(L219&lt;0.5,K$2*M$2,IF(L219&lt;0.75,K$2*M$3,IF(L219&lt;1,K$2*M$4,IF(L219&lt;1.25,K$2*M$5,IF(L219&lt;1.5,K$2*M$6,IF(L219&lt;2,K$2*M$7,IF(L219&lt;2.5,K$2*M$8,IF(L219="NO BET","NO BET",K$2*M$9)))))))))</f>
        <v>NO BET</v>
      </c>
      <c r="N219" s="246">
        <f>SUMIF(L219:L228,"&gt;0")</f>
        <v>2.8647299999999998</v>
      </c>
      <c r="O219" s="88"/>
      <c r="P219" s="62" t="s">
        <v>41</v>
      </c>
      <c r="Q219" s="88"/>
      <c r="R219" s="63">
        <f>IF(OR(P219="",L219="NO BET"),0,IF(AND(K219=P219),IF(AND(K219="T2"),ROUNDUP(H219*M219*0.95,2)-M219,ROUNDUP(G219*M219*0.95,2)-M219),-M219))</f>
        <v>0</v>
      </c>
      <c r="S219" s="87"/>
      <c r="T219" s="237">
        <f>SUM(R219:R228)</f>
        <v>-8.1000000000000227</v>
      </c>
      <c r="U219" s="12"/>
    </row>
    <row r="220" spans="1:21" ht="15.75" customHeight="1" x14ac:dyDescent="0.2">
      <c r="A220" s="239"/>
      <c r="B220" s="242"/>
      <c r="C220" s="64">
        <v>0.75</v>
      </c>
      <c r="D220" s="65" t="s">
        <v>64</v>
      </c>
      <c r="E220" s="65" t="s">
        <v>62</v>
      </c>
      <c r="F220" s="65">
        <f t="shared" ref="F220:F228" si="39">IF(AND(C220=""),"",1-C220)</f>
        <v>0.25</v>
      </c>
      <c r="G220" s="65">
        <v>1.1200000000000001</v>
      </c>
      <c r="H220" s="65">
        <v>5.5</v>
      </c>
      <c r="I220" s="65">
        <f t="shared" si="35"/>
        <v>0.84000000000000008</v>
      </c>
      <c r="J220" s="65">
        <f t="shared" ref="J220:J228" si="40">IF(AND(C220=""),"",H220*F220)</f>
        <v>1.375</v>
      </c>
      <c r="K220" s="65" t="str">
        <f t="shared" si="36"/>
        <v>T2</v>
      </c>
      <c r="L220" s="65">
        <f t="shared" si="37"/>
        <v>0.30624999999999991</v>
      </c>
      <c r="M220" s="68">
        <f t="shared" si="38"/>
        <v>56.25</v>
      </c>
      <c r="N220" s="247"/>
      <c r="O220" s="12"/>
      <c r="P220" s="69" t="s">
        <v>41</v>
      </c>
      <c r="Q220" s="87"/>
      <c r="R220" s="70">
        <f t="shared" ref="R220:R227" si="41">IF(OR(P220="",L220="NO BET"),0,IF(AND(K220=P220),IF(AND(K220="T2"),ROUNDUP(H220*M220*0.95,2)-M220,ROUNDUP(G220*M220*0.95,2)-M220),-M220))</f>
        <v>-56.25</v>
      </c>
      <c r="S220" s="87"/>
      <c r="T220" s="237"/>
      <c r="U220" s="12"/>
    </row>
    <row r="221" spans="1:21" ht="15.75" customHeight="1" x14ac:dyDescent="0.2">
      <c r="A221" s="239"/>
      <c r="B221" s="242"/>
      <c r="C221" s="71">
        <v>0.34</v>
      </c>
      <c r="D221" s="10" t="s">
        <v>62</v>
      </c>
      <c r="E221" s="10" t="s">
        <v>65</v>
      </c>
      <c r="F221" s="10">
        <f t="shared" si="39"/>
        <v>0.65999999999999992</v>
      </c>
      <c r="G221" s="10">
        <v>8</v>
      </c>
      <c r="H221" s="10">
        <v>1.0620000000000001</v>
      </c>
      <c r="I221" s="10">
        <f t="shared" si="35"/>
        <v>2.72</v>
      </c>
      <c r="J221" s="10">
        <f t="shared" si="40"/>
        <v>0.70091999999999999</v>
      </c>
      <c r="K221" s="10" t="str">
        <f t="shared" si="36"/>
        <v>T1</v>
      </c>
      <c r="L221" s="10">
        <f t="shared" si="37"/>
        <v>1.5840000000000001</v>
      </c>
      <c r="M221" s="74">
        <f t="shared" si="38"/>
        <v>243.75</v>
      </c>
      <c r="N221" s="247"/>
      <c r="O221" s="88"/>
      <c r="P221" s="69" t="s">
        <v>40</v>
      </c>
      <c r="Q221" s="87"/>
      <c r="R221" s="70">
        <f t="shared" si="41"/>
        <v>-243.75</v>
      </c>
      <c r="S221" s="87"/>
      <c r="T221" s="237"/>
      <c r="U221" s="12"/>
    </row>
    <row r="222" spans="1:21" ht="15.75" customHeight="1" x14ac:dyDescent="0.2">
      <c r="A222" s="239"/>
      <c r="B222" s="242"/>
      <c r="C222" s="64">
        <v>0.63</v>
      </c>
      <c r="D222" s="65" t="s">
        <v>70</v>
      </c>
      <c r="E222" s="65" t="s">
        <v>42</v>
      </c>
      <c r="F222" s="65">
        <f t="shared" si="39"/>
        <v>0.37</v>
      </c>
      <c r="G222" s="65">
        <v>1.5</v>
      </c>
      <c r="H222" s="65">
        <v>2.5</v>
      </c>
      <c r="I222" s="65">
        <f t="shared" si="35"/>
        <v>0.94500000000000006</v>
      </c>
      <c r="J222" s="65">
        <f t="shared" si="40"/>
        <v>0.92500000000000004</v>
      </c>
      <c r="K222" s="65" t="str">
        <f t="shared" si="36"/>
        <v>T1</v>
      </c>
      <c r="L222" s="65" t="str">
        <f t="shared" si="37"/>
        <v>NO BET</v>
      </c>
      <c r="M222" s="68" t="str">
        <f t="shared" si="38"/>
        <v>NO BET</v>
      </c>
      <c r="N222" s="247"/>
      <c r="O222" s="92"/>
      <c r="P222" s="69" t="s">
        <v>41</v>
      </c>
      <c r="Q222" s="87"/>
      <c r="R222" s="70">
        <f t="shared" si="41"/>
        <v>0</v>
      </c>
      <c r="S222" s="87"/>
      <c r="T222" s="237"/>
      <c r="U222" s="12"/>
    </row>
    <row r="223" spans="1:21" ht="15.75" customHeight="1" x14ac:dyDescent="0.2">
      <c r="A223" s="239"/>
      <c r="B223" s="242"/>
      <c r="C223" s="71">
        <v>0.69</v>
      </c>
      <c r="D223" s="10" t="s">
        <v>72</v>
      </c>
      <c r="E223" s="10" t="s">
        <v>61</v>
      </c>
      <c r="F223" s="10">
        <f t="shared" si="39"/>
        <v>0.31000000000000005</v>
      </c>
      <c r="G223" s="10">
        <v>1.36</v>
      </c>
      <c r="H223" s="10">
        <v>3</v>
      </c>
      <c r="I223" s="10">
        <f t="shared" si="35"/>
        <v>0.93840000000000001</v>
      </c>
      <c r="J223" s="10">
        <f t="shared" si="40"/>
        <v>0.93000000000000016</v>
      </c>
      <c r="K223" s="10" t="str">
        <f t="shared" si="36"/>
        <v>T1</v>
      </c>
      <c r="L223" s="10" t="str">
        <f t="shared" si="37"/>
        <v>NO BET</v>
      </c>
      <c r="M223" s="75" t="str">
        <f t="shared" si="38"/>
        <v>NO BET</v>
      </c>
      <c r="N223" s="247"/>
      <c r="O223" s="92"/>
      <c r="P223" s="69" t="s">
        <v>41</v>
      </c>
      <c r="Q223" s="87"/>
      <c r="R223" s="70">
        <f t="shared" si="41"/>
        <v>0</v>
      </c>
      <c r="S223" s="87"/>
      <c r="T223" s="237"/>
      <c r="U223" s="12"/>
    </row>
    <row r="224" spans="1:21" ht="15.75" customHeight="1" x14ac:dyDescent="0.2">
      <c r="A224" s="239"/>
      <c r="B224" s="242"/>
      <c r="C224" s="64">
        <v>0.52</v>
      </c>
      <c r="D224" s="65" t="s">
        <v>63</v>
      </c>
      <c r="E224" s="65" t="s">
        <v>67</v>
      </c>
      <c r="F224" s="65">
        <f t="shared" si="39"/>
        <v>0.48</v>
      </c>
      <c r="G224" s="65">
        <v>1.2</v>
      </c>
      <c r="H224" s="65">
        <v>4.33</v>
      </c>
      <c r="I224" s="65">
        <f t="shared" si="35"/>
        <v>0.624</v>
      </c>
      <c r="J224" s="65">
        <f t="shared" si="40"/>
        <v>2.0783999999999998</v>
      </c>
      <c r="K224" s="65" t="str">
        <f t="shared" si="36"/>
        <v>T2</v>
      </c>
      <c r="L224" s="65">
        <f t="shared" si="37"/>
        <v>0.97447999999999979</v>
      </c>
      <c r="M224" s="68">
        <f t="shared" si="38"/>
        <v>93.75</v>
      </c>
      <c r="N224" s="247"/>
      <c r="O224" s="92"/>
      <c r="P224" s="69" t="s">
        <v>40</v>
      </c>
      <c r="Q224" s="87"/>
      <c r="R224" s="70">
        <f t="shared" si="41"/>
        <v>291.89999999999998</v>
      </c>
      <c r="S224" s="87"/>
      <c r="T224" s="237"/>
      <c r="U224" s="12"/>
    </row>
    <row r="225" spans="1:21" ht="16.5" thickBot="1" x14ac:dyDescent="0.25">
      <c r="A225" s="239"/>
      <c r="B225" s="242"/>
      <c r="C225" s="71"/>
      <c r="D225" s="10"/>
      <c r="E225" s="10"/>
      <c r="F225" s="10" t="str">
        <f t="shared" si="39"/>
        <v/>
      </c>
      <c r="G225" s="10"/>
      <c r="H225" s="10"/>
      <c r="I225" s="10" t="str">
        <f t="shared" si="35"/>
        <v/>
      </c>
      <c r="J225" s="10" t="str">
        <f t="shared" si="40"/>
        <v/>
      </c>
      <c r="K225" s="10" t="str">
        <f t="shared" si="36"/>
        <v/>
      </c>
      <c r="L225" s="10" t="str">
        <f t="shared" si="37"/>
        <v/>
      </c>
      <c r="M225" s="74" t="str">
        <f t="shared" si="38"/>
        <v/>
      </c>
      <c r="N225" s="247"/>
      <c r="O225" s="12"/>
      <c r="P225" s="69"/>
      <c r="Q225" s="87"/>
      <c r="R225" s="70">
        <f t="shared" si="41"/>
        <v>0</v>
      </c>
      <c r="S225" s="87"/>
      <c r="T225" s="76" t="s">
        <v>31</v>
      </c>
      <c r="U225" s="12"/>
    </row>
    <row r="226" spans="1:21" x14ac:dyDescent="0.2">
      <c r="A226" s="239"/>
      <c r="B226" s="242"/>
      <c r="C226" s="64"/>
      <c r="D226" s="65"/>
      <c r="E226" s="65"/>
      <c r="F226" s="65" t="str">
        <f t="shared" si="39"/>
        <v/>
      </c>
      <c r="G226" s="65"/>
      <c r="H226" s="65"/>
      <c r="I226" s="65" t="str">
        <f t="shared" si="35"/>
        <v/>
      </c>
      <c r="J226" s="65" t="str">
        <f t="shared" si="40"/>
        <v/>
      </c>
      <c r="K226" s="65" t="str">
        <f t="shared" si="36"/>
        <v/>
      </c>
      <c r="L226" s="65" t="str">
        <f t="shared" si="37"/>
        <v/>
      </c>
      <c r="M226" s="77" t="str">
        <f t="shared" si="38"/>
        <v/>
      </c>
      <c r="N226" s="247"/>
      <c r="O226" s="12"/>
      <c r="P226" s="69"/>
      <c r="Q226" s="87"/>
      <c r="R226" s="70">
        <f t="shared" si="41"/>
        <v>0</v>
      </c>
      <c r="S226" s="87"/>
      <c r="T226" s="249">
        <f>IF(AND(NOT(N219=0)),T219/N219,0)</f>
        <v>-2.8274915960666531</v>
      </c>
      <c r="U226" s="12"/>
    </row>
    <row r="227" spans="1:21" x14ac:dyDescent="0.2">
      <c r="A227" s="239"/>
      <c r="B227" s="242"/>
      <c r="C227" s="71"/>
      <c r="D227" s="10"/>
      <c r="E227" s="10"/>
      <c r="F227" s="10" t="str">
        <f t="shared" si="39"/>
        <v/>
      </c>
      <c r="G227" s="10"/>
      <c r="H227" s="10"/>
      <c r="I227" s="10" t="str">
        <f t="shared" si="35"/>
        <v/>
      </c>
      <c r="J227" s="10" t="str">
        <f t="shared" si="40"/>
        <v/>
      </c>
      <c r="K227" s="10" t="str">
        <f t="shared" si="36"/>
        <v/>
      </c>
      <c r="L227" s="10" t="str">
        <f t="shared" si="37"/>
        <v/>
      </c>
      <c r="M227" s="75" t="str">
        <f t="shared" si="38"/>
        <v/>
      </c>
      <c r="N227" s="247"/>
      <c r="O227" s="12"/>
      <c r="P227" s="69"/>
      <c r="Q227" s="87"/>
      <c r="R227" s="70">
        <f t="shared" si="41"/>
        <v>0</v>
      </c>
      <c r="S227" s="87"/>
      <c r="T227" s="250"/>
      <c r="U227" s="12"/>
    </row>
    <row r="228" spans="1:21" ht="15.75" thickBot="1" x14ac:dyDescent="0.25">
      <c r="A228" s="240"/>
      <c r="B228" s="243"/>
      <c r="C228" s="93"/>
      <c r="D228" s="80"/>
      <c r="E228" s="80"/>
      <c r="F228" s="80" t="str">
        <f t="shared" si="39"/>
        <v/>
      </c>
      <c r="G228" s="80"/>
      <c r="H228" s="80"/>
      <c r="I228" s="80" t="str">
        <f t="shared" si="35"/>
        <v/>
      </c>
      <c r="J228" s="80" t="str">
        <f t="shared" si="40"/>
        <v/>
      </c>
      <c r="K228" s="80" t="str">
        <f t="shared" si="36"/>
        <v/>
      </c>
      <c r="L228" s="80" t="str">
        <f t="shared" si="37"/>
        <v/>
      </c>
      <c r="M228" s="83" t="str">
        <f t="shared" si="38"/>
        <v/>
      </c>
      <c r="N228" s="248"/>
      <c r="O228" s="12"/>
      <c r="P228" s="84"/>
      <c r="Q228" s="12"/>
      <c r="R228" s="85">
        <f>IF(OR(P228="",L228="NO BET"),0,IF(AND(K228=P228),IF(AND(K228="T2"),ROUNDUP(H228*M228*0.95,2)-M228,ROUNDUP(G228*M228*0.95,2)-M228),-M228))</f>
        <v>0</v>
      </c>
      <c r="S228" s="12"/>
      <c r="T228" s="251"/>
      <c r="U228" s="12"/>
    </row>
    <row r="229" spans="1:21" x14ac:dyDescent="0.2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3"/>
      <c r="S229" s="12"/>
      <c r="T229" s="14"/>
      <c r="U229" s="12"/>
    </row>
    <row r="230" spans="1:21" x14ac:dyDescent="0.2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3"/>
      <c r="S230" s="12"/>
      <c r="T230" s="14"/>
      <c r="U230" s="12"/>
    </row>
    <row r="231" spans="1:21" ht="15.75" thickBot="1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3"/>
      <c r="S231" s="12"/>
      <c r="T231" s="14"/>
      <c r="U231" s="12"/>
    </row>
    <row r="232" spans="1:21" ht="19.5" customHeight="1" thickBot="1" x14ac:dyDescent="0.3">
      <c r="A232" s="238" t="s">
        <v>5</v>
      </c>
      <c r="B232" s="241" t="s">
        <v>25</v>
      </c>
      <c r="C232" s="51"/>
      <c r="D232" s="51" t="s">
        <v>9</v>
      </c>
      <c r="E232" s="51" t="s">
        <v>10</v>
      </c>
      <c r="F232" s="51" t="s">
        <v>11</v>
      </c>
      <c r="G232" s="51" t="s">
        <v>12</v>
      </c>
      <c r="H232" s="51" t="s">
        <v>13</v>
      </c>
      <c r="I232" s="51" t="s">
        <v>14</v>
      </c>
      <c r="J232" s="51" t="s">
        <v>15</v>
      </c>
      <c r="K232" s="51" t="s">
        <v>33</v>
      </c>
      <c r="L232" s="51" t="s">
        <v>16</v>
      </c>
      <c r="M232" s="51" t="s">
        <v>38</v>
      </c>
      <c r="N232" s="52" t="s">
        <v>17</v>
      </c>
      <c r="O232" s="88"/>
      <c r="P232" s="53" t="s">
        <v>18</v>
      </c>
      <c r="Q232" s="87"/>
      <c r="R232" s="54" t="s">
        <v>34</v>
      </c>
      <c r="S232" s="87"/>
      <c r="T232" s="56" t="s">
        <v>29</v>
      </c>
      <c r="U232" s="12"/>
    </row>
    <row r="233" spans="1:21" ht="15.75" customHeight="1" x14ac:dyDescent="0.2">
      <c r="A233" s="239"/>
      <c r="B233" s="242"/>
      <c r="C233" s="57">
        <v>0.52</v>
      </c>
      <c r="D233" s="58" t="s">
        <v>61</v>
      </c>
      <c r="E233" s="58" t="s">
        <v>44</v>
      </c>
      <c r="F233" s="58">
        <f>IF(AND(C233=""),"",1-C233)</f>
        <v>0.48</v>
      </c>
      <c r="G233" s="58">
        <v>1.33</v>
      </c>
      <c r="H233" s="58">
        <v>3.25</v>
      </c>
      <c r="I233" s="58">
        <f t="shared" ref="I233:I242" si="42">IF(AND(C233=""),"",G233*C233)</f>
        <v>0.6916000000000001</v>
      </c>
      <c r="J233" s="58">
        <f>IF(AND(C233=""),"",H233*F233)</f>
        <v>1.56</v>
      </c>
      <c r="K233" s="58" t="str">
        <f t="shared" ref="K233:K242" si="43">IF(AND(I233=""),"",IF(AND(I233&gt;J233),"T1","T2"))</f>
        <v>T2</v>
      </c>
      <c r="L233" s="58">
        <f t="shared" ref="L233:L242" si="44">IF(AND(K233=""),"",IF(AND((J233*0.95-1)&lt;0,(I233*0.95-1)&lt;0),"NO BET", IF(AND(K233="T1"),I233*0.95 - 1,J233*0.95 - 1)))</f>
        <v>0.48199999999999998</v>
      </c>
      <c r="M233" s="61">
        <f t="shared" ref="M233:M242" si="45">IF(L233="","",IF(L233&lt;0.5,K$2*M$2,IF(L233&lt;0.75,K$2*M$3,IF(L233&lt;1,K$2*M$4,IF(L233&lt;1.25,K$2*M$5,IF(L233&lt;1.5,K$2*M$6,IF(L233&lt;2,K$2*M$7,IF(L233&lt;2.5,K$2*M$8,IF(L233="NO BET","NO BET",K$2*M$9)))))))))</f>
        <v>56.25</v>
      </c>
      <c r="N233" s="246">
        <f>SUMIF(L233:L242,"&gt;0")</f>
        <v>2.9028299999999998</v>
      </c>
      <c r="O233" s="88"/>
      <c r="P233" s="62" t="s">
        <v>41</v>
      </c>
      <c r="Q233" s="88"/>
      <c r="R233" s="63">
        <f>IF(OR(P233="",L233="NO BET"),0,IF(AND(K233=P233),IF(AND(K233="T2"),ROUNDUP(H233*M233*0.95,2)-M233,ROUNDUP(G233*M233*0.95,2)-M233),-M233))</f>
        <v>-56.25</v>
      </c>
      <c r="S233" s="87"/>
      <c r="T233" s="237">
        <f>SUM(R233:R242)</f>
        <v>-233.43</v>
      </c>
      <c r="U233" s="12"/>
    </row>
    <row r="234" spans="1:21" ht="15.75" customHeight="1" x14ac:dyDescent="0.2">
      <c r="A234" s="239"/>
      <c r="B234" s="242"/>
      <c r="C234" s="64">
        <v>0.51</v>
      </c>
      <c r="D234" s="65" t="s">
        <v>42</v>
      </c>
      <c r="E234" s="65" t="s">
        <v>63</v>
      </c>
      <c r="F234" s="65">
        <f t="shared" ref="F234:F242" si="46">IF(AND(C234=""),"",1-C234)</f>
        <v>0.49</v>
      </c>
      <c r="G234" s="65">
        <v>3</v>
      </c>
      <c r="H234" s="65">
        <v>1.36</v>
      </c>
      <c r="I234" s="65">
        <f t="shared" si="42"/>
        <v>1.53</v>
      </c>
      <c r="J234" s="65">
        <f t="shared" ref="J234:J242" si="47">IF(AND(C234=""),"",H234*F234)</f>
        <v>0.66639999999999999</v>
      </c>
      <c r="K234" s="65" t="str">
        <f t="shared" si="43"/>
        <v>T1</v>
      </c>
      <c r="L234" s="65">
        <f t="shared" si="44"/>
        <v>0.45350000000000001</v>
      </c>
      <c r="M234" s="68">
        <f t="shared" si="45"/>
        <v>56.25</v>
      </c>
      <c r="N234" s="247"/>
      <c r="O234" s="12"/>
      <c r="P234" s="69" t="s">
        <v>40</v>
      </c>
      <c r="Q234" s="87"/>
      <c r="R234" s="70">
        <f t="shared" ref="R234:R241" si="48">IF(OR(P234="",L234="NO BET"),0,IF(AND(K234=P234),IF(AND(K234="T2"),ROUNDUP(H234*M234*0.95,2)-M234,ROUNDUP(G234*M234*0.95,2)-M234),-M234))</f>
        <v>-56.25</v>
      </c>
      <c r="S234" s="87"/>
      <c r="T234" s="237"/>
      <c r="U234" s="12"/>
    </row>
    <row r="235" spans="1:21" ht="15.75" customHeight="1" x14ac:dyDescent="0.2">
      <c r="A235" s="239"/>
      <c r="B235" s="242"/>
      <c r="C235" s="71">
        <v>0.62</v>
      </c>
      <c r="D235" s="10" t="s">
        <v>72</v>
      </c>
      <c r="E235" s="10" t="s">
        <v>64</v>
      </c>
      <c r="F235" s="10">
        <f t="shared" si="46"/>
        <v>0.38</v>
      </c>
      <c r="G235" s="10">
        <v>2.2200000000000002</v>
      </c>
      <c r="H235" s="10">
        <v>1.61</v>
      </c>
      <c r="I235" s="10">
        <f t="shared" si="42"/>
        <v>1.3764000000000001</v>
      </c>
      <c r="J235" s="10">
        <f t="shared" si="47"/>
        <v>0.61180000000000001</v>
      </c>
      <c r="K235" s="10" t="str">
        <f t="shared" si="43"/>
        <v>T1</v>
      </c>
      <c r="L235" s="10">
        <f t="shared" si="44"/>
        <v>0.30757999999999996</v>
      </c>
      <c r="M235" s="74">
        <f t="shared" si="45"/>
        <v>56.25</v>
      </c>
      <c r="N235" s="247"/>
      <c r="O235" s="88"/>
      <c r="P235" s="69" t="s">
        <v>40</v>
      </c>
      <c r="Q235" s="87"/>
      <c r="R235" s="70">
        <f t="shared" si="48"/>
        <v>-56.25</v>
      </c>
      <c r="S235" s="87"/>
      <c r="T235" s="237"/>
      <c r="U235" s="12"/>
    </row>
    <row r="236" spans="1:21" ht="15.75" customHeight="1" x14ac:dyDescent="0.2">
      <c r="A236" s="239"/>
      <c r="B236" s="242"/>
      <c r="C236" s="64">
        <v>0.61</v>
      </c>
      <c r="D236" s="65" t="s">
        <v>49</v>
      </c>
      <c r="E236" s="65" t="s">
        <v>70</v>
      </c>
      <c r="F236" s="65">
        <f t="shared" si="46"/>
        <v>0.39</v>
      </c>
      <c r="G236" s="65">
        <v>1.5</v>
      </c>
      <c r="H236" s="65">
        <v>2.5</v>
      </c>
      <c r="I236" s="65">
        <f t="shared" si="42"/>
        <v>0.91500000000000004</v>
      </c>
      <c r="J236" s="65">
        <f t="shared" si="47"/>
        <v>0.97500000000000009</v>
      </c>
      <c r="K236" s="65" t="str">
        <f t="shared" si="43"/>
        <v>T2</v>
      </c>
      <c r="L236" s="65" t="str">
        <f t="shared" si="44"/>
        <v>NO BET</v>
      </c>
      <c r="M236" s="68" t="str">
        <f t="shared" si="45"/>
        <v>NO BET</v>
      </c>
      <c r="N236" s="247"/>
      <c r="O236" s="92"/>
      <c r="P236" s="69" t="s">
        <v>41</v>
      </c>
      <c r="Q236" s="87"/>
      <c r="R236" s="70">
        <f t="shared" si="48"/>
        <v>0</v>
      </c>
      <c r="S236" s="87"/>
      <c r="T236" s="237"/>
      <c r="U236" s="12"/>
    </row>
    <row r="237" spans="1:21" ht="15.75" customHeight="1" x14ac:dyDescent="0.2">
      <c r="A237" s="239"/>
      <c r="B237" s="242"/>
      <c r="C237" s="71">
        <v>0.44</v>
      </c>
      <c r="D237" s="10" t="s">
        <v>67</v>
      </c>
      <c r="E237" s="10" t="s">
        <v>61</v>
      </c>
      <c r="F237" s="10">
        <f t="shared" si="46"/>
        <v>0.56000000000000005</v>
      </c>
      <c r="G237" s="10">
        <v>2.25</v>
      </c>
      <c r="H237" s="10">
        <v>1.57</v>
      </c>
      <c r="I237" s="10">
        <f t="shared" si="42"/>
        <v>0.99</v>
      </c>
      <c r="J237" s="10">
        <f t="shared" si="47"/>
        <v>0.87920000000000009</v>
      </c>
      <c r="K237" s="10" t="str">
        <f t="shared" si="43"/>
        <v>T1</v>
      </c>
      <c r="L237" s="10" t="str">
        <f t="shared" si="44"/>
        <v>NO BET</v>
      </c>
      <c r="M237" s="75" t="str">
        <f t="shared" si="45"/>
        <v>NO BET</v>
      </c>
      <c r="N237" s="247"/>
      <c r="O237" s="92"/>
      <c r="P237" s="69" t="s">
        <v>40</v>
      </c>
      <c r="Q237" s="87"/>
      <c r="R237" s="70">
        <f t="shared" si="48"/>
        <v>0</v>
      </c>
      <c r="S237" s="87"/>
      <c r="T237" s="237"/>
      <c r="U237" s="12"/>
    </row>
    <row r="238" spans="1:21" ht="15.75" customHeight="1" x14ac:dyDescent="0.2">
      <c r="A238" s="239"/>
      <c r="B238" s="242"/>
      <c r="C238" s="64">
        <v>0.59</v>
      </c>
      <c r="D238" s="65" t="s">
        <v>64</v>
      </c>
      <c r="E238" s="65" t="s">
        <v>63</v>
      </c>
      <c r="F238" s="65">
        <f t="shared" si="46"/>
        <v>0.41000000000000003</v>
      </c>
      <c r="G238" s="65">
        <v>1.36</v>
      </c>
      <c r="H238" s="65">
        <v>3</v>
      </c>
      <c r="I238" s="65">
        <f t="shared" si="42"/>
        <v>0.8024</v>
      </c>
      <c r="J238" s="65">
        <f t="shared" si="47"/>
        <v>1.23</v>
      </c>
      <c r="K238" s="65" t="str">
        <f t="shared" si="43"/>
        <v>T2</v>
      </c>
      <c r="L238" s="65">
        <f t="shared" si="44"/>
        <v>0.16849999999999987</v>
      </c>
      <c r="M238" s="68">
        <f t="shared" si="45"/>
        <v>56.25</v>
      </c>
      <c r="N238" s="247"/>
      <c r="O238" s="92"/>
      <c r="P238" s="69" t="s">
        <v>40</v>
      </c>
      <c r="Q238" s="87"/>
      <c r="R238" s="70">
        <f t="shared" si="48"/>
        <v>104.07</v>
      </c>
      <c r="S238" s="87"/>
      <c r="T238" s="237"/>
      <c r="U238" s="12"/>
    </row>
    <row r="239" spans="1:21" ht="16.5" thickBot="1" x14ac:dyDescent="0.25">
      <c r="A239" s="239"/>
      <c r="B239" s="242"/>
      <c r="C239" s="71">
        <v>0.71</v>
      </c>
      <c r="D239" s="10" t="s">
        <v>49</v>
      </c>
      <c r="E239" s="10" t="s">
        <v>62</v>
      </c>
      <c r="F239" s="10">
        <f t="shared" si="46"/>
        <v>0.29000000000000004</v>
      </c>
      <c r="G239" s="10">
        <v>1.1200000000000001</v>
      </c>
      <c r="H239" s="10">
        <v>5.5</v>
      </c>
      <c r="I239" s="10">
        <f t="shared" si="42"/>
        <v>0.79520000000000002</v>
      </c>
      <c r="J239" s="10">
        <f t="shared" si="47"/>
        <v>1.5950000000000002</v>
      </c>
      <c r="K239" s="10" t="str">
        <f t="shared" si="43"/>
        <v>T2</v>
      </c>
      <c r="L239" s="10">
        <f t="shared" si="44"/>
        <v>0.51525000000000021</v>
      </c>
      <c r="M239" s="74">
        <f t="shared" si="45"/>
        <v>75</v>
      </c>
      <c r="N239" s="247"/>
      <c r="O239" s="12"/>
      <c r="P239" s="69" t="s">
        <v>41</v>
      </c>
      <c r="Q239" s="87"/>
      <c r="R239" s="70">
        <f t="shared" si="48"/>
        <v>-75</v>
      </c>
      <c r="S239" s="87"/>
      <c r="T239" s="76" t="s">
        <v>31</v>
      </c>
      <c r="U239" s="12"/>
    </row>
    <row r="240" spans="1:21" x14ac:dyDescent="0.2">
      <c r="A240" s="239"/>
      <c r="B240" s="242"/>
      <c r="C240" s="64">
        <v>0.68</v>
      </c>
      <c r="D240" s="65" t="s">
        <v>65</v>
      </c>
      <c r="E240" s="65" t="s">
        <v>42</v>
      </c>
      <c r="F240" s="65">
        <f t="shared" si="46"/>
        <v>0.31999999999999995</v>
      </c>
      <c r="G240" s="65">
        <v>1.1000000000000001</v>
      </c>
      <c r="H240" s="65">
        <v>6.5</v>
      </c>
      <c r="I240" s="65">
        <f t="shared" si="42"/>
        <v>0.74800000000000011</v>
      </c>
      <c r="J240" s="65">
        <f t="shared" si="47"/>
        <v>2.0799999999999996</v>
      </c>
      <c r="K240" s="65" t="str">
        <f t="shared" si="43"/>
        <v>T2</v>
      </c>
      <c r="L240" s="65">
        <f t="shared" si="44"/>
        <v>0.97599999999999953</v>
      </c>
      <c r="M240" s="77">
        <f t="shared" si="45"/>
        <v>93.75</v>
      </c>
      <c r="N240" s="247"/>
      <c r="O240" s="12"/>
      <c r="P240" s="69" t="s">
        <v>41</v>
      </c>
      <c r="Q240" s="87"/>
      <c r="R240" s="70">
        <f t="shared" si="48"/>
        <v>-93.75</v>
      </c>
      <c r="S240" s="87"/>
      <c r="T240" s="249">
        <f>IF(AND(NOT(N233=0)),T233/N233,0)</f>
        <v>-80.414629861204418</v>
      </c>
      <c r="U240" s="12"/>
    </row>
    <row r="241" spans="1:21" x14ac:dyDescent="0.2">
      <c r="A241" s="239"/>
      <c r="B241" s="242"/>
      <c r="C241" s="71"/>
      <c r="D241" s="10"/>
      <c r="E241" s="10"/>
      <c r="F241" s="10" t="str">
        <f t="shared" si="46"/>
        <v/>
      </c>
      <c r="G241" s="10"/>
      <c r="H241" s="10"/>
      <c r="I241" s="10" t="str">
        <f t="shared" si="42"/>
        <v/>
      </c>
      <c r="J241" s="10" t="str">
        <f t="shared" si="47"/>
        <v/>
      </c>
      <c r="K241" s="10" t="str">
        <f t="shared" si="43"/>
        <v/>
      </c>
      <c r="L241" s="10" t="str">
        <f t="shared" si="44"/>
        <v/>
      </c>
      <c r="M241" s="75" t="str">
        <f t="shared" si="45"/>
        <v/>
      </c>
      <c r="N241" s="247"/>
      <c r="O241" s="12"/>
      <c r="P241" s="69"/>
      <c r="Q241" s="87"/>
      <c r="R241" s="70">
        <f t="shared" si="48"/>
        <v>0</v>
      </c>
      <c r="S241" s="87"/>
      <c r="T241" s="250"/>
      <c r="U241" s="12"/>
    </row>
    <row r="242" spans="1:21" ht="15.75" thickBot="1" x14ac:dyDescent="0.25">
      <c r="A242" s="240"/>
      <c r="B242" s="243"/>
      <c r="C242" s="93"/>
      <c r="D242" s="80"/>
      <c r="E242" s="80"/>
      <c r="F242" s="80" t="str">
        <f t="shared" si="46"/>
        <v/>
      </c>
      <c r="G242" s="80"/>
      <c r="H242" s="80"/>
      <c r="I242" s="80" t="str">
        <f t="shared" si="42"/>
        <v/>
      </c>
      <c r="J242" s="80" t="str">
        <f t="shared" si="47"/>
        <v/>
      </c>
      <c r="K242" s="80" t="str">
        <f t="shared" si="43"/>
        <v/>
      </c>
      <c r="L242" s="80" t="str">
        <f t="shared" si="44"/>
        <v/>
      </c>
      <c r="M242" s="83" t="str">
        <f t="shared" si="45"/>
        <v/>
      </c>
      <c r="N242" s="248"/>
      <c r="O242" s="12"/>
      <c r="P242" s="84"/>
      <c r="Q242" s="12"/>
      <c r="R242" s="85">
        <f>IF(OR(P242="",L242="NO BET"),0,IF(AND(K242=P242),IF(AND(K242="T2"),ROUNDUP(H242*M242*0.95,2)-M242,ROUNDUP(G242*M242*0.95,2)-M242),-M242))</f>
        <v>0</v>
      </c>
      <c r="S242" s="12"/>
      <c r="T242" s="251"/>
      <c r="U242" s="12"/>
    </row>
    <row r="243" spans="1:21" x14ac:dyDescent="0.2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3"/>
      <c r="S243" s="12"/>
      <c r="T243" s="14"/>
      <c r="U243" s="12"/>
    </row>
    <row r="244" spans="1:21" x14ac:dyDescent="0.2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3"/>
      <c r="S244" s="12"/>
      <c r="T244" s="14"/>
      <c r="U244" s="12"/>
    </row>
    <row r="245" spans="1:21" ht="15.75" thickBot="1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3"/>
      <c r="S245" s="12"/>
      <c r="T245" s="14"/>
      <c r="U245" s="12"/>
    </row>
    <row r="246" spans="1:21" ht="19.5" customHeight="1" thickBot="1" x14ac:dyDescent="0.3">
      <c r="A246" s="238" t="s">
        <v>5</v>
      </c>
      <c r="B246" s="241" t="s">
        <v>26</v>
      </c>
      <c r="C246" s="51"/>
      <c r="D246" s="51" t="s">
        <v>9</v>
      </c>
      <c r="E246" s="51" t="s">
        <v>10</v>
      </c>
      <c r="F246" s="51" t="s">
        <v>11</v>
      </c>
      <c r="G246" s="51" t="s">
        <v>12</v>
      </c>
      <c r="H246" s="51" t="s">
        <v>13</v>
      </c>
      <c r="I246" s="51" t="s">
        <v>14</v>
      </c>
      <c r="J246" s="51" t="s">
        <v>15</v>
      </c>
      <c r="K246" s="51" t="s">
        <v>33</v>
      </c>
      <c r="L246" s="51" t="s">
        <v>16</v>
      </c>
      <c r="M246" s="51" t="s">
        <v>38</v>
      </c>
      <c r="N246" s="52" t="s">
        <v>17</v>
      </c>
      <c r="O246" s="88"/>
      <c r="P246" s="53" t="s">
        <v>18</v>
      </c>
      <c r="Q246" s="87"/>
      <c r="R246" s="54" t="s">
        <v>34</v>
      </c>
      <c r="S246" s="87"/>
      <c r="T246" s="56" t="s">
        <v>29</v>
      </c>
      <c r="U246" s="12"/>
    </row>
    <row r="247" spans="1:21" ht="15.75" customHeight="1" x14ac:dyDescent="0.2">
      <c r="A247" s="239"/>
      <c r="B247" s="242"/>
      <c r="C247" s="57">
        <v>0.39</v>
      </c>
      <c r="D247" s="58" t="s">
        <v>70</v>
      </c>
      <c r="E247" s="58" t="s">
        <v>65</v>
      </c>
      <c r="F247" s="58">
        <f>IF(AND(C247=""),"",1-C247)</f>
        <v>0.61</v>
      </c>
      <c r="G247" s="58">
        <v>1.1000000000000001</v>
      </c>
      <c r="H247" s="58">
        <v>6</v>
      </c>
      <c r="I247" s="58">
        <f t="shared" ref="I247:I256" si="49">IF(AND(C247=""),"",G247*C247)</f>
        <v>0.42900000000000005</v>
      </c>
      <c r="J247" s="58">
        <f>IF(AND(C247=""),"",H247*F247)</f>
        <v>3.66</v>
      </c>
      <c r="K247" s="58" t="str">
        <f t="shared" ref="K247:K256" si="50">IF(AND(I247=""),"",IF(AND(I247&gt;J247),"T1","T2"))</f>
        <v>T2</v>
      </c>
      <c r="L247" s="58">
        <f t="shared" ref="L247:L256" si="51">IF(AND(K247=""),"",IF(AND((J247*0.95-1)&lt;0,(I247*0.95-1)&lt;0),"NO BET", IF(AND(K247="T1"),I247*0.95 - 1,J247*0.95 - 1)))</f>
        <v>2.4769999999999999</v>
      </c>
      <c r="M247" s="61">
        <f t="shared" ref="M247:M256" si="52">IF(L247="","",IF(L247&lt;0.5,K$2*M$2,IF(L247&lt;0.75,K$2*M$3,IF(L247&lt;1,K$2*M$4,IF(L247&lt;1.25,K$2*M$5,IF(L247&lt;1.5,K$2*M$6,IF(L247&lt;2,K$2*M$7,IF(L247&lt;2.5,K$2*M$8,IF(L247="NO BET","NO BET",K$2*M$9)))))))))</f>
        <v>300</v>
      </c>
      <c r="N247" s="246">
        <f>SUMIF(L247:L256,"&gt;0")</f>
        <v>5.2765050000000002</v>
      </c>
      <c r="O247" s="88"/>
      <c r="P247" s="62" t="s">
        <v>40</v>
      </c>
      <c r="Q247" s="88"/>
      <c r="R247" s="63">
        <f>IF(OR(P247="",L247="NO BET"),0,IF(AND(K247=P247),IF(AND(K247="T2"),ROUNDUP(H247*M247*0.95,2)-M247,ROUNDUP(G247*M247*0.95,2)-M247),-M247))</f>
        <v>1410</v>
      </c>
      <c r="S247" s="87"/>
      <c r="T247" s="237">
        <f>SUM(R247:R256)</f>
        <v>1100.94</v>
      </c>
      <c r="U247" s="12"/>
    </row>
    <row r="248" spans="1:21" ht="15.75" customHeight="1" x14ac:dyDescent="0.2">
      <c r="A248" s="239"/>
      <c r="B248" s="242"/>
      <c r="C248" s="64">
        <v>0.54</v>
      </c>
      <c r="D248" s="65" t="s">
        <v>63</v>
      </c>
      <c r="E248" s="65" t="s">
        <v>61</v>
      </c>
      <c r="F248" s="65">
        <f t="shared" ref="F248:F256" si="53">IF(AND(C248=""),"",1-C248)</f>
        <v>0.45999999999999996</v>
      </c>
      <c r="G248" s="65">
        <v>1.37</v>
      </c>
      <c r="H248" s="65">
        <v>3</v>
      </c>
      <c r="I248" s="65">
        <f t="shared" si="49"/>
        <v>0.73980000000000012</v>
      </c>
      <c r="J248" s="65">
        <f t="shared" ref="J248:J256" si="54">IF(AND(C248=""),"",H248*F248)</f>
        <v>1.38</v>
      </c>
      <c r="K248" s="65" t="str">
        <f t="shared" si="50"/>
        <v>T2</v>
      </c>
      <c r="L248" s="65">
        <f t="shared" si="51"/>
        <v>0.31099999999999994</v>
      </c>
      <c r="M248" s="68">
        <f t="shared" si="52"/>
        <v>56.25</v>
      </c>
      <c r="N248" s="247"/>
      <c r="O248" s="12"/>
      <c r="P248" s="69" t="s">
        <v>41</v>
      </c>
      <c r="Q248" s="87"/>
      <c r="R248" s="70">
        <f t="shared" ref="R248:R255" si="55">IF(OR(P248="",L248="NO BET"),0,IF(AND(K248=P248),IF(AND(K248="T2"),ROUNDUP(H248*M248*0.95,2)-M248,ROUNDUP(G248*M248*0.95,2)-M248),-M248))</f>
        <v>-56.25</v>
      </c>
      <c r="S248" s="87"/>
      <c r="T248" s="237"/>
      <c r="U248" s="12"/>
    </row>
    <row r="249" spans="1:21" ht="15.75" customHeight="1" x14ac:dyDescent="0.2">
      <c r="A249" s="239"/>
      <c r="B249" s="242"/>
      <c r="C249" s="71">
        <v>0.6</v>
      </c>
      <c r="D249" s="10" t="s">
        <v>67</v>
      </c>
      <c r="E249" s="10" t="s">
        <v>62</v>
      </c>
      <c r="F249" s="10">
        <f t="shared" si="53"/>
        <v>0.4</v>
      </c>
      <c r="G249" s="10">
        <v>1.36</v>
      </c>
      <c r="H249" s="10">
        <v>3</v>
      </c>
      <c r="I249" s="10">
        <f t="shared" si="49"/>
        <v>0.81600000000000006</v>
      </c>
      <c r="J249" s="10">
        <f t="shared" si="54"/>
        <v>1.2000000000000002</v>
      </c>
      <c r="K249" s="10" t="str">
        <f t="shared" si="50"/>
        <v>T2</v>
      </c>
      <c r="L249" s="10">
        <f t="shared" si="51"/>
        <v>0.14000000000000012</v>
      </c>
      <c r="M249" s="74">
        <f t="shared" si="52"/>
        <v>56.25</v>
      </c>
      <c r="N249" s="247"/>
      <c r="O249" s="88"/>
      <c r="P249" s="69" t="s">
        <v>41</v>
      </c>
      <c r="Q249" s="87"/>
      <c r="R249" s="70">
        <f t="shared" si="55"/>
        <v>-56.25</v>
      </c>
      <c r="S249" s="87"/>
      <c r="T249" s="237"/>
      <c r="U249" s="12"/>
    </row>
    <row r="250" spans="1:21" ht="15.75" customHeight="1" x14ac:dyDescent="0.2">
      <c r="A250" s="239"/>
      <c r="B250" s="242"/>
      <c r="C250" s="64">
        <v>0.73</v>
      </c>
      <c r="D250" s="65" t="s">
        <v>72</v>
      </c>
      <c r="E250" s="65" t="s">
        <v>42</v>
      </c>
      <c r="F250" s="65">
        <f t="shared" si="53"/>
        <v>0.27</v>
      </c>
      <c r="G250" s="65">
        <v>1.25</v>
      </c>
      <c r="H250" s="65">
        <v>3.75</v>
      </c>
      <c r="I250" s="65">
        <f t="shared" si="49"/>
        <v>0.91249999999999998</v>
      </c>
      <c r="J250" s="65">
        <f t="shared" si="54"/>
        <v>1.0125000000000002</v>
      </c>
      <c r="K250" s="65" t="str">
        <f t="shared" si="50"/>
        <v>T2</v>
      </c>
      <c r="L250" s="65" t="str">
        <f t="shared" si="51"/>
        <v>NO BET</v>
      </c>
      <c r="M250" s="68" t="str">
        <f t="shared" si="52"/>
        <v>NO BET</v>
      </c>
      <c r="N250" s="247"/>
      <c r="O250" s="92"/>
      <c r="P250" s="69" t="s">
        <v>40</v>
      </c>
      <c r="Q250" s="87"/>
      <c r="R250" s="70">
        <f t="shared" si="55"/>
        <v>0</v>
      </c>
      <c r="S250" s="87"/>
      <c r="T250" s="237"/>
      <c r="U250" s="12"/>
    </row>
    <row r="251" spans="1:21" ht="15.75" customHeight="1" x14ac:dyDescent="0.2">
      <c r="A251" s="239"/>
      <c r="B251" s="242"/>
      <c r="C251" s="71">
        <v>0.36</v>
      </c>
      <c r="D251" s="10" t="s">
        <v>61</v>
      </c>
      <c r="E251" s="10" t="s">
        <v>49</v>
      </c>
      <c r="F251" s="10">
        <f t="shared" si="53"/>
        <v>0.64</v>
      </c>
      <c r="G251" s="10">
        <v>4</v>
      </c>
      <c r="H251" s="10">
        <v>1.22</v>
      </c>
      <c r="I251" s="10">
        <f t="shared" si="49"/>
        <v>1.44</v>
      </c>
      <c r="J251" s="10">
        <f t="shared" si="54"/>
        <v>0.78080000000000005</v>
      </c>
      <c r="K251" s="10" t="str">
        <f t="shared" si="50"/>
        <v>T1</v>
      </c>
      <c r="L251" s="10">
        <f t="shared" si="51"/>
        <v>0.36799999999999988</v>
      </c>
      <c r="M251" s="75">
        <f t="shared" si="52"/>
        <v>56.25</v>
      </c>
      <c r="N251" s="247"/>
      <c r="O251" s="92"/>
      <c r="P251" s="69" t="s">
        <v>40</v>
      </c>
      <c r="Q251" s="87"/>
      <c r="R251" s="70">
        <f t="shared" si="55"/>
        <v>-56.25</v>
      </c>
      <c r="S251" s="87"/>
      <c r="T251" s="237"/>
      <c r="U251" s="12"/>
    </row>
    <row r="252" spans="1:21" ht="15.75" customHeight="1" x14ac:dyDescent="0.2">
      <c r="A252" s="239"/>
      <c r="B252" s="242"/>
      <c r="C252" s="64">
        <v>0.76</v>
      </c>
      <c r="D252" s="65" t="s">
        <v>65</v>
      </c>
      <c r="E252" s="65" t="s">
        <v>64</v>
      </c>
      <c r="F252" s="65">
        <f t="shared" si="53"/>
        <v>0.24</v>
      </c>
      <c r="G252" s="65">
        <v>1.44</v>
      </c>
      <c r="H252" s="65">
        <v>2.62</v>
      </c>
      <c r="I252" s="65">
        <f t="shared" si="49"/>
        <v>1.0944</v>
      </c>
      <c r="J252" s="65">
        <f t="shared" si="54"/>
        <v>0.62880000000000003</v>
      </c>
      <c r="K252" s="65" t="str">
        <f t="shared" si="50"/>
        <v>T1</v>
      </c>
      <c r="L252" s="65">
        <f t="shared" si="51"/>
        <v>3.9679999999999938E-2</v>
      </c>
      <c r="M252" s="68">
        <f t="shared" si="52"/>
        <v>56.25</v>
      </c>
      <c r="N252" s="247"/>
      <c r="O252" s="92"/>
      <c r="P252" s="69" t="s">
        <v>41</v>
      </c>
      <c r="Q252" s="87"/>
      <c r="R252" s="70">
        <f t="shared" si="55"/>
        <v>20.700000000000003</v>
      </c>
      <c r="S252" s="87"/>
      <c r="T252" s="237"/>
      <c r="U252" s="12"/>
    </row>
    <row r="253" spans="1:21" ht="16.5" thickBot="1" x14ac:dyDescent="0.25">
      <c r="A253" s="239"/>
      <c r="B253" s="242"/>
      <c r="C253" s="71">
        <v>0.22</v>
      </c>
      <c r="D253" s="10" t="s">
        <v>67</v>
      </c>
      <c r="E253" s="10" t="s">
        <v>49</v>
      </c>
      <c r="F253" s="10">
        <f t="shared" si="53"/>
        <v>0.78</v>
      </c>
      <c r="G253" s="10">
        <v>5</v>
      </c>
      <c r="H253" s="10">
        <v>1.1399999999999999</v>
      </c>
      <c r="I253" s="10">
        <f t="shared" si="49"/>
        <v>1.1000000000000001</v>
      </c>
      <c r="J253" s="10">
        <f t="shared" si="54"/>
        <v>0.88919999999999999</v>
      </c>
      <c r="K253" s="10" t="str">
        <f t="shared" si="50"/>
        <v>T1</v>
      </c>
      <c r="L253" s="10">
        <f t="shared" si="51"/>
        <v>4.4999999999999929E-2</v>
      </c>
      <c r="M253" s="74">
        <f t="shared" si="52"/>
        <v>56.25</v>
      </c>
      <c r="N253" s="247"/>
      <c r="O253" s="12"/>
      <c r="P253" s="69" t="s">
        <v>40</v>
      </c>
      <c r="Q253" s="87"/>
      <c r="R253" s="70">
        <f t="shared" si="55"/>
        <v>-56.25</v>
      </c>
      <c r="S253" s="87"/>
      <c r="T253" s="76" t="s">
        <v>31</v>
      </c>
      <c r="U253" s="12"/>
    </row>
    <row r="254" spans="1:21" x14ac:dyDescent="0.2">
      <c r="A254" s="239"/>
      <c r="B254" s="242"/>
      <c r="C254" s="64">
        <v>0.45</v>
      </c>
      <c r="D254" s="65" t="s">
        <v>42</v>
      </c>
      <c r="E254" s="65" t="s">
        <v>64</v>
      </c>
      <c r="F254" s="65">
        <f t="shared" si="53"/>
        <v>0.55000000000000004</v>
      </c>
      <c r="G254" s="65">
        <v>4.5</v>
      </c>
      <c r="H254" s="65">
        <v>1.1599999999999999</v>
      </c>
      <c r="I254" s="65">
        <f t="shared" si="49"/>
        <v>2.0249999999999999</v>
      </c>
      <c r="J254" s="65">
        <f t="shared" si="54"/>
        <v>0.63800000000000001</v>
      </c>
      <c r="K254" s="65" t="str">
        <f t="shared" si="50"/>
        <v>T1</v>
      </c>
      <c r="L254" s="65">
        <f t="shared" si="51"/>
        <v>0.92374999999999985</v>
      </c>
      <c r="M254" s="77">
        <f t="shared" si="52"/>
        <v>93.75</v>
      </c>
      <c r="N254" s="247"/>
      <c r="O254" s="12"/>
      <c r="P254" s="69" t="s">
        <v>40</v>
      </c>
      <c r="Q254" s="87"/>
      <c r="R254" s="70">
        <f t="shared" si="55"/>
        <v>-93.75</v>
      </c>
      <c r="S254" s="87"/>
      <c r="T254" s="249">
        <f>IF(AND(NOT(N247=0)),T247/N247,0)</f>
        <v>208.64947536295332</v>
      </c>
      <c r="U254" s="12"/>
    </row>
    <row r="255" spans="1:21" x14ac:dyDescent="0.2">
      <c r="A255" s="239"/>
      <c r="B255" s="242"/>
      <c r="C255" s="71">
        <v>0.35</v>
      </c>
      <c r="D255" s="10" t="s">
        <v>63</v>
      </c>
      <c r="E255" s="10" t="s">
        <v>72</v>
      </c>
      <c r="F255" s="10">
        <f t="shared" si="53"/>
        <v>0.65</v>
      </c>
      <c r="G255" s="10">
        <v>1.57</v>
      </c>
      <c r="H255" s="10">
        <v>2.25</v>
      </c>
      <c r="I255" s="10">
        <f t="shared" si="49"/>
        <v>0.54949999999999999</v>
      </c>
      <c r="J255" s="10">
        <f t="shared" si="54"/>
        <v>1.4625000000000001</v>
      </c>
      <c r="K255" s="10" t="str">
        <f t="shared" si="50"/>
        <v>T2</v>
      </c>
      <c r="L255" s="10">
        <f t="shared" si="51"/>
        <v>0.38937500000000003</v>
      </c>
      <c r="M255" s="75">
        <f t="shared" si="52"/>
        <v>56.25</v>
      </c>
      <c r="N255" s="247"/>
      <c r="O255" s="12"/>
      <c r="P255" s="69" t="s">
        <v>40</v>
      </c>
      <c r="Q255" s="87"/>
      <c r="R255" s="70">
        <f t="shared" si="55"/>
        <v>63.990000000000009</v>
      </c>
      <c r="S255" s="87"/>
      <c r="T255" s="250"/>
      <c r="U255" s="12"/>
    </row>
    <row r="256" spans="1:21" ht="15.75" thickBot="1" x14ac:dyDescent="0.25">
      <c r="A256" s="240"/>
      <c r="B256" s="243"/>
      <c r="C256" s="93">
        <v>0.49</v>
      </c>
      <c r="D256" s="80" t="s">
        <v>62</v>
      </c>
      <c r="E256" s="80" t="s">
        <v>70</v>
      </c>
      <c r="F256" s="80">
        <f t="shared" si="53"/>
        <v>0.51</v>
      </c>
      <c r="G256" s="80">
        <v>3.4</v>
      </c>
      <c r="H256" s="80">
        <v>1.3</v>
      </c>
      <c r="I256" s="80">
        <f t="shared" si="49"/>
        <v>1.6659999999999999</v>
      </c>
      <c r="J256" s="80">
        <f t="shared" si="54"/>
        <v>0.66300000000000003</v>
      </c>
      <c r="K256" s="80" t="str">
        <f t="shared" si="50"/>
        <v>T1</v>
      </c>
      <c r="L256" s="80">
        <f t="shared" si="51"/>
        <v>0.58269999999999977</v>
      </c>
      <c r="M256" s="83">
        <f t="shared" si="52"/>
        <v>75</v>
      </c>
      <c r="N256" s="248"/>
      <c r="O256" s="12"/>
      <c r="P256" s="84" t="s">
        <v>40</v>
      </c>
      <c r="Q256" s="12"/>
      <c r="R256" s="85">
        <f>IF(OR(P256="",L256="NO BET"),0,IF(AND(K256=P256),IF(AND(K256="T2"),ROUNDUP(H256*M256*0.95,2)-M256,ROUNDUP(G256*M256*0.95,2)-M256),-M256))</f>
        <v>-75</v>
      </c>
      <c r="S256" s="12"/>
      <c r="T256" s="251"/>
      <c r="U256" s="12"/>
    </row>
    <row r="257" spans="1:21" x14ac:dyDescent="0.2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3"/>
      <c r="S257" s="12"/>
      <c r="T257" s="14"/>
      <c r="U257" s="12"/>
    </row>
    <row r="258" spans="1:21" x14ac:dyDescent="0.2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3"/>
      <c r="S258" s="12"/>
      <c r="T258" s="14"/>
      <c r="U258" s="12"/>
    </row>
    <row r="259" spans="1:21" ht="15.75" thickBot="1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3"/>
      <c r="S259" s="12"/>
      <c r="T259" s="14"/>
      <c r="U259" s="12"/>
    </row>
    <row r="260" spans="1:21" ht="19.5" customHeight="1" thickBot="1" x14ac:dyDescent="0.3">
      <c r="A260" s="238" t="s">
        <v>5</v>
      </c>
      <c r="B260" s="241" t="s">
        <v>27</v>
      </c>
      <c r="C260" s="51"/>
      <c r="D260" s="51" t="s">
        <v>9</v>
      </c>
      <c r="E260" s="51" t="s">
        <v>10</v>
      </c>
      <c r="F260" s="51" t="s">
        <v>11</v>
      </c>
      <c r="G260" s="51" t="s">
        <v>12</v>
      </c>
      <c r="H260" s="51" t="s">
        <v>13</v>
      </c>
      <c r="I260" s="51" t="s">
        <v>14</v>
      </c>
      <c r="J260" s="51" t="s">
        <v>15</v>
      </c>
      <c r="K260" s="51" t="s">
        <v>33</v>
      </c>
      <c r="L260" s="51" t="s">
        <v>16</v>
      </c>
      <c r="M260" s="51" t="s">
        <v>38</v>
      </c>
      <c r="N260" s="52" t="s">
        <v>17</v>
      </c>
      <c r="O260" s="88"/>
      <c r="P260" s="53" t="s">
        <v>18</v>
      </c>
      <c r="Q260" s="87"/>
      <c r="R260" s="54" t="s">
        <v>34</v>
      </c>
      <c r="S260" s="87"/>
      <c r="T260" s="56" t="s">
        <v>29</v>
      </c>
      <c r="U260" s="12"/>
    </row>
    <row r="261" spans="1:21" ht="15.75" customHeight="1" x14ac:dyDescent="0.2">
      <c r="A261" s="239"/>
      <c r="B261" s="242"/>
      <c r="C261" s="98"/>
      <c r="D261" s="58"/>
      <c r="E261" s="58"/>
      <c r="F261" s="58" t="str">
        <f>IF(AND(C261=""),"",1-C261)</f>
        <v/>
      </c>
      <c r="G261" s="58"/>
      <c r="H261" s="58"/>
      <c r="I261" s="58" t="str">
        <f t="shared" ref="I261:I270" si="56">IF(AND(C261=""),"",G261*C261)</f>
        <v/>
      </c>
      <c r="J261" s="58" t="str">
        <f>IF(AND(C261=""),"",H261*F261)</f>
        <v/>
      </c>
      <c r="K261" s="58" t="str">
        <f t="shared" ref="K261:K270" si="57">IF(AND(I261=""),"",IF(AND(I261&gt;J261),"T1","T2"))</f>
        <v/>
      </c>
      <c r="L261" s="58" t="str">
        <f t="shared" ref="L261:L270" si="58">IF(AND(J261=""),"",IF(AND(J261&gt;K261),"T1","T2"))</f>
        <v/>
      </c>
      <c r="M261" s="61" t="str">
        <f t="shared" ref="M261:M270" si="59">IF(L261="","",IF(L261&lt;0.5,K$2*M$2,IF(L261&lt;0.75,K$2*M$3,IF(L261&lt;1,K$2*M$4,IF(L261&lt;1.25,K$2*M$5,IF(L261&lt;1.5,K$2*M$6,IF(L261&lt;2,K$2*M$7,IF(L261&lt;2.5,K$2*M$8,IF(L261="NO BET","NO BET",K$2*M$9)))))))))</f>
        <v/>
      </c>
      <c r="N261" s="246">
        <f>SUMIF(L261:L270,"&gt;0")</f>
        <v>0</v>
      </c>
      <c r="O261" s="88"/>
      <c r="P261" s="62"/>
      <c r="Q261" s="88"/>
      <c r="R261" s="63">
        <f>IF(OR(P261="",L261="NO BET"),0,IF(AND(K261=P261),IF(AND(K261="T2"),ROUNDUP(H261*M261*0.95,2)-M261,ROUNDUP(G261*M261*0.95,2)-M261),-M261))</f>
        <v>0</v>
      </c>
      <c r="S261" s="87"/>
      <c r="T261" s="237">
        <f>SUM(R261:R270)</f>
        <v>0</v>
      </c>
      <c r="U261" s="12"/>
    </row>
    <row r="262" spans="1:21" ht="15.75" customHeight="1" x14ac:dyDescent="0.2">
      <c r="A262" s="239"/>
      <c r="B262" s="242"/>
      <c r="C262" s="96"/>
      <c r="D262" s="65"/>
      <c r="E262" s="65"/>
      <c r="F262" s="65" t="str">
        <f t="shared" ref="F262:F270" si="60">IF(AND(C262=""),"",1-C262)</f>
        <v/>
      </c>
      <c r="G262" s="65"/>
      <c r="H262" s="65"/>
      <c r="I262" s="65" t="str">
        <f t="shared" si="56"/>
        <v/>
      </c>
      <c r="J262" s="65" t="str">
        <f t="shared" ref="J262:J270" si="61">IF(AND(C262=""),"",H262*F262)</f>
        <v/>
      </c>
      <c r="K262" s="65" t="str">
        <f t="shared" si="57"/>
        <v/>
      </c>
      <c r="L262" s="65" t="str">
        <f t="shared" si="58"/>
        <v/>
      </c>
      <c r="M262" s="68" t="str">
        <f t="shared" si="59"/>
        <v/>
      </c>
      <c r="N262" s="247"/>
      <c r="O262" s="12"/>
      <c r="P262" s="69"/>
      <c r="Q262" s="87"/>
      <c r="R262" s="70">
        <f t="shared" ref="R262:R269" si="62">IF(OR(P262="",L262="NO BET"),0,IF(AND(K262=P262),IF(AND(K262="T2"),ROUNDUP(H262*M262*0.95,2)-M262,ROUNDUP(G262*M262*0.95,2)-M262),-M262))</f>
        <v>0</v>
      </c>
      <c r="S262" s="87"/>
      <c r="T262" s="237"/>
      <c r="U262" s="12"/>
    </row>
    <row r="263" spans="1:21" ht="15.75" customHeight="1" x14ac:dyDescent="0.2">
      <c r="A263" s="239"/>
      <c r="B263" s="242"/>
      <c r="C263" s="95"/>
      <c r="D263" s="10"/>
      <c r="E263" s="10"/>
      <c r="F263" s="10" t="str">
        <f t="shared" si="60"/>
        <v/>
      </c>
      <c r="G263" s="10"/>
      <c r="H263" s="10"/>
      <c r="I263" s="10" t="str">
        <f t="shared" si="56"/>
        <v/>
      </c>
      <c r="J263" s="10" t="str">
        <f t="shared" si="61"/>
        <v/>
      </c>
      <c r="K263" s="10" t="str">
        <f t="shared" si="57"/>
        <v/>
      </c>
      <c r="L263" s="10" t="str">
        <f t="shared" si="58"/>
        <v/>
      </c>
      <c r="M263" s="74" t="str">
        <f t="shared" si="59"/>
        <v/>
      </c>
      <c r="N263" s="247"/>
      <c r="O263" s="88"/>
      <c r="P263" s="69"/>
      <c r="Q263" s="87"/>
      <c r="R263" s="70">
        <f t="shared" si="62"/>
        <v>0</v>
      </c>
      <c r="S263" s="87"/>
      <c r="T263" s="237"/>
      <c r="U263" s="12"/>
    </row>
    <row r="264" spans="1:21" ht="15.75" customHeight="1" x14ac:dyDescent="0.2">
      <c r="A264" s="239"/>
      <c r="B264" s="242"/>
      <c r="C264" s="96"/>
      <c r="D264" s="65"/>
      <c r="E264" s="65"/>
      <c r="F264" s="65" t="str">
        <f t="shared" si="60"/>
        <v/>
      </c>
      <c r="G264" s="65"/>
      <c r="H264" s="65"/>
      <c r="I264" s="65" t="str">
        <f t="shared" si="56"/>
        <v/>
      </c>
      <c r="J264" s="65" t="str">
        <f t="shared" si="61"/>
        <v/>
      </c>
      <c r="K264" s="65" t="str">
        <f t="shared" si="57"/>
        <v/>
      </c>
      <c r="L264" s="65" t="str">
        <f t="shared" si="58"/>
        <v/>
      </c>
      <c r="M264" s="68" t="str">
        <f t="shared" si="59"/>
        <v/>
      </c>
      <c r="N264" s="247"/>
      <c r="O264" s="92"/>
      <c r="P264" s="69"/>
      <c r="Q264" s="87"/>
      <c r="R264" s="70">
        <f t="shared" si="62"/>
        <v>0</v>
      </c>
      <c r="S264" s="87"/>
      <c r="T264" s="237"/>
      <c r="U264" s="12"/>
    </row>
    <row r="265" spans="1:21" ht="15.75" customHeight="1" x14ac:dyDescent="0.2">
      <c r="A265" s="239"/>
      <c r="B265" s="242"/>
      <c r="C265" s="95"/>
      <c r="D265" s="10"/>
      <c r="E265" s="10"/>
      <c r="F265" s="10" t="str">
        <f t="shared" si="60"/>
        <v/>
      </c>
      <c r="G265" s="10"/>
      <c r="H265" s="10"/>
      <c r="I265" s="10" t="str">
        <f t="shared" si="56"/>
        <v/>
      </c>
      <c r="J265" s="10" t="str">
        <f t="shared" si="61"/>
        <v/>
      </c>
      <c r="K265" s="10" t="str">
        <f t="shared" si="57"/>
        <v/>
      </c>
      <c r="L265" s="10" t="str">
        <f t="shared" si="58"/>
        <v/>
      </c>
      <c r="M265" s="75" t="str">
        <f t="shared" si="59"/>
        <v/>
      </c>
      <c r="N265" s="247"/>
      <c r="O265" s="92"/>
      <c r="P265" s="69"/>
      <c r="Q265" s="87"/>
      <c r="R265" s="70">
        <f t="shared" si="62"/>
        <v>0</v>
      </c>
      <c r="S265" s="87"/>
      <c r="T265" s="237"/>
      <c r="U265" s="12"/>
    </row>
    <row r="266" spans="1:21" ht="15.75" customHeight="1" x14ac:dyDescent="0.2">
      <c r="A266" s="239"/>
      <c r="B266" s="242"/>
      <c r="C266" s="96"/>
      <c r="D266" s="65"/>
      <c r="E266" s="65"/>
      <c r="F266" s="65" t="str">
        <f t="shared" si="60"/>
        <v/>
      </c>
      <c r="G266" s="65"/>
      <c r="H266" s="65"/>
      <c r="I266" s="65" t="str">
        <f t="shared" si="56"/>
        <v/>
      </c>
      <c r="J266" s="65" t="str">
        <f t="shared" si="61"/>
        <v/>
      </c>
      <c r="K266" s="65" t="str">
        <f t="shared" si="57"/>
        <v/>
      </c>
      <c r="L266" s="65" t="str">
        <f t="shared" si="58"/>
        <v/>
      </c>
      <c r="M266" s="68" t="str">
        <f t="shared" si="59"/>
        <v/>
      </c>
      <c r="N266" s="247"/>
      <c r="O266" s="92"/>
      <c r="P266" s="69"/>
      <c r="Q266" s="87"/>
      <c r="R266" s="70">
        <f t="shared" si="62"/>
        <v>0</v>
      </c>
      <c r="S266" s="87"/>
      <c r="T266" s="237"/>
      <c r="U266" s="12"/>
    </row>
    <row r="267" spans="1:21" ht="16.5" thickBot="1" x14ac:dyDescent="0.25">
      <c r="A267" s="239"/>
      <c r="B267" s="242"/>
      <c r="C267" s="95"/>
      <c r="D267" s="10"/>
      <c r="E267" s="10"/>
      <c r="F267" s="10" t="str">
        <f t="shared" si="60"/>
        <v/>
      </c>
      <c r="G267" s="10"/>
      <c r="H267" s="10"/>
      <c r="I267" s="10" t="str">
        <f t="shared" si="56"/>
        <v/>
      </c>
      <c r="J267" s="10" t="str">
        <f t="shared" si="61"/>
        <v/>
      </c>
      <c r="K267" s="10" t="str">
        <f t="shared" si="57"/>
        <v/>
      </c>
      <c r="L267" s="10" t="str">
        <f t="shared" si="58"/>
        <v/>
      </c>
      <c r="M267" s="74" t="str">
        <f t="shared" si="59"/>
        <v/>
      </c>
      <c r="N267" s="247"/>
      <c r="O267" s="12"/>
      <c r="P267" s="69"/>
      <c r="Q267" s="87"/>
      <c r="R267" s="70">
        <f t="shared" si="62"/>
        <v>0</v>
      </c>
      <c r="S267" s="87"/>
      <c r="T267" s="76" t="s">
        <v>31</v>
      </c>
      <c r="U267" s="12"/>
    </row>
    <row r="268" spans="1:21" x14ac:dyDescent="0.2">
      <c r="A268" s="239"/>
      <c r="B268" s="242"/>
      <c r="C268" s="96"/>
      <c r="D268" s="65"/>
      <c r="E268" s="65"/>
      <c r="F268" s="65" t="str">
        <f t="shared" si="60"/>
        <v/>
      </c>
      <c r="G268" s="65"/>
      <c r="H268" s="65"/>
      <c r="I268" s="65" t="str">
        <f t="shared" si="56"/>
        <v/>
      </c>
      <c r="J268" s="65" t="str">
        <f t="shared" si="61"/>
        <v/>
      </c>
      <c r="K268" s="65" t="str">
        <f t="shared" si="57"/>
        <v/>
      </c>
      <c r="L268" s="65" t="str">
        <f t="shared" si="58"/>
        <v/>
      </c>
      <c r="M268" s="77" t="str">
        <f t="shared" si="59"/>
        <v/>
      </c>
      <c r="N268" s="247"/>
      <c r="O268" s="12"/>
      <c r="P268" s="69"/>
      <c r="Q268" s="87"/>
      <c r="R268" s="70">
        <f t="shared" si="62"/>
        <v>0</v>
      </c>
      <c r="S268" s="87"/>
      <c r="T268" s="249">
        <f>IF(AND(NOT(N261=0)),T261/N261,0)</f>
        <v>0</v>
      </c>
      <c r="U268" s="12"/>
    </row>
    <row r="269" spans="1:21" x14ac:dyDescent="0.2">
      <c r="A269" s="239"/>
      <c r="B269" s="242"/>
      <c r="C269" s="95"/>
      <c r="D269" s="10"/>
      <c r="E269" s="10"/>
      <c r="F269" s="10" t="str">
        <f t="shared" si="60"/>
        <v/>
      </c>
      <c r="G269" s="10"/>
      <c r="H269" s="10"/>
      <c r="I269" s="10" t="str">
        <f t="shared" si="56"/>
        <v/>
      </c>
      <c r="J269" s="10" t="str">
        <f t="shared" si="61"/>
        <v/>
      </c>
      <c r="K269" s="10" t="str">
        <f t="shared" si="57"/>
        <v/>
      </c>
      <c r="L269" s="10" t="str">
        <f t="shared" si="58"/>
        <v/>
      </c>
      <c r="M269" s="75" t="str">
        <f t="shared" si="59"/>
        <v/>
      </c>
      <c r="N269" s="247"/>
      <c r="O269" s="12"/>
      <c r="P269" s="69"/>
      <c r="Q269" s="87"/>
      <c r="R269" s="70">
        <f t="shared" si="62"/>
        <v>0</v>
      </c>
      <c r="S269" s="87"/>
      <c r="T269" s="250"/>
      <c r="U269" s="12"/>
    </row>
    <row r="270" spans="1:21" ht="15.75" thickBot="1" x14ac:dyDescent="0.25">
      <c r="A270" s="240"/>
      <c r="B270" s="243"/>
      <c r="C270" s="97"/>
      <c r="D270" s="80"/>
      <c r="E270" s="80"/>
      <c r="F270" s="80" t="str">
        <f t="shared" si="60"/>
        <v/>
      </c>
      <c r="G270" s="80"/>
      <c r="H270" s="80"/>
      <c r="I270" s="80" t="str">
        <f t="shared" si="56"/>
        <v/>
      </c>
      <c r="J270" s="80" t="str">
        <f t="shared" si="61"/>
        <v/>
      </c>
      <c r="K270" s="80" t="str">
        <f t="shared" si="57"/>
        <v/>
      </c>
      <c r="L270" s="80" t="str">
        <f t="shared" si="58"/>
        <v/>
      </c>
      <c r="M270" s="83" t="str">
        <f t="shared" si="59"/>
        <v/>
      </c>
      <c r="N270" s="248"/>
      <c r="O270" s="12"/>
      <c r="P270" s="84"/>
      <c r="Q270" s="12"/>
      <c r="R270" s="85">
        <f>IF(OR(P270="",L270="NO BET"),0,IF(AND(K270=P270),IF(AND(K270="T2"),ROUNDUP(H270*M270*0.95,2)-M270,ROUNDUP(G270*M270*0.95,2)-M270),-M270))</f>
        <v>0</v>
      </c>
      <c r="S270" s="12"/>
      <c r="T270" s="251"/>
      <c r="U270" s="12"/>
    </row>
    <row r="271" spans="1:21" x14ac:dyDescent="0.2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3"/>
      <c r="S271" s="12"/>
      <c r="T271" s="14"/>
      <c r="U271" s="12"/>
    </row>
    <row r="272" spans="1:21" x14ac:dyDescent="0.2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3"/>
      <c r="S272" s="12"/>
      <c r="T272" s="14"/>
      <c r="U272" s="12"/>
    </row>
    <row r="273" spans="1:21" ht="15.75" thickBot="1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3"/>
      <c r="S273" s="12"/>
      <c r="T273" s="14"/>
      <c r="U273" s="12"/>
    </row>
    <row r="274" spans="1:21" ht="19.5" customHeight="1" thickBot="1" x14ac:dyDescent="0.3">
      <c r="A274" s="238" t="s">
        <v>5</v>
      </c>
      <c r="B274" s="241" t="s">
        <v>28</v>
      </c>
      <c r="C274" s="51"/>
      <c r="D274" s="51" t="s">
        <v>9</v>
      </c>
      <c r="E274" s="51" t="s">
        <v>10</v>
      </c>
      <c r="F274" s="51" t="s">
        <v>11</v>
      </c>
      <c r="G274" s="51" t="s">
        <v>12</v>
      </c>
      <c r="H274" s="51" t="s">
        <v>13</v>
      </c>
      <c r="I274" s="51" t="s">
        <v>14</v>
      </c>
      <c r="J274" s="51" t="s">
        <v>15</v>
      </c>
      <c r="K274" s="51" t="s">
        <v>33</v>
      </c>
      <c r="L274" s="51" t="s">
        <v>16</v>
      </c>
      <c r="M274" s="51" t="s">
        <v>38</v>
      </c>
      <c r="N274" s="52" t="s">
        <v>17</v>
      </c>
      <c r="O274" s="88"/>
      <c r="P274" s="53" t="s">
        <v>18</v>
      </c>
      <c r="Q274" s="87"/>
      <c r="R274" s="54" t="s">
        <v>34</v>
      </c>
      <c r="S274" s="87"/>
      <c r="T274" s="56" t="s">
        <v>29</v>
      </c>
      <c r="U274" s="12"/>
    </row>
    <row r="275" spans="1:21" ht="15.75" customHeight="1" x14ac:dyDescent="0.2">
      <c r="A275" s="239"/>
      <c r="B275" s="242"/>
      <c r="C275" s="98"/>
      <c r="D275" s="58"/>
      <c r="E275" s="58"/>
      <c r="F275" s="58" t="str">
        <f>IF(AND(C275=""),"",1-C275)</f>
        <v/>
      </c>
      <c r="G275" s="58"/>
      <c r="H275" s="58"/>
      <c r="I275" s="58" t="str">
        <f t="shared" ref="I275:I284" si="63">IF(AND(C275=""),"",G275*C275)</f>
        <v/>
      </c>
      <c r="J275" s="58" t="str">
        <f>IF(AND(C275=""),"",H275*F275)</f>
        <v/>
      </c>
      <c r="K275" s="58" t="str">
        <f t="shared" ref="K275:K284" si="64">IF(AND(I275=""),"",IF(AND(I275&gt;J275),"T1","T2"))</f>
        <v/>
      </c>
      <c r="L275" s="58" t="str">
        <f t="shared" ref="L275:L284" si="65">IF(AND(J275=""),"",IF(AND(J275&gt;K275),"T1","T2"))</f>
        <v/>
      </c>
      <c r="M275" s="61" t="str">
        <f t="shared" ref="M275:M284" si="66">IF(L275="","",IF(L275&lt;0.5,K$2*M$2,IF(L275&lt;0.75,K$2*M$3,IF(L275&lt;1,K$2*M$4,IF(L275&lt;1.25,K$2*M$5,IF(L275&lt;1.5,K$2*M$6,IF(L275&lt;2,K$2*M$7,IF(L275&lt;2.5,K$2*M$8,IF(L275="NO BET","NO BET",K$2*M$9)))))))))</f>
        <v/>
      </c>
      <c r="N275" s="246">
        <f>SUMIF(L275:L284,"&gt;0")</f>
        <v>0</v>
      </c>
      <c r="O275" s="88"/>
      <c r="P275" s="62"/>
      <c r="Q275" s="88"/>
      <c r="R275" s="63">
        <f>IF(OR(P275="",L275="NO BET"),0,IF(AND(K275=P275),IF(AND(K275="T2"),ROUNDUP(H275*M275*0.95,2)-M275,ROUNDUP(G275*M275*0.95,2)-M275),-M275))</f>
        <v>0</v>
      </c>
      <c r="S275" s="87"/>
      <c r="T275" s="237">
        <f>SUM(R275:R284)</f>
        <v>0</v>
      </c>
      <c r="U275" s="12"/>
    </row>
    <row r="276" spans="1:21" ht="15.75" customHeight="1" x14ac:dyDescent="0.2">
      <c r="A276" s="239"/>
      <c r="B276" s="242"/>
      <c r="C276" s="96"/>
      <c r="D276" s="65"/>
      <c r="E276" s="65"/>
      <c r="F276" s="65" t="str">
        <f t="shared" ref="F276:F284" si="67">IF(AND(C276=""),"",1-C276)</f>
        <v/>
      </c>
      <c r="G276" s="65"/>
      <c r="H276" s="65"/>
      <c r="I276" s="65" t="str">
        <f t="shared" si="63"/>
        <v/>
      </c>
      <c r="J276" s="65" t="str">
        <f t="shared" ref="J276:J284" si="68">IF(AND(C276=""),"",H276*F276)</f>
        <v/>
      </c>
      <c r="K276" s="65" t="str">
        <f t="shared" si="64"/>
        <v/>
      </c>
      <c r="L276" s="65" t="str">
        <f t="shared" si="65"/>
        <v/>
      </c>
      <c r="M276" s="68" t="str">
        <f t="shared" si="66"/>
        <v/>
      </c>
      <c r="N276" s="247"/>
      <c r="O276" s="12"/>
      <c r="P276" s="69"/>
      <c r="Q276" s="87"/>
      <c r="R276" s="70">
        <f t="shared" ref="R276:R283" si="69">IF(OR(P276="",L276="NO BET"),0,IF(AND(K276=P276),IF(AND(K276="T2"),ROUNDUP(H276*M276*0.95,2)-M276,ROUNDUP(G276*M276*0.95,2)-M276),-M276))</f>
        <v>0</v>
      </c>
      <c r="S276" s="87"/>
      <c r="T276" s="237"/>
      <c r="U276" s="12"/>
    </row>
    <row r="277" spans="1:21" ht="15.75" customHeight="1" x14ac:dyDescent="0.2">
      <c r="A277" s="239"/>
      <c r="B277" s="242"/>
      <c r="C277" s="95"/>
      <c r="D277" s="10"/>
      <c r="E277" s="10"/>
      <c r="F277" s="10" t="str">
        <f t="shared" si="67"/>
        <v/>
      </c>
      <c r="G277" s="10"/>
      <c r="H277" s="10"/>
      <c r="I277" s="10" t="str">
        <f t="shared" si="63"/>
        <v/>
      </c>
      <c r="J277" s="10" t="str">
        <f t="shared" si="68"/>
        <v/>
      </c>
      <c r="K277" s="10" t="str">
        <f t="shared" si="64"/>
        <v/>
      </c>
      <c r="L277" s="10" t="str">
        <f t="shared" si="65"/>
        <v/>
      </c>
      <c r="M277" s="74" t="str">
        <f t="shared" si="66"/>
        <v/>
      </c>
      <c r="N277" s="247"/>
      <c r="O277" s="88"/>
      <c r="P277" s="69"/>
      <c r="Q277" s="87"/>
      <c r="R277" s="70">
        <f t="shared" si="69"/>
        <v>0</v>
      </c>
      <c r="S277" s="87"/>
      <c r="T277" s="237"/>
      <c r="U277" s="12"/>
    </row>
    <row r="278" spans="1:21" ht="15.75" customHeight="1" x14ac:dyDescent="0.2">
      <c r="A278" s="239"/>
      <c r="B278" s="242"/>
      <c r="C278" s="96"/>
      <c r="D278" s="65"/>
      <c r="E278" s="65"/>
      <c r="F278" s="65" t="str">
        <f t="shared" si="67"/>
        <v/>
      </c>
      <c r="G278" s="65"/>
      <c r="H278" s="65"/>
      <c r="I278" s="65" t="str">
        <f t="shared" si="63"/>
        <v/>
      </c>
      <c r="J278" s="65" t="str">
        <f t="shared" si="68"/>
        <v/>
      </c>
      <c r="K278" s="65" t="str">
        <f t="shared" si="64"/>
        <v/>
      </c>
      <c r="L278" s="65" t="str">
        <f t="shared" si="65"/>
        <v/>
      </c>
      <c r="M278" s="68" t="str">
        <f t="shared" si="66"/>
        <v/>
      </c>
      <c r="N278" s="247"/>
      <c r="O278" s="92"/>
      <c r="P278" s="69"/>
      <c r="Q278" s="87"/>
      <c r="R278" s="70">
        <f t="shared" si="69"/>
        <v>0</v>
      </c>
      <c r="S278" s="87"/>
      <c r="T278" s="237"/>
      <c r="U278" s="12"/>
    </row>
    <row r="279" spans="1:21" ht="15.75" customHeight="1" x14ac:dyDescent="0.2">
      <c r="A279" s="239"/>
      <c r="B279" s="242"/>
      <c r="C279" s="95"/>
      <c r="D279" s="10"/>
      <c r="E279" s="10"/>
      <c r="F279" s="10" t="str">
        <f t="shared" si="67"/>
        <v/>
      </c>
      <c r="G279" s="10"/>
      <c r="H279" s="10"/>
      <c r="I279" s="10" t="str">
        <f t="shared" si="63"/>
        <v/>
      </c>
      <c r="J279" s="10" t="str">
        <f t="shared" si="68"/>
        <v/>
      </c>
      <c r="K279" s="10" t="str">
        <f t="shared" si="64"/>
        <v/>
      </c>
      <c r="L279" s="10" t="str">
        <f t="shared" si="65"/>
        <v/>
      </c>
      <c r="M279" s="75" t="str">
        <f t="shared" si="66"/>
        <v/>
      </c>
      <c r="N279" s="247"/>
      <c r="O279" s="92"/>
      <c r="P279" s="69"/>
      <c r="Q279" s="87"/>
      <c r="R279" s="70">
        <f t="shared" si="69"/>
        <v>0</v>
      </c>
      <c r="S279" s="87"/>
      <c r="T279" s="237"/>
      <c r="U279" s="12"/>
    </row>
    <row r="280" spans="1:21" ht="15.75" customHeight="1" x14ac:dyDescent="0.2">
      <c r="A280" s="239"/>
      <c r="B280" s="242"/>
      <c r="C280" s="96"/>
      <c r="D280" s="65"/>
      <c r="E280" s="65"/>
      <c r="F280" s="65" t="str">
        <f t="shared" si="67"/>
        <v/>
      </c>
      <c r="G280" s="65"/>
      <c r="H280" s="65"/>
      <c r="I280" s="65" t="str">
        <f t="shared" si="63"/>
        <v/>
      </c>
      <c r="J280" s="65" t="str">
        <f t="shared" si="68"/>
        <v/>
      </c>
      <c r="K280" s="65" t="str">
        <f t="shared" si="64"/>
        <v/>
      </c>
      <c r="L280" s="65" t="str">
        <f t="shared" si="65"/>
        <v/>
      </c>
      <c r="M280" s="68" t="str">
        <f t="shared" si="66"/>
        <v/>
      </c>
      <c r="N280" s="247"/>
      <c r="O280" s="92"/>
      <c r="P280" s="69"/>
      <c r="Q280" s="87"/>
      <c r="R280" s="70">
        <f t="shared" si="69"/>
        <v>0</v>
      </c>
      <c r="S280" s="87"/>
      <c r="T280" s="237"/>
      <c r="U280" s="12"/>
    </row>
    <row r="281" spans="1:21" ht="16.5" thickBot="1" x14ac:dyDescent="0.25">
      <c r="A281" s="239"/>
      <c r="B281" s="242"/>
      <c r="C281" s="95"/>
      <c r="D281" s="10"/>
      <c r="E281" s="10"/>
      <c r="F281" s="10" t="str">
        <f t="shared" si="67"/>
        <v/>
      </c>
      <c r="G281" s="10"/>
      <c r="H281" s="10"/>
      <c r="I281" s="10" t="str">
        <f t="shared" si="63"/>
        <v/>
      </c>
      <c r="J281" s="10" t="str">
        <f t="shared" si="68"/>
        <v/>
      </c>
      <c r="K281" s="10" t="str">
        <f t="shared" si="64"/>
        <v/>
      </c>
      <c r="L281" s="10" t="str">
        <f t="shared" si="65"/>
        <v/>
      </c>
      <c r="M281" s="74" t="str">
        <f t="shared" si="66"/>
        <v/>
      </c>
      <c r="N281" s="247"/>
      <c r="O281" s="12"/>
      <c r="P281" s="69"/>
      <c r="Q281" s="87"/>
      <c r="R281" s="70">
        <f t="shared" si="69"/>
        <v>0</v>
      </c>
      <c r="S281" s="87"/>
      <c r="T281" s="76" t="s">
        <v>31</v>
      </c>
      <c r="U281" s="12"/>
    </row>
    <row r="282" spans="1:21" x14ac:dyDescent="0.2">
      <c r="A282" s="239"/>
      <c r="B282" s="242"/>
      <c r="C282" s="96"/>
      <c r="D282" s="65"/>
      <c r="E282" s="65"/>
      <c r="F282" s="65" t="str">
        <f t="shared" si="67"/>
        <v/>
      </c>
      <c r="G282" s="65"/>
      <c r="H282" s="65"/>
      <c r="I282" s="65" t="str">
        <f t="shared" si="63"/>
        <v/>
      </c>
      <c r="J282" s="65" t="str">
        <f t="shared" si="68"/>
        <v/>
      </c>
      <c r="K282" s="65" t="str">
        <f t="shared" si="64"/>
        <v/>
      </c>
      <c r="L282" s="65" t="str">
        <f t="shared" si="65"/>
        <v/>
      </c>
      <c r="M282" s="77" t="str">
        <f t="shared" si="66"/>
        <v/>
      </c>
      <c r="N282" s="247"/>
      <c r="O282" s="12"/>
      <c r="P282" s="69"/>
      <c r="Q282" s="87"/>
      <c r="R282" s="70">
        <f t="shared" si="69"/>
        <v>0</v>
      </c>
      <c r="S282" s="87"/>
      <c r="T282" s="249">
        <f>IF(AND(NOT(N275=0)),T275/N275,0)</f>
        <v>0</v>
      </c>
      <c r="U282" s="12"/>
    </row>
    <row r="283" spans="1:21" x14ac:dyDescent="0.2">
      <c r="A283" s="239"/>
      <c r="B283" s="242"/>
      <c r="C283" s="95"/>
      <c r="D283" s="10"/>
      <c r="E283" s="10"/>
      <c r="F283" s="10" t="str">
        <f t="shared" si="67"/>
        <v/>
      </c>
      <c r="G283" s="10"/>
      <c r="H283" s="10"/>
      <c r="I283" s="10" t="str">
        <f t="shared" si="63"/>
        <v/>
      </c>
      <c r="J283" s="10" t="str">
        <f t="shared" si="68"/>
        <v/>
      </c>
      <c r="K283" s="10" t="str">
        <f t="shared" si="64"/>
        <v/>
      </c>
      <c r="L283" s="10" t="str">
        <f t="shared" si="65"/>
        <v/>
      </c>
      <c r="M283" s="75" t="str">
        <f t="shared" si="66"/>
        <v/>
      </c>
      <c r="N283" s="247"/>
      <c r="O283" s="12"/>
      <c r="P283" s="69"/>
      <c r="Q283" s="87"/>
      <c r="R283" s="70">
        <f t="shared" si="69"/>
        <v>0</v>
      </c>
      <c r="S283" s="87"/>
      <c r="T283" s="250"/>
      <c r="U283" s="12"/>
    </row>
    <row r="284" spans="1:21" ht="15.75" thickBot="1" x14ac:dyDescent="0.25">
      <c r="A284" s="240"/>
      <c r="B284" s="243"/>
      <c r="C284" s="97"/>
      <c r="D284" s="80"/>
      <c r="E284" s="80"/>
      <c r="F284" s="80" t="str">
        <f t="shared" si="67"/>
        <v/>
      </c>
      <c r="G284" s="80"/>
      <c r="H284" s="80"/>
      <c r="I284" s="80" t="str">
        <f t="shared" si="63"/>
        <v/>
      </c>
      <c r="J284" s="80" t="str">
        <f t="shared" si="68"/>
        <v/>
      </c>
      <c r="K284" s="80" t="str">
        <f t="shared" si="64"/>
        <v/>
      </c>
      <c r="L284" s="80" t="str">
        <f t="shared" si="65"/>
        <v/>
      </c>
      <c r="M284" s="83" t="str">
        <f t="shared" si="66"/>
        <v/>
      </c>
      <c r="N284" s="248"/>
      <c r="O284" s="12"/>
      <c r="P284" s="84"/>
      <c r="Q284" s="12"/>
      <c r="R284" s="85">
        <f>IF(OR(P284="",L284="NO BET"),0,IF(AND(K284=P284),IF(AND(K284="T2"),ROUNDUP(H284*M284*0.95,2)-M284,ROUNDUP(G284*M284*0.95,2)-M284),-M284))</f>
        <v>0</v>
      </c>
      <c r="S284" s="12"/>
      <c r="T284" s="251"/>
      <c r="U284" s="12"/>
    </row>
    <row r="285" spans="1:21" x14ac:dyDescent="0.2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3"/>
      <c r="S285" s="12"/>
      <c r="T285" s="14"/>
      <c r="U285" s="12"/>
    </row>
    <row r="286" spans="1:21" x14ac:dyDescent="0.2">
      <c r="A286" s="99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9"/>
      <c r="O286" s="99"/>
      <c r="P286" s="99"/>
      <c r="Q286" s="99"/>
      <c r="R286" s="100"/>
      <c r="S286" s="99"/>
      <c r="T286" s="101"/>
      <c r="U286" s="12"/>
    </row>
    <row r="287" spans="1:21" x14ac:dyDescent="0.2">
      <c r="A287" s="99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9"/>
      <c r="O287" s="99"/>
      <c r="P287" s="99"/>
      <c r="Q287" s="99"/>
      <c r="R287" s="100"/>
      <c r="S287" s="99"/>
      <c r="T287" s="101"/>
      <c r="U287" s="12"/>
    </row>
    <row r="288" spans="1:21" x14ac:dyDescent="0.2">
      <c r="A288" s="99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L288" s="99"/>
      <c r="M288" s="99"/>
      <c r="N288" s="99"/>
      <c r="O288" s="99"/>
      <c r="P288" s="99"/>
      <c r="Q288" s="99"/>
      <c r="R288" s="100"/>
      <c r="S288" s="99"/>
      <c r="T288" s="101"/>
      <c r="U288" s="12"/>
    </row>
    <row r="289" spans="1:21" x14ac:dyDescent="0.2">
      <c r="A289" s="99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L289" s="99"/>
      <c r="M289" s="99"/>
      <c r="N289" s="99"/>
      <c r="O289" s="99"/>
      <c r="P289" s="99"/>
      <c r="Q289" s="99"/>
      <c r="R289" s="100"/>
      <c r="S289" s="99"/>
      <c r="T289" s="101"/>
      <c r="U289" s="12"/>
    </row>
    <row r="290" spans="1:21" x14ac:dyDescent="0.2">
      <c r="A290" s="99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99"/>
      <c r="O290" s="99"/>
      <c r="P290" s="99"/>
      <c r="Q290" s="99"/>
      <c r="R290" s="100"/>
      <c r="S290" s="99"/>
      <c r="T290" s="101"/>
      <c r="U290" s="12"/>
    </row>
    <row r="291" spans="1:21" x14ac:dyDescent="0.2">
      <c r="A291" s="99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99"/>
      <c r="O291" s="99"/>
      <c r="P291" s="99"/>
      <c r="Q291" s="99"/>
      <c r="R291" s="100"/>
      <c r="S291" s="99"/>
      <c r="T291" s="101"/>
      <c r="U291" s="12"/>
    </row>
    <row r="292" spans="1:21" x14ac:dyDescent="0.2">
      <c r="A292" s="99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99"/>
      <c r="O292" s="99"/>
      <c r="P292" s="99"/>
      <c r="Q292" s="99"/>
      <c r="R292" s="100"/>
      <c r="S292" s="99"/>
      <c r="T292" s="101"/>
      <c r="U292" s="12"/>
    </row>
    <row r="293" spans="1:21" x14ac:dyDescent="0.2">
      <c r="A293" s="99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99"/>
      <c r="O293" s="99"/>
      <c r="P293" s="99"/>
      <c r="Q293" s="99"/>
      <c r="R293" s="100"/>
      <c r="S293" s="99"/>
      <c r="T293" s="101"/>
      <c r="U293" s="12"/>
    </row>
    <row r="294" spans="1:21" x14ac:dyDescent="0.2">
      <c r="A294" s="99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9"/>
      <c r="O294" s="99"/>
      <c r="P294" s="99"/>
      <c r="Q294" s="99"/>
      <c r="R294" s="100"/>
      <c r="S294" s="99"/>
      <c r="T294" s="101"/>
      <c r="U294" s="12"/>
    </row>
    <row r="295" spans="1:21" x14ac:dyDescent="0.2">
      <c r="A295" s="99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9"/>
      <c r="O295" s="99"/>
      <c r="P295" s="99"/>
      <c r="Q295" s="99"/>
      <c r="R295" s="100"/>
      <c r="S295" s="99"/>
      <c r="T295" s="101"/>
      <c r="U295" s="12"/>
    </row>
    <row r="296" spans="1:21" x14ac:dyDescent="0.2">
      <c r="A296" s="99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L296" s="99"/>
      <c r="M296" s="99"/>
      <c r="N296" s="99"/>
      <c r="O296" s="99"/>
      <c r="P296" s="99"/>
      <c r="Q296" s="99"/>
      <c r="R296" s="100"/>
      <c r="S296" s="99"/>
      <c r="T296" s="101"/>
      <c r="U296" s="12"/>
    </row>
    <row r="297" spans="1:21" x14ac:dyDescent="0.2">
      <c r="A297" s="99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99"/>
      <c r="O297" s="99"/>
      <c r="P297" s="99"/>
      <c r="Q297" s="99"/>
      <c r="R297" s="100"/>
      <c r="S297" s="99"/>
      <c r="T297" s="101"/>
      <c r="U297" s="12"/>
    </row>
    <row r="298" spans="1:21" x14ac:dyDescent="0.2">
      <c r="A298" s="99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99"/>
      <c r="O298" s="99"/>
      <c r="P298" s="99"/>
      <c r="Q298" s="99"/>
      <c r="R298" s="100"/>
      <c r="S298" s="99"/>
      <c r="T298" s="101"/>
      <c r="U298" s="12"/>
    </row>
    <row r="299" spans="1:21" x14ac:dyDescent="0.2">
      <c r="A299" s="99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L299" s="99"/>
      <c r="M299" s="99"/>
      <c r="N299" s="99"/>
      <c r="O299" s="99"/>
      <c r="P299" s="99"/>
      <c r="Q299" s="99"/>
      <c r="R299" s="100"/>
      <c r="S299" s="99"/>
      <c r="T299" s="101"/>
      <c r="U299" s="12"/>
    </row>
    <row r="300" spans="1:21" x14ac:dyDescent="0.2">
      <c r="A300" s="99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L300" s="99"/>
      <c r="M300" s="99"/>
      <c r="N300" s="99"/>
      <c r="O300" s="99"/>
      <c r="P300" s="99"/>
      <c r="Q300" s="99"/>
      <c r="R300" s="100"/>
      <c r="S300" s="99"/>
      <c r="T300" s="101"/>
      <c r="U300" s="12"/>
    </row>
    <row r="301" spans="1:21" x14ac:dyDescent="0.2">
      <c r="A301" s="99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L301" s="99"/>
      <c r="M301" s="99"/>
      <c r="N301" s="99"/>
      <c r="O301" s="99"/>
      <c r="P301" s="99"/>
      <c r="Q301" s="99"/>
      <c r="R301" s="100"/>
      <c r="S301" s="99"/>
      <c r="T301" s="101"/>
      <c r="U301" s="12"/>
    </row>
    <row r="302" spans="1:21" x14ac:dyDescent="0.2">
      <c r="A302" s="99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L302" s="99"/>
      <c r="M302" s="99"/>
      <c r="N302" s="99"/>
      <c r="O302" s="99"/>
      <c r="P302" s="99"/>
      <c r="Q302" s="99"/>
      <c r="R302" s="100"/>
      <c r="S302" s="99"/>
      <c r="T302" s="101"/>
      <c r="U302" s="12"/>
    </row>
    <row r="303" spans="1:21" ht="15.75" thickBot="1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87"/>
      <c r="R303" s="13"/>
      <c r="S303" s="87"/>
      <c r="T303" s="14"/>
      <c r="U303" s="12"/>
    </row>
    <row r="304" spans="1:21" ht="19.5" customHeight="1" thickBot="1" x14ac:dyDescent="0.3">
      <c r="A304" s="102" t="s">
        <v>6</v>
      </c>
      <c r="B304" s="241" t="s">
        <v>8</v>
      </c>
      <c r="C304" s="50" t="s">
        <v>39</v>
      </c>
      <c r="D304" s="51" t="s">
        <v>9</v>
      </c>
      <c r="E304" s="51" t="s">
        <v>10</v>
      </c>
      <c r="F304" s="51" t="s">
        <v>11</v>
      </c>
      <c r="G304" s="51" t="s">
        <v>12</v>
      </c>
      <c r="H304" s="51" t="s">
        <v>13</v>
      </c>
      <c r="I304" s="51" t="s">
        <v>14</v>
      </c>
      <c r="J304" s="51" t="s">
        <v>15</v>
      </c>
      <c r="K304" s="51" t="s">
        <v>33</v>
      </c>
      <c r="L304" s="51" t="s">
        <v>16</v>
      </c>
      <c r="M304" s="51" t="s">
        <v>38</v>
      </c>
      <c r="N304" s="52" t="s">
        <v>17</v>
      </c>
      <c r="P304" s="53" t="s">
        <v>18</v>
      </c>
      <c r="R304" s="54" t="s">
        <v>34</v>
      </c>
      <c r="S304" s="87"/>
      <c r="T304" s="56" t="s">
        <v>29</v>
      </c>
      <c r="U304" s="12"/>
    </row>
    <row r="305" spans="1:21" ht="18" customHeight="1" x14ac:dyDescent="0.2">
      <c r="A305" s="103"/>
      <c r="B305" s="242"/>
      <c r="C305" s="57">
        <v>0.5</v>
      </c>
      <c r="D305" s="58" t="s">
        <v>57</v>
      </c>
      <c r="E305" s="58" t="s">
        <v>66</v>
      </c>
      <c r="F305" s="58">
        <f>IF(AND(C305=""),"",1-C305)</f>
        <v>0.5</v>
      </c>
      <c r="G305" s="58">
        <v>1.8</v>
      </c>
      <c r="H305" s="58">
        <v>1.9</v>
      </c>
      <c r="I305" s="58">
        <f>IF(AND(C305=""),"",G305*C305)</f>
        <v>0.9</v>
      </c>
      <c r="J305" s="58">
        <f>IF(AND(C305=""),"",H305*F305)</f>
        <v>0.95</v>
      </c>
      <c r="K305" s="58" t="str">
        <f t="shared" ref="K305:K314" si="70">IF(AND(I305=""),"",IF(AND(I305&gt;J305),"T1","T2"))</f>
        <v>T2</v>
      </c>
      <c r="L305" s="58" t="str">
        <f t="shared" ref="L305:L314" si="71">IF(AND(K305=""),"",IF(AND((J305*0.95-1)&lt;0,(I305*0.95-1)&lt;0),"NO BET", IF(AND(K305="T1"),I305*0.95 - 1,J305*0.95 - 1)))</f>
        <v>NO BET</v>
      </c>
      <c r="M305" s="61" t="str">
        <f t="shared" ref="M305:M314" si="72">IF(L305="","",IF(L305&lt;0.5,K$2*M$2,IF(L305&lt;0.75,K$2*M$3,IF(L305&lt;1,K$2*M$4,IF(L305&lt;1.25,K$2*M$5,IF(L305&lt;1.5,K$2*M$6,IF(L305&lt;2,K$2*M$7,IF(L305&lt;2.5,K$2*M$8,IF(L305="NO BET","NO BET",K$2*M$9)))))))))</f>
        <v>NO BET</v>
      </c>
      <c r="N305" s="246">
        <f>SUMIF(L305:L314,"&gt;0")</f>
        <v>2.7754999999999992</v>
      </c>
      <c r="P305" s="62" t="s">
        <v>41</v>
      </c>
      <c r="R305" s="63">
        <f>IF(OR(P305="",L305="NO BET"),0,IF(AND(K305=P305),IF(AND(K305="T2"),ROUNDUP(H305*M305*0.95,2)-M305,ROUNDUP(G305*M305*0.95,2)-M305),-M305))</f>
        <v>0</v>
      </c>
      <c r="S305" s="87"/>
      <c r="T305" s="237">
        <f>SUM(R305:R314)</f>
        <v>42.439999999999969</v>
      </c>
      <c r="U305" s="12"/>
    </row>
    <row r="306" spans="1:21" ht="18" customHeight="1" x14ac:dyDescent="0.2">
      <c r="A306" s="254" t="s">
        <v>43</v>
      </c>
      <c r="B306" s="242"/>
      <c r="C306" s="64">
        <v>0.5</v>
      </c>
      <c r="D306" s="65" t="s">
        <v>78</v>
      </c>
      <c r="E306" s="65" t="s">
        <v>60</v>
      </c>
      <c r="F306" s="65">
        <f t="shared" ref="F306:F314" si="73">IF(AND(C306=""),"",1-C306)</f>
        <v>0.5</v>
      </c>
      <c r="G306" s="65">
        <v>1.5</v>
      </c>
      <c r="H306" s="65">
        <v>2.5</v>
      </c>
      <c r="I306" s="65">
        <f t="shared" ref="I306:I314" si="74">IF(AND(C306=""),"",G306*C306)</f>
        <v>0.75</v>
      </c>
      <c r="J306" s="65">
        <f t="shared" ref="J306:J314" si="75">IF(AND(C306=""),"",H306*F306)</f>
        <v>1.25</v>
      </c>
      <c r="K306" s="65" t="str">
        <f t="shared" si="70"/>
        <v>T2</v>
      </c>
      <c r="L306" s="65">
        <f t="shared" si="71"/>
        <v>0.1875</v>
      </c>
      <c r="M306" s="68">
        <f t="shared" si="72"/>
        <v>56.25</v>
      </c>
      <c r="N306" s="247"/>
      <c r="P306" s="69" t="s">
        <v>40</v>
      </c>
      <c r="R306" s="70">
        <f t="shared" ref="R306:R313" si="76">IF(OR(P306="",L306="NO BET"),0,IF(AND(K306=P306),IF(AND(K306="T2"),ROUNDUP(H306*M306*0.95,2)-M306,ROUNDUP(G306*M306*0.95,2)-M306),-M306))</f>
        <v>77.349999999999994</v>
      </c>
      <c r="S306" s="87"/>
      <c r="T306" s="237"/>
      <c r="U306" s="12"/>
    </row>
    <row r="307" spans="1:21" ht="18" customHeight="1" x14ac:dyDescent="0.2">
      <c r="A307" s="254"/>
      <c r="B307" s="242"/>
      <c r="C307" s="71">
        <v>0.5</v>
      </c>
      <c r="D307" s="10" t="s">
        <v>77</v>
      </c>
      <c r="E307" s="10" t="s">
        <v>59</v>
      </c>
      <c r="F307" s="10">
        <f t="shared" si="73"/>
        <v>0.5</v>
      </c>
      <c r="G307" s="10">
        <v>1.4</v>
      </c>
      <c r="H307" s="10">
        <v>2.75</v>
      </c>
      <c r="I307" s="10">
        <f t="shared" si="74"/>
        <v>0.7</v>
      </c>
      <c r="J307" s="10">
        <f t="shared" si="75"/>
        <v>1.375</v>
      </c>
      <c r="K307" s="10" t="str">
        <f t="shared" si="70"/>
        <v>T2</v>
      </c>
      <c r="L307" s="10">
        <f t="shared" si="71"/>
        <v>0.30624999999999991</v>
      </c>
      <c r="M307" s="74">
        <f t="shared" si="72"/>
        <v>56.25</v>
      </c>
      <c r="N307" s="247"/>
      <c r="P307" s="69" t="s">
        <v>40</v>
      </c>
      <c r="R307" s="70">
        <f t="shared" si="76"/>
        <v>90.70999999999998</v>
      </c>
      <c r="S307" s="87"/>
      <c r="T307" s="237"/>
      <c r="U307" s="12"/>
    </row>
    <row r="308" spans="1:21" ht="18" customHeight="1" x14ac:dyDescent="0.2">
      <c r="A308" s="254"/>
      <c r="B308" s="242"/>
      <c r="C308" s="64">
        <v>0.5</v>
      </c>
      <c r="D308" s="65" t="s">
        <v>69</v>
      </c>
      <c r="E308" s="65" t="s">
        <v>71</v>
      </c>
      <c r="F308" s="65">
        <f t="shared" si="73"/>
        <v>0.5</v>
      </c>
      <c r="G308" s="65">
        <v>2.5</v>
      </c>
      <c r="H308" s="65">
        <v>1.5</v>
      </c>
      <c r="I308" s="65">
        <f t="shared" si="74"/>
        <v>1.25</v>
      </c>
      <c r="J308" s="65">
        <f t="shared" si="75"/>
        <v>0.75</v>
      </c>
      <c r="K308" s="65" t="str">
        <f t="shared" si="70"/>
        <v>T1</v>
      </c>
      <c r="L308" s="65">
        <f t="shared" si="71"/>
        <v>0.1875</v>
      </c>
      <c r="M308" s="68">
        <f t="shared" si="72"/>
        <v>56.25</v>
      </c>
      <c r="N308" s="247"/>
      <c r="P308" s="69" t="s">
        <v>40</v>
      </c>
      <c r="R308" s="70">
        <f t="shared" si="76"/>
        <v>-56.25</v>
      </c>
      <c r="S308" s="87"/>
      <c r="T308" s="237"/>
      <c r="U308" s="12"/>
    </row>
    <row r="309" spans="1:21" ht="18" customHeight="1" x14ac:dyDescent="0.2">
      <c r="A309" s="254"/>
      <c r="B309" s="242"/>
      <c r="C309" s="71">
        <v>0.5</v>
      </c>
      <c r="D309" s="10" t="s">
        <v>55</v>
      </c>
      <c r="E309" s="10" t="s">
        <v>74</v>
      </c>
      <c r="F309" s="10">
        <f t="shared" si="73"/>
        <v>0.5</v>
      </c>
      <c r="G309" s="10">
        <v>1.4</v>
      </c>
      <c r="H309" s="10">
        <v>2.75</v>
      </c>
      <c r="I309" s="10">
        <f t="shared" si="74"/>
        <v>0.7</v>
      </c>
      <c r="J309" s="10">
        <f t="shared" si="75"/>
        <v>1.375</v>
      </c>
      <c r="K309" s="10" t="str">
        <f t="shared" si="70"/>
        <v>T2</v>
      </c>
      <c r="L309" s="10">
        <f t="shared" si="71"/>
        <v>0.30624999999999991</v>
      </c>
      <c r="M309" s="75">
        <f t="shared" si="72"/>
        <v>56.25</v>
      </c>
      <c r="N309" s="247"/>
      <c r="P309" s="69" t="s">
        <v>41</v>
      </c>
      <c r="R309" s="70">
        <f t="shared" si="76"/>
        <v>-56.25</v>
      </c>
      <c r="S309" s="87"/>
      <c r="T309" s="237"/>
      <c r="U309" s="12"/>
    </row>
    <row r="310" spans="1:21" ht="18" customHeight="1" x14ac:dyDescent="0.2">
      <c r="A310" s="254"/>
      <c r="B310" s="242"/>
      <c r="C310" s="64">
        <v>0.5</v>
      </c>
      <c r="D310" s="65" t="s">
        <v>59</v>
      </c>
      <c r="E310" s="65" t="s">
        <v>78</v>
      </c>
      <c r="F310" s="65">
        <f t="shared" si="73"/>
        <v>0.5</v>
      </c>
      <c r="G310" s="65">
        <v>2.25</v>
      </c>
      <c r="H310" s="65">
        <v>1.57</v>
      </c>
      <c r="I310" s="65">
        <f t="shared" si="74"/>
        <v>1.125</v>
      </c>
      <c r="J310" s="65">
        <f t="shared" si="75"/>
        <v>0.78500000000000003</v>
      </c>
      <c r="K310" s="65" t="str">
        <f t="shared" si="70"/>
        <v>T1</v>
      </c>
      <c r="L310" s="65">
        <f t="shared" si="71"/>
        <v>6.8749999999999867E-2</v>
      </c>
      <c r="M310" s="68">
        <f t="shared" si="72"/>
        <v>56.25</v>
      </c>
      <c r="N310" s="247"/>
      <c r="P310" s="69" t="s">
        <v>40</v>
      </c>
      <c r="R310" s="70">
        <f t="shared" si="76"/>
        <v>-56.25</v>
      </c>
      <c r="S310" s="87"/>
      <c r="T310" s="237"/>
      <c r="U310" s="12"/>
    </row>
    <row r="311" spans="1:21" ht="16.5" thickBot="1" x14ac:dyDescent="0.25">
      <c r="A311" s="254"/>
      <c r="B311" s="242"/>
      <c r="C311" s="71">
        <v>0.5</v>
      </c>
      <c r="D311" s="10" t="s">
        <v>74</v>
      </c>
      <c r="E311" s="10" t="s">
        <v>77</v>
      </c>
      <c r="F311" s="10">
        <f t="shared" si="73"/>
        <v>0.5</v>
      </c>
      <c r="G311" s="10">
        <v>1.66</v>
      </c>
      <c r="H311" s="10">
        <v>2.1</v>
      </c>
      <c r="I311" s="10">
        <f t="shared" si="74"/>
        <v>0.83</v>
      </c>
      <c r="J311" s="10">
        <f t="shared" si="75"/>
        <v>1.05</v>
      </c>
      <c r="K311" s="10" t="str">
        <f t="shared" si="70"/>
        <v>T2</v>
      </c>
      <c r="L311" s="10" t="str">
        <f t="shared" si="71"/>
        <v>NO BET</v>
      </c>
      <c r="M311" s="74" t="str">
        <f t="shared" si="72"/>
        <v>NO BET</v>
      </c>
      <c r="N311" s="247"/>
      <c r="P311" s="69" t="s">
        <v>40</v>
      </c>
      <c r="R311" s="70">
        <f t="shared" si="76"/>
        <v>0</v>
      </c>
      <c r="S311" s="87"/>
      <c r="T311" s="76" t="s">
        <v>31</v>
      </c>
      <c r="U311" s="12"/>
    </row>
    <row r="312" spans="1:21" ht="18.75" customHeight="1" x14ac:dyDescent="0.2">
      <c r="A312" s="254"/>
      <c r="B312" s="242"/>
      <c r="C312" s="64">
        <v>0.5</v>
      </c>
      <c r="D312" s="65" t="s">
        <v>55</v>
      </c>
      <c r="E312" s="65" t="s">
        <v>60</v>
      </c>
      <c r="F312" s="65">
        <f t="shared" si="73"/>
        <v>0.5</v>
      </c>
      <c r="G312" s="65">
        <v>4.33</v>
      </c>
      <c r="H312" s="65">
        <v>1.2</v>
      </c>
      <c r="I312" s="65">
        <f t="shared" si="74"/>
        <v>2.165</v>
      </c>
      <c r="J312" s="65">
        <f t="shared" si="75"/>
        <v>0.6</v>
      </c>
      <c r="K312" s="65" t="str">
        <f t="shared" si="70"/>
        <v>T1</v>
      </c>
      <c r="L312" s="65">
        <f t="shared" si="71"/>
        <v>1.0567500000000001</v>
      </c>
      <c r="M312" s="77">
        <f t="shared" si="72"/>
        <v>131.25</v>
      </c>
      <c r="N312" s="247"/>
      <c r="P312" s="69" t="s">
        <v>40</v>
      </c>
      <c r="R312" s="70">
        <f t="shared" si="76"/>
        <v>-131.25</v>
      </c>
      <c r="S312" s="87"/>
      <c r="T312" s="249">
        <f>IF(AND(NOT(N305=0)),T305/N305,0)</f>
        <v>15.290938569627087</v>
      </c>
      <c r="U312" s="12"/>
    </row>
    <row r="313" spans="1:21" ht="18" customHeight="1" x14ac:dyDescent="0.2">
      <c r="A313" s="254"/>
      <c r="B313" s="242"/>
      <c r="C313" s="71">
        <v>0.5</v>
      </c>
      <c r="D313" s="10" t="s">
        <v>57</v>
      </c>
      <c r="E313" s="10" t="s">
        <v>69</v>
      </c>
      <c r="F313" s="10">
        <f t="shared" si="73"/>
        <v>0.5</v>
      </c>
      <c r="G313" s="10">
        <v>1.28</v>
      </c>
      <c r="H313" s="10">
        <v>3.5</v>
      </c>
      <c r="I313" s="10">
        <f t="shared" si="74"/>
        <v>0.64</v>
      </c>
      <c r="J313" s="10">
        <f t="shared" si="75"/>
        <v>1.75</v>
      </c>
      <c r="K313" s="10" t="str">
        <f t="shared" si="70"/>
        <v>T2</v>
      </c>
      <c r="L313" s="10">
        <f t="shared" si="71"/>
        <v>0.66249999999999987</v>
      </c>
      <c r="M313" s="75">
        <f t="shared" si="72"/>
        <v>75</v>
      </c>
      <c r="N313" s="247"/>
      <c r="P313" s="69" t="s">
        <v>40</v>
      </c>
      <c r="R313" s="70">
        <f t="shared" si="76"/>
        <v>174.38</v>
      </c>
      <c r="S313" s="87"/>
      <c r="T313" s="250"/>
      <c r="U313" s="12"/>
    </row>
    <row r="314" spans="1:21" ht="18.75" customHeight="1" thickBot="1" x14ac:dyDescent="0.25">
      <c r="A314" s="255"/>
      <c r="B314" s="243"/>
      <c r="C314" s="93">
        <v>0.5</v>
      </c>
      <c r="D314" s="80" t="s">
        <v>66</v>
      </c>
      <c r="E314" s="80" t="s">
        <v>71</v>
      </c>
      <c r="F314" s="80">
        <f t="shared" si="73"/>
        <v>0.5</v>
      </c>
      <c r="G314" s="80">
        <v>1.66</v>
      </c>
      <c r="H314" s="80">
        <v>2.1</v>
      </c>
      <c r="I314" s="80">
        <f t="shared" si="74"/>
        <v>0.83</v>
      </c>
      <c r="J314" s="80">
        <f t="shared" si="75"/>
        <v>1.05</v>
      </c>
      <c r="K314" s="80" t="str">
        <f t="shared" si="70"/>
        <v>T2</v>
      </c>
      <c r="L314" s="80" t="str">
        <f t="shared" si="71"/>
        <v>NO BET</v>
      </c>
      <c r="M314" s="83" t="str">
        <f t="shared" si="72"/>
        <v>NO BET</v>
      </c>
      <c r="N314" s="248"/>
      <c r="P314" s="84" t="s">
        <v>41</v>
      </c>
      <c r="R314" s="85">
        <f>IF(OR(P314="",L314="NO BET"),0,IF(AND(K314=P314),IF(AND(K314="T2"),ROUNDUP(H314*M314*0.95,2)-M314,ROUNDUP(G314*M314*0.95,2)-M314),-M314))</f>
        <v>0</v>
      </c>
      <c r="S314" s="12"/>
      <c r="T314" s="251"/>
      <c r="U314" s="12"/>
    </row>
    <row r="315" spans="1:21" x14ac:dyDescent="0.2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87"/>
      <c r="R315" s="13"/>
      <c r="S315" s="87"/>
      <c r="T315" s="14"/>
      <c r="U315" s="12"/>
    </row>
    <row r="316" spans="1:21" x14ac:dyDescent="0.2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3"/>
      <c r="S316" s="12"/>
      <c r="T316" s="14"/>
      <c r="U316" s="12"/>
    </row>
    <row r="317" spans="1:21" ht="15.75" thickBot="1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3"/>
      <c r="S317" s="12"/>
      <c r="T317" s="14"/>
      <c r="U317" s="12"/>
    </row>
    <row r="318" spans="1:21" ht="19.5" customHeight="1" thickBot="1" x14ac:dyDescent="0.3">
      <c r="A318" s="102" t="s">
        <v>6</v>
      </c>
      <c r="B318" s="241" t="s">
        <v>20</v>
      </c>
      <c r="C318" s="51"/>
      <c r="D318" s="51" t="s">
        <v>9</v>
      </c>
      <c r="E318" s="51" t="s">
        <v>10</v>
      </c>
      <c r="F318" s="51" t="s">
        <v>11</v>
      </c>
      <c r="G318" s="51" t="s">
        <v>12</v>
      </c>
      <c r="H318" s="51" t="s">
        <v>13</v>
      </c>
      <c r="I318" s="51" t="s">
        <v>14</v>
      </c>
      <c r="J318" s="51" t="s">
        <v>15</v>
      </c>
      <c r="K318" s="51" t="s">
        <v>33</v>
      </c>
      <c r="L318" s="51" t="s">
        <v>16</v>
      </c>
      <c r="M318" s="51" t="s">
        <v>38</v>
      </c>
      <c r="N318" s="52" t="s">
        <v>17</v>
      </c>
      <c r="O318" s="88"/>
      <c r="P318" s="53" t="s">
        <v>18</v>
      </c>
      <c r="Q318" s="87"/>
      <c r="R318" s="54" t="s">
        <v>34</v>
      </c>
      <c r="S318" s="87"/>
      <c r="T318" s="56" t="s">
        <v>29</v>
      </c>
      <c r="U318" s="12"/>
    </row>
    <row r="319" spans="1:21" ht="15.75" customHeight="1" x14ac:dyDescent="0.2">
      <c r="A319" s="103"/>
      <c r="B319" s="242"/>
      <c r="C319" s="57">
        <v>0.5</v>
      </c>
      <c r="D319" s="89" t="s">
        <v>59</v>
      </c>
      <c r="E319" s="89" t="s">
        <v>57</v>
      </c>
      <c r="F319" s="58">
        <f>IF(AND(C319=""),"",1-C319)</f>
        <v>0.5</v>
      </c>
      <c r="G319" s="58">
        <v>3</v>
      </c>
      <c r="H319" s="58">
        <v>1.36</v>
      </c>
      <c r="I319" s="58">
        <f>IF(AND(C319=""),"",G319*C319)</f>
        <v>1.5</v>
      </c>
      <c r="J319" s="58">
        <f>IF(AND(C319=""),"",H319*F319)</f>
        <v>0.68</v>
      </c>
      <c r="K319" s="58" t="str">
        <f t="shared" ref="K319:K328" si="77">IF(AND(I319=""),"",IF(AND(I319&gt;J319),"T1","T2"))</f>
        <v>T1</v>
      </c>
      <c r="L319" s="58">
        <f t="shared" ref="L319:L328" si="78">IF(AND(K319=""),"",IF(AND((J319*0.95-1)&lt;0,(I319*0.95-1)&lt;0),"NO BET", IF(AND(K319="T1"),I319*0.95 - 1,J319*0.95 - 1)))</f>
        <v>0.42499999999999982</v>
      </c>
      <c r="M319" s="61">
        <f t="shared" ref="M319:M328" si="79">IF(L319="","",IF(L319&lt;0.5,K$2*M$2,IF(L319&lt;0.75,K$2*M$3,IF(L319&lt;1,K$2*M$4,IF(L319&lt;1.25,K$2*M$5,IF(L319&lt;1.5,K$2*M$6,IF(L319&lt;2,K$2*M$7,IF(L319&lt;2.5,K$2*M$8,IF(L319="NO BET","NO BET",K$2*M$9)))))))))</f>
        <v>56.25</v>
      </c>
      <c r="N319" s="246">
        <f>SUMIF(L319:L328,"&gt;0")</f>
        <v>1.7257499999999995</v>
      </c>
      <c r="O319" s="88"/>
      <c r="P319" s="62" t="s">
        <v>41</v>
      </c>
      <c r="Q319" s="88"/>
      <c r="R319" s="63">
        <f>IF(OR(P319="",L319="NO BET"),0,IF(AND(K319=P319),IF(AND(K319="T2"),ROUNDUP(H319*M319*0.95,2)-M319,ROUNDUP(G319*M319*0.95,2)-M319),-M319))</f>
        <v>104.07</v>
      </c>
      <c r="S319" s="87"/>
      <c r="T319" s="237">
        <f>SUM(R319:R328)</f>
        <v>160.41999999999999</v>
      </c>
      <c r="U319" s="12"/>
    </row>
    <row r="320" spans="1:21" ht="15.75" customHeight="1" x14ac:dyDescent="0.2">
      <c r="A320" s="254" t="s">
        <v>6</v>
      </c>
      <c r="B320" s="242"/>
      <c r="C320" s="64">
        <v>0.5</v>
      </c>
      <c r="D320" s="90" t="s">
        <v>74</v>
      </c>
      <c r="E320" s="90" t="s">
        <v>69</v>
      </c>
      <c r="F320" s="65">
        <f t="shared" ref="F320:F328" si="80">IF(AND(C320=""),"",1-C320)</f>
        <v>0.5</v>
      </c>
      <c r="G320" s="65">
        <v>1.53</v>
      </c>
      <c r="H320" s="65">
        <v>2.37</v>
      </c>
      <c r="I320" s="65">
        <f t="shared" ref="I320:I328" si="81">IF(AND(C320=""),"",G320*C320)</f>
        <v>0.76500000000000001</v>
      </c>
      <c r="J320" s="65">
        <f t="shared" ref="J320:J328" si="82">IF(AND(C320=""),"",H320*F320)</f>
        <v>1.1850000000000001</v>
      </c>
      <c r="K320" s="65" t="str">
        <f t="shared" si="77"/>
        <v>T2</v>
      </c>
      <c r="L320" s="65">
        <f t="shared" si="78"/>
        <v>0.12575000000000003</v>
      </c>
      <c r="M320" s="68">
        <f t="shared" si="79"/>
        <v>56.25</v>
      </c>
      <c r="N320" s="247"/>
      <c r="O320" s="12"/>
      <c r="P320" s="69" t="s">
        <v>40</v>
      </c>
      <c r="Q320" s="87"/>
      <c r="R320" s="70">
        <f t="shared" ref="R320:R327" si="83">IF(OR(P320="",L320="NO BET"),0,IF(AND(K320=P320),IF(AND(K320="T2"),ROUNDUP(H320*M320*0.95,2)-M320,ROUNDUP(G320*M320*0.95,2)-M320),-M320))</f>
        <v>70.400000000000006</v>
      </c>
      <c r="S320" s="87"/>
      <c r="T320" s="237"/>
      <c r="U320" s="12"/>
    </row>
    <row r="321" spans="1:21" ht="15.75" customHeight="1" x14ac:dyDescent="0.2">
      <c r="A321" s="254"/>
      <c r="B321" s="242"/>
      <c r="C321" s="71">
        <v>0.5</v>
      </c>
      <c r="D321" s="91" t="s">
        <v>66</v>
      </c>
      <c r="E321" s="91" t="s">
        <v>60</v>
      </c>
      <c r="F321" s="10">
        <f t="shared" si="80"/>
        <v>0.5</v>
      </c>
      <c r="G321" s="10">
        <v>1.36</v>
      </c>
      <c r="H321" s="10">
        <v>3</v>
      </c>
      <c r="I321" s="10">
        <f t="shared" si="81"/>
        <v>0.68</v>
      </c>
      <c r="J321" s="10">
        <f t="shared" si="82"/>
        <v>1.5</v>
      </c>
      <c r="K321" s="10" t="str">
        <f t="shared" si="77"/>
        <v>T2</v>
      </c>
      <c r="L321" s="10">
        <f t="shared" si="78"/>
        <v>0.42499999999999982</v>
      </c>
      <c r="M321" s="74">
        <f t="shared" si="79"/>
        <v>56.25</v>
      </c>
      <c r="N321" s="247"/>
      <c r="O321" s="88"/>
      <c r="P321" s="69" t="s">
        <v>41</v>
      </c>
      <c r="Q321" s="87"/>
      <c r="R321" s="70">
        <f t="shared" si="83"/>
        <v>-56.25</v>
      </c>
      <c r="S321" s="87"/>
      <c r="T321" s="237"/>
      <c r="U321" s="12"/>
    </row>
    <row r="322" spans="1:21" ht="15.75" customHeight="1" x14ac:dyDescent="0.2">
      <c r="A322" s="254"/>
      <c r="B322" s="242"/>
      <c r="C322" s="64">
        <v>0.5</v>
      </c>
      <c r="D322" s="90" t="s">
        <v>55</v>
      </c>
      <c r="E322" s="90" t="s">
        <v>78</v>
      </c>
      <c r="F322" s="65">
        <f t="shared" si="80"/>
        <v>0.5</v>
      </c>
      <c r="G322" s="65">
        <v>2.75</v>
      </c>
      <c r="H322" s="65">
        <v>1.4</v>
      </c>
      <c r="I322" s="65">
        <f t="shared" si="81"/>
        <v>1.375</v>
      </c>
      <c r="J322" s="65">
        <f t="shared" si="82"/>
        <v>0.7</v>
      </c>
      <c r="K322" s="65" t="str">
        <f t="shared" si="77"/>
        <v>T1</v>
      </c>
      <c r="L322" s="65">
        <f t="shared" si="78"/>
        <v>0.30624999999999991</v>
      </c>
      <c r="M322" s="68">
        <f t="shared" si="79"/>
        <v>56.25</v>
      </c>
      <c r="N322" s="247"/>
      <c r="O322" s="92"/>
      <c r="P322" s="69" t="s">
        <v>40</v>
      </c>
      <c r="Q322" s="87"/>
      <c r="R322" s="70">
        <f t="shared" si="83"/>
        <v>-56.25</v>
      </c>
      <c r="S322" s="87"/>
      <c r="T322" s="237"/>
      <c r="U322" s="12"/>
    </row>
    <row r="323" spans="1:21" ht="15.75" customHeight="1" x14ac:dyDescent="0.2">
      <c r="A323" s="254"/>
      <c r="B323" s="242"/>
      <c r="C323" s="71">
        <v>0.5</v>
      </c>
      <c r="D323" s="91" t="s">
        <v>77</v>
      </c>
      <c r="E323" s="91" t="s">
        <v>71</v>
      </c>
      <c r="F323" s="10">
        <f t="shared" si="80"/>
        <v>0.5</v>
      </c>
      <c r="G323" s="10">
        <v>1.5</v>
      </c>
      <c r="H323" s="10">
        <v>2.5</v>
      </c>
      <c r="I323" s="10">
        <f t="shared" si="81"/>
        <v>0.75</v>
      </c>
      <c r="J323" s="10">
        <f t="shared" si="82"/>
        <v>1.25</v>
      </c>
      <c r="K323" s="10" t="str">
        <f t="shared" si="77"/>
        <v>T2</v>
      </c>
      <c r="L323" s="10">
        <f t="shared" si="78"/>
        <v>0.1875</v>
      </c>
      <c r="M323" s="75">
        <f t="shared" si="79"/>
        <v>56.25</v>
      </c>
      <c r="N323" s="247"/>
      <c r="O323" s="92"/>
      <c r="P323" s="69" t="s">
        <v>40</v>
      </c>
      <c r="Q323" s="87"/>
      <c r="R323" s="70">
        <f t="shared" si="83"/>
        <v>77.349999999999994</v>
      </c>
      <c r="S323" s="87"/>
      <c r="T323" s="237"/>
      <c r="U323" s="12"/>
    </row>
    <row r="324" spans="1:21" ht="15.75" customHeight="1" x14ac:dyDescent="0.2">
      <c r="A324" s="254"/>
      <c r="B324" s="242"/>
      <c r="C324" s="64">
        <v>0.5</v>
      </c>
      <c r="D324" s="90" t="s">
        <v>59</v>
      </c>
      <c r="E324" s="90" t="s">
        <v>60</v>
      </c>
      <c r="F324" s="65">
        <f t="shared" si="80"/>
        <v>0.5</v>
      </c>
      <c r="G324" s="65">
        <v>2</v>
      </c>
      <c r="H324" s="65">
        <v>1.72</v>
      </c>
      <c r="I324" s="65">
        <f t="shared" si="81"/>
        <v>1</v>
      </c>
      <c r="J324" s="65">
        <f t="shared" si="82"/>
        <v>0.86</v>
      </c>
      <c r="K324" s="65" t="str">
        <f t="shared" si="77"/>
        <v>T1</v>
      </c>
      <c r="L324" s="65" t="str">
        <f t="shared" si="78"/>
        <v>NO BET</v>
      </c>
      <c r="M324" s="68" t="str">
        <f t="shared" si="79"/>
        <v>NO BET</v>
      </c>
      <c r="N324" s="247"/>
      <c r="O324" s="92"/>
      <c r="P324" s="69" t="s">
        <v>41</v>
      </c>
      <c r="Q324" s="87"/>
      <c r="R324" s="70">
        <f t="shared" si="83"/>
        <v>0</v>
      </c>
      <c r="S324" s="87"/>
      <c r="T324" s="237"/>
      <c r="U324" s="12"/>
    </row>
    <row r="325" spans="1:21" ht="16.5" thickBot="1" x14ac:dyDescent="0.25">
      <c r="A325" s="254"/>
      <c r="B325" s="242"/>
      <c r="C325" s="71">
        <v>0.5</v>
      </c>
      <c r="D325" s="91" t="s">
        <v>69</v>
      </c>
      <c r="E325" s="91" t="s">
        <v>77</v>
      </c>
      <c r="F325" s="10">
        <f t="shared" si="80"/>
        <v>0.5</v>
      </c>
      <c r="G325" s="10">
        <v>1.83</v>
      </c>
      <c r="H325" s="10">
        <v>1.83</v>
      </c>
      <c r="I325" s="10">
        <f t="shared" si="81"/>
        <v>0.91500000000000004</v>
      </c>
      <c r="J325" s="10">
        <f t="shared" si="82"/>
        <v>0.91500000000000004</v>
      </c>
      <c r="K325" s="10" t="str">
        <f t="shared" si="77"/>
        <v>T2</v>
      </c>
      <c r="L325" s="10" t="str">
        <f t="shared" si="78"/>
        <v>NO BET</v>
      </c>
      <c r="M325" s="74" t="str">
        <f t="shared" si="79"/>
        <v>NO BET</v>
      </c>
      <c r="N325" s="247"/>
      <c r="O325" s="12"/>
      <c r="P325" s="69" t="s">
        <v>41</v>
      </c>
      <c r="Q325" s="87"/>
      <c r="R325" s="70">
        <f t="shared" si="83"/>
        <v>0</v>
      </c>
      <c r="S325" s="87"/>
      <c r="T325" s="76" t="s">
        <v>31</v>
      </c>
      <c r="U325" s="12"/>
    </row>
    <row r="326" spans="1:21" x14ac:dyDescent="0.2">
      <c r="A326" s="254"/>
      <c r="B326" s="242"/>
      <c r="C326" s="64">
        <v>0.5</v>
      </c>
      <c r="D326" s="90" t="s">
        <v>66</v>
      </c>
      <c r="E326" s="90" t="s">
        <v>78</v>
      </c>
      <c r="F326" s="65">
        <f t="shared" si="80"/>
        <v>0.5</v>
      </c>
      <c r="G326" s="65">
        <v>2.5</v>
      </c>
      <c r="H326" s="65">
        <v>1.5</v>
      </c>
      <c r="I326" s="65">
        <f t="shared" si="81"/>
        <v>1.25</v>
      </c>
      <c r="J326" s="65">
        <f t="shared" si="82"/>
        <v>0.75</v>
      </c>
      <c r="K326" s="65" t="str">
        <f t="shared" si="77"/>
        <v>T1</v>
      </c>
      <c r="L326" s="65">
        <f t="shared" si="78"/>
        <v>0.1875</v>
      </c>
      <c r="M326" s="77">
        <f t="shared" si="79"/>
        <v>56.25</v>
      </c>
      <c r="N326" s="247"/>
      <c r="O326" s="12"/>
      <c r="P326" s="69" t="s">
        <v>41</v>
      </c>
      <c r="Q326" s="87"/>
      <c r="R326" s="70">
        <f t="shared" si="83"/>
        <v>77.349999999999994</v>
      </c>
      <c r="S326" s="87"/>
      <c r="T326" s="249">
        <f>IF(AND(NOT(N319=0)),T319/N319,0)</f>
        <v>92.956685499058409</v>
      </c>
      <c r="U326" s="12"/>
    </row>
    <row r="327" spans="1:21" x14ac:dyDescent="0.2">
      <c r="A327" s="254"/>
      <c r="B327" s="242"/>
      <c r="C327" s="71">
        <v>0.5</v>
      </c>
      <c r="D327" s="10" t="s">
        <v>71</v>
      </c>
      <c r="E327" s="10" t="s">
        <v>74</v>
      </c>
      <c r="F327" s="10">
        <f t="shared" si="80"/>
        <v>0.5</v>
      </c>
      <c r="G327" s="10">
        <v>2.1</v>
      </c>
      <c r="H327" s="10">
        <v>1.66</v>
      </c>
      <c r="I327" s="10">
        <f t="shared" si="81"/>
        <v>1.05</v>
      </c>
      <c r="J327" s="10">
        <f t="shared" si="82"/>
        <v>0.83</v>
      </c>
      <c r="K327" s="10" t="str">
        <f t="shared" si="77"/>
        <v>T1</v>
      </c>
      <c r="L327" s="10" t="str">
        <f t="shared" si="78"/>
        <v>NO BET</v>
      </c>
      <c r="M327" s="75" t="str">
        <f t="shared" si="79"/>
        <v>NO BET</v>
      </c>
      <c r="N327" s="247"/>
      <c r="O327" s="12"/>
      <c r="P327" s="69" t="s">
        <v>40</v>
      </c>
      <c r="Q327" s="87"/>
      <c r="R327" s="70">
        <f t="shared" si="83"/>
        <v>0</v>
      </c>
      <c r="S327" s="87"/>
      <c r="T327" s="250"/>
      <c r="U327" s="12"/>
    </row>
    <row r="328" spans="1:21" ht="15.75" thickBot="1" x14ac:dyDescent="0.25">
      <c r="A328" s="255"/>
      <c r="B328" s="243"/>
      <c r="C328" s="93">
        <v>0.5</v>
      </c>
      <c r="D328" s="80" t="s">
        <v>55</v>
      </c>
      <c r="E328" s="80" t="s">
        <v>57</v>
      </c>
      <c r="F328" s="80">
        <f t="shared" si="80"/>
        <v>0.5</v>
      </c>
      <c r="G328" s="80">
        <v>1.57</v>
      </c>
      <c r="H328" s="80">
        <v>2.25</v>
      </c>
      <c r="I328" s="80">
        <f t="shared" si="81"/>
        <v>0.78500000000000003</v>
      </c>
      <c r="J328" s="80">
        <f t="shared" si="82"/>
        <v>1.125</v>
      </c>
      <c r="K328" s="80" t="str">
        <f t="shared" si="77"/>
        <v>T2</v>
      </c>
      <c r="L328" s="80">
        <f t="shared" si="78"/>
        <v>6.8749999999999867E-2</v>
      </c>
      <c r="M328" s="83">
        <f t="shared" si="79"/>
        <v>56.25</v>
      </c>
      <c r="N328" s="248"/>
      <c r="O328" s="12"/>
      <c r="P328" s="84" t="s">
        <v>41</v>
      </c>
      <c r="Q328" s="12"/>
      <c r="R328" s="85">
        <f>IF(OR(P328="",L328="NO BET"),0,IF(AND(K328=P328),IF(AND(K328="T2"),ROUNDUP(H328*M328*0.95,2)-M328,ROUNDUP(G328*M328*0.95,2)-M328),-M328))</f>
        <v>-56.25</v>
      </c>
      <c r="S328" s="12"/>
      <c r="T328" s="251"/>
      <c r="U328" s="12"/>
    </row>
    <row r="329" spans="1:21" x14ac:dyDescent="0.2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3"/>
      <c r="S329" s="12"/>
      <c r="T329" s="14"/>
      <c r="U329" s="12"/>
    </row>
    <row r="330" spans="1:21" x14ac:dyDescent="0.2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3"/>
      <c r="S330" s="12"/>
      <c r="T330" s="14"/>
      <c r="U330" s="12"/>
    </row>
    <row r="331" spans="1:21" ht="15.75" thickBot="1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3"/>
      <c r="S331" s="12"/>
      <c r="T331" s="14"/>
      <c r="U331" s="12"/>
    </row>
    <row r="332" spans="1:21" ht="19.5" customHeight="1" thickBot="1" x14ac:dyDescent="0.3">
      <c r="A332" s="102" t="s">
        <v>6</v>
      </c>
      <c r="B332" s="241" t="s">
        <v>21</v>
      </c>
      <c r="C332" s="51"/>
      <c r="D332" s="51" t="s">
        <v>9</v>
      </c>
      <c r="E332" s="51" t="s">
        <v>10</v>
      </c>
      <c r="F332" s="51" t="s">
        <v>11</v>
      </c>
      <c r="G332" s="51" t="s">
        <v>12</v>
      </c>
      <c r="H332" s="51" t="s">
        <v>13</v>
      </c>
      <c r="I332" s="51" t="s">
        <v>14</v>
      </c>
      <c r="J332" s="51" t="s">
        <v>15</v>
      </c>
      <c r="K332" s="51" t="s">
        <v>33</v>
      </c>
      <c r="L332" s="51" t="s">
        <v>16</v>
      </c>
      <c r="M332" s="51" t="s">
        <v>38</v>
      </c>
      <c r="N332" s="52" t="s">
        <v>17</v>
      </c>
      <c r="O332" s="88"/>
      <c r="P332" s="53" t="s">
        <v>18</v>
      </c>
      <c r="Q332" s="87"/>
      <c r="R332" s="54" t="s">
        <v>34</v>
      </c>
      <c r="S332" s="87"/>
      <c r="T332" s="56" t="s">
        <v>29</v>
      </c>
      <c r="U332" s="12"/>
    </row>
    <row r="333" spans="1:21" ht="15.75" customHeight="1" x14ac:dyDescent="0.2">
      <c r="A333" s="103"/>
      <c r="B333" s="242"/>
      <c r="C333" s="57">
        <v>0.49</v>
      </c>
      <c r="D333" s="89" t="s">
        <v>77</v>
      </c>
      <c r="E333" s="89" t="s">
        <v>60</v>
      </c>
      <c r="F333" s="58">
        <f>IF(AND(C333=""),"",1-C333)</f>
        <v>0.51</v>
      </c>
      <c r="G333" s="58">
        <v>1.8</v>
      </c>
      <c r="H333" s="58">
        <v>1.9</v>
      </c>
      <c r="I333" s="58">
        <f>IF(AND(C333=""),"",G333*C333)</f>
        <v>0.88200000000000001</v>
      </c>
      <c r="J333" s="58">
        <f>IF(AND(C333=""),"",H333*F333)</f>
        <v>0.96899999999999997</v>
      </c>
      <c r="K333" s="58" t="str">
        <f t="shared" ref="K333:K342" si="84">IF(AND(I333=""),"",IF(AND(I333&gt;J333),"T1","T2"))</f>
        <v>T2</v>
      </c>
      <c r="L333" s="58" t="str">
        <f t="shared" ref="L333:L342" si="85">IF(AND(K333=""),"",IF(AND((J333*0.95-1)&lt;0,(I333*0.95-1)&lt;0),"NO BET", IF(AND(K333="T1"),I333*0.95 - 1,J333*0.95 - 1)))</f>
        <v>NO BET</v>
      </c>
      <c r="M333" s="61" t="str">
        <f t="shared" ref="M333:M342" si="86">IF(L333="","",IF(L333&lt;0.5,K$2*M$2,IF(L333&lt;0.75,K$2*M$3,IF(L333&lt;1,K$2*M$4,IF(L333&lt;1.25,K$2*M$5,IF(L333&lt;1.5,K$2*M$6,IF(L333&lt;2,K$2*M$7,IF(L333&lt;2.5,K$2*M$8,IF(L333="NO BET","NO BET",K$2*M$9)))))))))</f>
        <v>NO BET</v>
      </c>
      <c r="N333" s="246">
        <f>SUMIF(L333:L342,"&gt;0")</f>
        <v>1.3427049999999996</v>
      </c>
      <c r="O333" s="88"/>
      <c r="P333" s="62" t="s">
        <v>41</v>
      </c>
      <c r="Q333" s="88"/>
      <c r="R333" s="63">
        <f>IF(OR(P333="",L333="NO BET"),0,IF(AND(K333=P333),IF(AND(K333="T2"),ROUNDUP(H333*M333*0.95,2)-M333,ROUNDUP(G333*M333*0.95,2)-M333),-M333))</f>
        <v>0</v>
      </c>
      <c r="S333" s="87"/>
      <c r="T333" s="237">
        <f>SUM(R333:R342)</f>
        <v>-117.1</v>
      </c>
      <c r="U333" s="12"/>
    </row>
    <row r="334" spans="1:21" ht="15.75" customHeight="1" x14ac:dyDescent="0.2">
      <c r="A334" s="254" t="s">
        <v>6</v>
      </c>
      <c r="B334" s="242"/>
      <c r="C334" s="64">
        <v>0.49</v>
      </c>
      <c r="D334" s="90" t="s">
        <v>59</v>
      </c>
      <c r="E334" s="90" t="s">
        <v>69</v>
      </c>
      <c r="F334" s="65">
        <f t="shared" ref="F334:F342" si="87">IF(AND(C334=""),"",1-C334)</f>
        <v>0.51</v>
      </c>
      <c r="G334" s="65">
        <v>1.9</v>
      </c>
      <c r="H334" s="65">
        <v>1.8</v>
      </c>
      <c r="I334" s="65">
        <f t="shared" ref="I334:I342" si="88">IF(AND(C334=""),"",G334*C334)</f>
        <v>0.93099999999999994</v>
      </c>
      <c r="J334" s="65">
        <f t="shared" ref="J334:J342" si="89">IF(AND(C334=""),"",H334*F334)</f>
        <v>0.91800000000000004</v>
      </c>
      <c r="K334" s="65" t="str">
        <f t="shared" si="84"/>
        <v>T1</v>
      </c>
      <c r="L334" s="65" t="str">
        <f t="shared" si="85"/>
        <v>NO BET</v>
      </c>
      <c r="M334" s="68" t="str">
        <f t="shared" si="86"/>
        <v>NO BET</v>
      </c>
      <c r="N334" s="247"/>
      <c r="O334" s="12"/>
      <c r="P334" s="69" t="s">
        <v>41</v>
      </c>
      <c r="Q334" s="87"/>
      <c r="R334" s="70">
        <f t="shared" ref="R334:R341" si="90">IF(OR(P334="",L334="NO BET"),0,IF(AND(K334=P334),IF(AND(K334="T2"),ROUNDUP(H334*M334*0.95,2)-M334,ROUNDUP(G334*M334*0.95,2)-M334),-M334))</f>
        <v>0</v>
      </c>
      <c r="S334" s="87"/>
      <c r="T334" s="237"/>
      <c r="U334" s="12"/>
    </row>
    <row r="335" spans="1:21" ht="15.75" customHeight="1" x14ac:dyDescent="0.2">
      <c r="A335" s="254"/>
      <c r="B335" s="242"/>
      <c r="C335" s="71">
        <v>0.49</v>
      </c>
      <c r="D335" s="91" t="s">
        <v>71</v>
      </c>
      <c r="E335" s="91" t="s">
        <v>78</v>
      </c>
      <c r="F335" s="10">
        <f t="shared" si="87"/>
        <v>0.51</v>
      </c>
      <c r="G335" s="10">
        <v>2.1</v>
      </c>
      <c r="H335" s="10">
        <v>1.66</v>
      </c>
      <c r="I335" s="10">
        <f t="shared" si="88"/>
        <v>1.0289999999999999</v>
      </c>
      <c r="J335" s="10">
        <f t="shared" si="89"/>
        <v>0.84660000000000002</v>
      </c>
      <c r="K335" s="10" t="str">
        <f t="shared" si="84"/>
        <v>T1</v>
      </c>
      <c r="L335" s="10" t="str">
        <f t="shared" si="85"/>
        <v>NO BET</v>
      </c>
      <c r="M335" s="74" t="str">
        <f t="shared" si="86"/>
        <v>NO BET</v>
      </c>
      <c r="N335" s="247"/>
      <c r="O335" s="88"/>
      <c r="P335" s="69" t="s">
        <v>40</v>
      </c>
      <c r="Q335" s="87"/>
      <c r="R335" s="70">
        <f t="shared" si="90"/>
        <v>0</v>
      </c>
      <c r="S335" s="87"/>
      <c r="T335" s="237"/>
      <c r="U335" s="12"/>
    </row>
    <row r="336" spans="1:21" ht="15.75" customHeight="1" x14ac:dyDescent="0.2">
      <c r="A336" s="254"/>
      <c r="B336" s="242"/>
      <c r="C336" s="64">
        <v>0.53</v>
      </c>
      <c r="D336" s="90" t="s">
        <v>57</v>
      </c>
      <c r="E336" s="90" t="s">
        <v>74</v>
      </c>
      <c r="F336" s="65">
        <f t="shared" si="87"/>
        <v>0.47</v>
      </c>
      <c r="G336" s="65">
        <v>1.72</v>
      </c>
      <c r="H336" s="65">
        <v>2</v>
      </c>
      <c r="I336" s="65">
        <f t="shared" si="88"/>
        <v>0.91160000000000008</v>
      </c>
      <c r="J336" s="65">
        <f t="shared" si="89"/>
        <v>0.94</v>
      </c>
      <c r="K336" s="65" t="str">
        <f t="shared" si="84"/>
        <v>T2</v>
      </c>
      <c r="L336" s="65" t="str">
        <f t="shared" si="85"/>
        <v>NO BET</v>
      </c>
      <c r="M336" s="68" t="str">
        <f t="shared" si="86"/>
        <v>NO BET</v>
      </c>
      <c r="N336" s="247"/>
      <c r="O336" s="92"/>
      <c r="P336" s="69" t="s">
        <v>41</v>
      </c>
      <c r="Q336" s="87"/>
      <c r="R336" s="70">
        <f t="shared" si="90"/>
        <v>0</v>
      </c>
      <c r="S336" s="87"/>
      <c r="T336" s="237"/>
      <c r="U336" s="12"/>
    </row>
    <row r="337" spans="1:21" ht="15.75" customHeight="1" x14ac:dyDescent="0.2">
      <c r="A337" s="254"/>
      <c r="B337" s="242"/>
      <c r="C337" s="71">
        <v>0.53</v>
      </c>
      <c r="D337" s="91" t="s">
        <v>55</v>
      </c>
      <c r="E337" s="91" t="s">
        <v>66</v>
      </c>
      <c r="F337" s="10">
        <f t="shared" si="87"/>
        <v>0.47</v>
      </c>
      <c r="G337" s="10">
        <v>1.72</v>
      </c>
      <c r="H337" s="10">
        <v>2</v>
      </c>
      <c r="I337" s="10">
        <f t="shared" si="88"/>
        <v>0.91160000000000008</v>
      </c>
      <c r="J337" s="10">
        <f t="shared" si="89"/>
        <v>0.94</v>
      </c>
      <c r="K337" s="10" t="str">
        <f t="shared" si="84"/>
        <v>T2</v>
      </c>
      <c r="L337" s="10" t="str">
        <f t="shared" si="85"/>
        <v>NO BET</v>
      </c>
      <c r="M337" s="75" t="str">
        <f t="shared" si="86"/>
        <v>NO BET</v>
      </c>
      <c r="N337" s="247"/>
      <c r="O337" s="92"/>
      <c r="P337" s="69" t="s">
        <v>40</v>
      </c>
      <c r="Q337" s="87"/>
      <c r="R337" s="70">
        <f t="shared" si="90"/>
        <v>0</v>
      </c>
      <c r="S337" s="87"/>
      <c r="T337" s="237"/>
      <c r="U337" s="12"/>
    </row>
    <row r="338" spans="1:21" ht="15.75" customHeight="1" x14ac:dyDescent="0.2">
      <c r="A338" s="254"/>
      <c r="B338" s="242"/>
      <c r="C338" s="64">
        <v>0.49</v>
      </c>
      <c r="D338" s="90" t="s">
        <v>77</v>
      </c>
      <c r="E338" s="90" t="s">
        <v>78</v>
      </c>
      <c r="F338" s="65">
        <f t="shared" si="87"/>
        <v>0.51</v>
      </c>
      <c r="G338" s="65">
        <v>3.5</v>
      </c>
      <c r="H338" s="65">
        <v>1.28</v>
      </c>
      <c r="I338" s="65">
        <f t="shared" si="88"/>
        <v>1.7149999999999999</v>
      </c>
      <c r="J338" s="65">
        <f t="shared" si="89"/>
        <v>0.65280000000000005</v>
      </c>
      <c r="K338" s="65" t="str">
        <f t="shared" si="84"/>
        <v>T1</v>
      </c>
      <c r="L338" s="65">
        <f t="shared" si="85"/>
        <v>0.62924999999999986</v>
      </c>
      <c r="M338" s="68">
        <f t="shared" si="86"/>
        <v>75</v>
      </c>
      <c r="N338" s="247"/>
      <c r="O338" s="92"/>
      <c r="P338" s="69" t="s">
        <v>40</v>
      </c>
      <c r="Q338" s="87"/>
      <c r="R338" s="70">
        <f t="shared" si="90"/>
        <v>-75</v>
      </c>
      <c r="S338" s="87"/>
      <c r="T338" s="237"/>
      <c r="U338" s="12"/>
    </row>
    <row r="339" spans="1:21" ht="16.5" thickBot="1" x14ac:dyDescent="0.25">
      <c r="A339" s="254"/>
      <c r="B339" s="242"/>
      <c r="C339" s="71">
        <v>0.49</v>
      </c>
      <c r="D339" s="91" t="s">
        <v>71</v>
      </c>
      <c r="E339" s="91" t="s">
        <v>59</v>
      </c>
      <c r="F339" s="10">
        <f t="shared" si="87"/>
        <v>0.51</v>
      </c>
      <c r="G339" s="10">
        <v>1.83</v>
      </c>
      <c r="H339" s="10">
        <v>1.83</v>
      </c>
      <c r="I339" s="10">
        <f t="shared" si="88"/>
        <v>0.89670000000000005</v>
      </c>
      <c r="J339" s="10">
        <f t="shared" si="89"/>
        <v>0.93330000000000002</v>
      </c>
      <c r="K339" s="10" t="str">
        <f t="shared" si="84"/>
        <v>T2</v>
      </c>
      <c r="L339" s="10" t="str">
        <f t="shared" si="85"/>
        <v>NO BET</v>
      </c>
      <c r="M339" s="74" t="str">
        <f t="shared" si="86"/>
        <v>NO BET</v>
      </c>
      <c r="N339" s="247"/>
      <c r="O339" s="12"/>
      <c r="P339" s="69" t="s">
        <v>41</v>
      </c>
      <c r="Q339" s="87"/>
      <c r="R339" s="70">
        <f t="shared" si="90"/>
        <v>0</v>
      </c>
      <c r="S339" s="87"/>
      <c r="T339" s="76" t="s">
        <v>31</v>
      </c>
      <c r="U339" s="12"/>
    </row>
    <row r="340" spans="1:21" x14ac:dyDescent="0.2">
      <c r="A340" s="254"/>
      <c r="B340" s="242"/>
      <c r="C340" s="64">
        <v>0.53</v>
      </c>
      <c r="D340" s="90" t="s">
        <v>69</v>
      </c>
      <c r="E340" s="90" t="s">
        <v>55</v>
      </c>
      <c r="F340" s="65">
        <f t="shared" si="87"/>
        <v>0.47</v>
      </c>
      <c r="G340" s="65">
        <v>2.5</v>
      </c>
      <c r="H340" s="65">
        <v>1.5</v>
      </c>
      <c r="I340" s="65">
        <f t="shared" si="88"/>
        <v>1.3250000000000002</v>
      </c>
      <c r="J340" s="65">
        <f t="shared" si="89"/>
        <v>0.70499999999999996</v>
      </c>
      <c r="K340" s="65" t="str">
        <f t="shared" si="84"/>
        <v>T1</v>
      </c>
      <c r="L340" s="65">
        <f t="shared" si="85"/>
        <v>0.25875000000000004</v>
      </c>
      <c r="M340" s="77">
        <f t="shared" si="86"/>
        <v>56.25</v>
      </c>
      <c r="N340" s="247"/>
      <c r="O340" s="12"/>
      <c r="P340" s="69" t="s">
        <v>40</v>
      </c>
      <c r="Q340" s="87"/>
      <c r="R340" s="70">
        <f t="shared" si="90"/>
        <v>-56.25</v>
      </c>
      <c r="S340" s="87"/>
      <c r="T340" s="249">
        <f>IF(AND(NOT(N333=0)),T333/N333,0)</f>
        <v>-87.212008594590799</v>
      </c>
      <c r="U340" s="12"/>
    </row>
    <row r="341" spans="1:21" x14ac:dyDescent="0.2">
      <c r="A341" s="254"/>
      <c r="B341" s="242"/>
      <c r="C341" s="71">
        <v>0.49</v>
      </c>
      <c r="D341" s="91" t="s">
        <v>60</v>
      </c>
      <c r="E341" s="91" t="s">
        <v>57</v>
      </c>
      <c r="F341" s="10">
        <f t="shared" si="87"/>
        <v>0.51</v>
      </c>
      <c r="G341" s="10">
        <v>3</v>
      </c>
      <c r="H341" s="10">
        <v>1.36</v>
      </c>
      <c r="I341" s="10">
        <f t="shared" si="88"/>
        <v>1.47</v>
      </c>
      <c r="J341" s="10">
        <f t="shared" si="89"/>
        <v>0.69360000000000011</v>
      </c>
      <c r="K341" s="10" t="str">
        <f t="shared" si="84"/>
        <v>T1</v>
      </c>
      <c r="L341" s="10">
        <f t="shared" si="85"/>
        <v>0.39649999999999985</v>
      </c>
      <c r="M341" s="75">
        <f t="shared" si="86"/>
        <v>56.25</v>
      </c>
      <c r="N341" s="247"/>
      <c r="O341" s="12"/>
      <c r="P341" s="69" t="s">
        <v>40</v>
      </c>
      <c r="Q341" s="87"/>
      <c r="R341" s="70">
        <f t="shared" si="90"/>
        <v>-56.25</v>
      </c>
      <c r="S341" s="87"/>
      <c r="T341" s="250"/>
      <c r="U341" s="12"/>
    </row>
    <row r="342" spans="1:21" ht="15.75" thickBot="1" x14ac:dyDescent="0.25">
      <c r="A342" s="255"/>
      <c r="B342" s="243"/>
      <c r="C342" s="93">
        <v>0.53</v>
      </c>
      <c r="D342" s="94" t="s">
        <v>66</v>
      </c>
      <c r="E342" s="94" t="s">
        <v>74</v>
      </c>
      <c r="F342" s="80">
        <f t="shared" si="87"/>
        <v>0.47</v>
      </c>
      <c r="G342" s="80">
        <v>1.53</v>
      </c>
      <c r="H342" s="80">
        <v>2.37</v>
      </c>
      <c r="I342" s="80">
        <f t="shared" si="88"/>
        <v>0.81090000000000007</v>
      </c>
      <c r="J342" s="80">
        <f t="shared" si="89"/>
        <v>1.1138999999999999</v>
      </c>
      <c r="K342" s="80" t="str">
        <f t="shared" si="84"/>
        <v>T2</v>
      </c>
      <c r="L342" s="80">
        <f t="shared" si="85"/>
        <v>5.820499999999984E-2</v>
      </c>
      <c r="M342" s="83">
        <f t="shared" si="86"/>
        <v>56.25</v>
      </c>
      <c r="N342" s="248"/>
      <c r="O342" s="12"/>
      <c r="P342" s="84" t="s">
        <v>40</v>
      </c>
      <c r="Q342" s="12"/>
      <c r="R342" s="85">
        <f>IF(OR(P342="",L342="NO BET"),0,IF(AND(K342=P342),IF(AND(K342="T2"),ROUNDUP(H342*M342*0.95,2)-M342,ROUNDUP(G342*M342*0.95,2)-M342),-M342))</f>
        <v>70.400000000000006</v>
      </c>
      <c r="S342" s="12"/>
      <c r="T342" s="251"/>
      <c r="U342" s="12"/>
    </row>
    <row r="343" spans="1:21" x14ac:dyDescent="0.2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3"/>
      <c r="S343" s="12"/>
      <c r="T343" s="14"/>
      <c r="U343" s="12"/>
    </row>
    <row r="344" spans="1:21" x14ac:dyDescent="0.2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3"/>
      <c r="S344" s="12"/>
      <c r="T344" s="14"/>
      <c r="U344" s="12"/>
    </row>
    <row r="345" spans="1:21" ht="15.75" thickBot="1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3"/>
      <c r="S345" s="12"/>
      <c r="T345" s="14"/>
      <c r="U345" s="12"/>
    </row>
    <row r="346" spans="1:21" ht="19.5" customHeight="1" thickBot="1" x14ac:dyDescent="0.3">
      <c r="A346" s="102" t="s">
        <v>6</v>
      </c>
      <c r="B346" s="241" t="s">
        <v>22</v>
      </c>
      <c r="C346" s="51"/>
      <c r="D346" s="51" t="s">
        <v>9</v>
      </c>
      <c r="E346" s="51" t="s">
        <v>10</v>
      </c>
      <c r="F346" s="51" t="s">
        <v>11</v>
      </c>
      <c r="G346" s="51" t="s">
        <v>12</v>
      </c>
      <c r="H346" s="51" t="s">
        <v>13</v>
      </c>
      <c r="I346" s="51" t="s">
        <v>14</v>
      </c>
      <c r="J346" s="51" t="s">
        <v>15</v>
      </c>
      <c r="K346" s="51" t="s">
        <v>33</v>
      </c>
      <c r="L346" s="51" t="s">
        <v>16</v>
      </c>
      <c r="M346" s="51" t="s">
        <v>38</v>
      </c>
      <c r="N346" s="52" t="s">
        <v>17</v>
      </c>
      <c r="O346" s="88"/>
      <c r="P346" s="53" t="s">
        <v>18</v>
      </c>
      <c r="Q346" s="87"/>
      <c r="R346" s="54" t="s">
        <v>34</v>
      </c>
      <c r="S346" s="87"/>
      <c r="T346" s="56" t="s">
        <v>29</v>
      </c>
      <c r="U346" s="12"/>
    </row>
    <row r="347" spans="1:21" ht="15.75" customHeight="1" x14ac:dyDescent="0.2">
      <c r="A347" s="103"/>
      <c r="B347" s="242"/>
      <c r="C347" s="57">
        <v>0.27</v>
      </c>
      <c r="D347" s="58" t="s">
        <v>60</v>
      </c>
      <c r="E347" s="58" t="s">
        <v>74</v>
      </c>
      <c r="F347" s="58">
        <f>IF(AND(C347=""),"",1-C347)</f>
        <v>0.73</v>
      </c>
      <c r="G347" s="58">
        <v>3.4</v>
      </c>
      <c r="H347" s="58">
        <v>1.3</v>
      </c>
      <c r="I347" s="58">
        <f>IF(AND(C347=""),"",G347*C347)</f>
        <v>0.91800000000000004</v>
      </c>
      <c r="J347" s="58">
        <f>IF(AND(C347=""),"",H347*F347)</f>
        <v>0.94899999999999995</v>
      </c>
      <c r="K347" s="58" t="str">
        <f t="shared" ref="K347:K356" si="91">IF(AND(I347=""),"",IF(AND(I347&gt;J347),"T1","T2"))</f>
        <v>T2</v>
      </c>
      <c r="L347" s="58" t="str">
        <f t="shared" ref="L347:L356" si="92">IF(AND(K347=""),"",IF(AND((J347*0.95-1)&lt;0,(I347*0.95-1)&lt;0),"NO BET", IF(AND(K347="T1"),I347*0.95 - 1,J347*0.95 - 1)))</f>
        <v>NO BET</v>
      </c>
      <c r="M347" s="61" t="str">
        <f t="shared" ref="M347:M356" si="93">IF(L347="","",IF(L347&lt;0.5,K$2*M$2,IF(L347&lt;0.75,K$2*M$3,IF(L347&lt;1,K$2*M$4,IF(L347&lt;1.25,K$2*M$5,IF(L347&lt;1.5,K$2*M$6,IF(L347&lt;2,K$2*M$7,IF(L347&lt;2.5,K$2*M$8,IF(L347="NO BET","NO BET",K$2*M$9)))))))))</f>
        <v>NO BET</v>
      </c>
      <c r="N347" s="246">
        <f>SUMIF(L347:L356,"&gt;0")</f>
        <v>0.90134000000000003</v>
      </c>
      <c r="O347" s="88"/>
      <c r="P347" s="62" t="s">
        <v>40</v>
      </c>
      <c r="Q347" s="88"/>
      <c r="R347" s="63">
        <f>IF(OR(P347="",L347="NO BET"),0,IF(AND(K347=P347),IF(AND(K347="T2"),ROUNDUP(H347*M347*0.95,2)-M347,ROUNDUP(G347*M347*0.95,2)-M347),-M347))</f>
        <v>0</v>
      </c>
      <c r="S347" s="87"/>
      <c r="T347" s="237">
        <f>SUM(R347:R356)</f>
        <v>18.810000000000016</v>
      </c>
      <c r="U347" s="12"/>
    </row>
    <row r="348" spans="1:21" ht="15.75" customHeight="1" x14ac:dyDescent="0.2">
      <c r="A348" s="254" t="s">
        <v>6</v>
      </c>
      <c r="B348" s="242"/>
      <c r="C348" s="64">
        <v>0.5</v>
      </c>
      <c r="D348" s="65" t="s">
        <v>69</v>
      </c>
      <c r="E348" s="65" t="s">
        <v>78</v>
      </c>
      <c r="F348" s="65">
        <f t="shared" ref="F348:F356" si="94">IF(AND(C348=""),"",1-C348)</f>
        <v>0.5</v>
      </c>
      <c r="G348" s="65">
        <v>2.37</v>
      </c>
      <c r="H348" s="65">
        <v>1.53</v>
      </c>
      <c r="I348" s="65">
        <f t="shared" ref="I348:I356" si="95">IF(AND(C348=""),"",G348*C348)</f>
        <v>1.1850000000000001</v>
      </c>
      <c r="J348" s="65">
        <f t="shared" ref="J348:J356" si="96">IF(AND(C348=""),"",H348*F348)</f>
        <v>0.76500000000000001</v>
      </c>
      <c r="K348" s="65" t="str">
        <f t="shared" si="91"/>
        <v>T1</v>
      </c>
      <c r="L348" s="65">
        <f t="shared" si="92"/>
        <v>0.12575000000000003</v>
      </c>
      <c r="M348" s="68">
        <f t="shared" si="93"/>
        <v>56.25</v>
      </c>
      <c r="N348" s="247"/>
      <c r="O348" s="12"/>
      <c r="P348" s="69" t="s">
        <v>40</v>
      </c>
      <c r="Q348" s="87"/>
      <c r="R348" s="70">
        <f t="shared" ref="R348:R355" si="97">IF(OR(P348="",L348="NO BET"),0,IF(AND(K348=P348),IF(AND(K348="T2"),ROUNDUP(H348*M348*0.95,2)-M348,ROUNDUP(G348*M348*0.95,2)-M348),-M348))</f>
        <v>-56.25</v>
      </c>
      <c r="S348" s="87"/>
      <c r="T348" s="237"/>
      <c r="U348" s="12"/>
    </row>
    <row r="349" spans="1:21" ht="15.75" customHeight="1" x14ac:dyDescent="0.2">
      <c r="A349" s="254"/>
      <c r="B349" s="242"/>
      <c r="C349" s="71">
        <v>0.45</v>
      </c>
      <c r="D349" s="10" t="s">
        <v>59</v>
      </c>
      <c r="E349" s="10" t="s">
        <v>66</v>
      </c>
      <c r="F349" s="10">
        <f t="shared" si="94"/>
        <v>0.55000000000000004</v>
      </c>
      <c r="G349" s="10">
        <v>2.25</v>
      </c>
      <c r="H349" s="10">
        <v>1.57</v>
      </c>
      <c r="I349" s="10">
        <f t="shared" si="95"/>
        <v>1.0125</v>
      </c>
      <c r="J349" s="10">
        <f t="shared" si="96"/>
        <v>0.86350000000000016</v>
      </c>
      <c r="K349" s="10" t="str">
        <f t="shared" si="91"/>
        <v>T1</v>
      </c>
      <c r="L349" s="10" t="str">
        <f t="shared" si="92"/>
        <v>NO BET</v>
      </c>
      <c r="M349" s="74" t="str">
        <f t="shared" si="93"/>
        <v>NO BET</v>
      </c>
      <c r="N349" s="247"/>
      <c r="O349" s="88"/>
      <c r="P349" s="69" t="s">
        <v>41</v>
      </c>
      <c r="Q349" s="87"/>
      <c r="R349" s="70">
        <f t="shared" si="97"/>
        <v>0</v>
      </c>
      <c r="S349" s="87"/>
      <c r="T349" s="237"/>
      <c r="U349" s="12"/>
    </row>
    <row r="350" spans="1:21" ht="15.75" customHeight="1" x14ac:dyDescent="0.2">
      <c r="A350" s="254"/>
      <c r="B350" s="242"/>
      <c r="C350" s="64">
        <v>0.84</v>
      </c>
      <c r="D350" s="65" t="s">
        <v>55</v>
      </c>
      <c r="E350" s="65" t="s">
        <v>77</v>
      </c>
      <c r="F350" s="65">
        <f t="shared" si="94"/>
        <v>0.16000000000000003</v>
      </c>
      <c r="G350" s="65">
        <v>1.33</v>
      </c>
      <c r="H350" s="65">
        <v>3.25</v>
      </c>
      <c r="I350" s="65">
        <f t="shared" si="95"/>
        <v>1.1172</v>
      </c>
      <c r="J350" s="65">
        <f t="shared" si="96"/>
        <v>0.52000000000000013</v>
      </c>
      <c r="K350" s="65" t="str">
        <f t="shared" si="91"/>
        <v>T1</v>
      </c>
      <c r="L350" s="65">
        <f t="shared" si="92"/>
        <v>6.133999999999995E-2</v>
      </c>
      <c r="M350" s="68">
        <f t="shared" si="93"/>
        <v>56.25</v>
      </c>
      <c r="N350" s="247"/>
      <c r="O350" s="92"/>
      <c r="P350" s="69" t="s">
        <v>41</v>
      </c>
      <c r="Q350" s="87"/>
      <c r="R350" s="70">
        <f t="shared" si="97"/>
        <v>14.829999999999998</v>
      </c>
      <c r="S350" s="87"/>
      <c r="T350" s="237"/>
      <c r="U350" s="12"/>
    </row>
    <row r="351" spans="1:21" ht="15.75" customHeight="1" x14ac:dyDescent="0.2">
      <c r="A351" s="254"/>
      <c r="B351" s="242"/>
      <c r="C351" s="71">
        <v>0.72</v>
      </c>
      <c r="D351" s="10" t="s">
        <v>57</v>
      </c>
      <c r="E351" s="10" t="s">
        <v>71</v>
      </c>
      <c r="F351" s="10">
        <f t="shared" si="94"/>
        <v>0.28000000000000003</v>
      </c>
      <c r="G351" s="10">
        <v>1.72</v>
      </c>
      <c r="H351" s="10">
        <v>2</v>
      </c>
      <c r="I351" s="10">
        <f t="shared" si="95"/>
        <v>1.2383999999999999</v>
      </c>
      <c r="J351" s="10">
        <f t="shared" si="96"/>
        <v>0.56000000000000005</v>
      </c>
      <c r="K351" s="10" t="str">
        <f t="shared" si="91"/>
        <v>T1</v>
      </c>
      <c r="L351" s="10">
        <f t="shared" si="92"/>
        <v>0.17647999999999997</v>
      </c>
      <c r="M351" s="75">
        <f t="shared" si="93"/>
        <v>56.25</v>
      </c>
      <c r="N351" s="247"/>
      <c r="O351" s="92"/>
      <c r="P351" s="69" t="s">
        <v>41</v>
      </c>
      <c r="Q351" s="87"/>
      <c r="R351" s="70">
        <f t="shared" si="97"/>
        <v>35.67</v>
      </c>
      <c r="S351" s="87"/>
      <c r="T351" s="237"/>
      <c r="U351" s="12"/>
    </row>
    <row r="352" spans="1:21" ht="15.75" customHeight="1" x14ac:dyDescent="0.2">
      <c r="A352" s="254"/>
      <c r="B352" s="242"/>
      <c r="C352" s="64">
        <v>0.67</v>
      </c>
      <c r="D352" s="65" t="s">
        <v>78</v>
      </c>
      <c r="E352" s="65" t="s">
        <v>74</v>
      </c>
      <c r="F352" s="65">
        <f t="shared" si="94"/>
        <v>0.32999999999999996</v>
      </c>
      <c r="G352" s="65">
        <v>1.66</v>
      </c>
      <c r="H352" s="65">
        <v>2.1</v>
      </c>
      <c r="I352" s="65">
        <f t="shared" si="95"/>
        <v>1.1122000000000001</v>
      </c>
      <c r="J352" s="65">
        <f t="shared" si="96"/>
        <v>0.69299999999999995</v>
      </c>
      <c r="K352" s="65" t="str">
        <f t="shared" si="91"/>
        <v>T1</v>
      </c>
      <c r="L352" s="65">
        <f t="shared" si="92"/>
        <v>5.6589999999999918E-2</v>
      </c>
      <c r="M352" s="68">
        <f t="shared" si="93"/>
        <v>56.25</v>
      </c>
      <c r="N352" s="247"/>
      <c r="O352" s="92"/>
      <c r="P352" s="69" t="s">
        <v>41</v>
      </c>
      <c r="Q352" s="87"/>
      <c r="R352" s="70">
        <f t="shared" si="97"/>
        <v>32.460000000000008</v>
      </c>
      <c r="S352" s="87"/>
      <c r="T352" s="237"/>
      <c r="U352" s="12"/>
    </row>
    <row r="353" spans="1:21" ht="16.5" thickBot="1" x14ac:dyDescent="0.25">
      <c r="A353" s="254"/>
      <c r="B353" s="242"/>
      <c r="C353" s="71">
        <v>0.36</v>
      </c>
      <c r="D353" s="10" t="s">
        <v>60</v>
      </c>
      <c r="E353" s="10" t="s">
        <v>71</v>
      </c>
      <c r="F353" s="10">
        <f t="shared" si="94"/>
        <v>0.64</v>
      </c>
      <c r="G353" s="10">
        <v>3.25</v>
      </c>
      <c r="H353" s="10">
        <v>1.33</v>
      </c>
      <c r="I353" s="10">
        <f t="shared" si="95"/>
        <v>1.17</v>
      </c>
      <c r="J353" s="10">
        <f t="shared" si="96"/>
        <v>0.85120000000000007</v>
      </c>
      <c r="K353" s="10" t="str">
        <f t="shared" si="91"/>
        <v>T1</v>
      </c>
      <c r="L353" s="10">
        <f t="shared" si="92"/>
        <v>0.11149999999999993</v>
      </c>
      <c r="M353" s="74">
        <f t="shared" si="93"/>
        <v>56.25</v>
      </c>
      <c r="N353" s="247"/>
      <c r="O353" s="12"/>
      <c r="P353" s="69" t="s">
        <v>40</v>
      </c>
      <c r="Q353" s="87"/>
      <c r="R353" s="70">
        <f t="shared" si="97"/>
        <v>-56.25</v>
      </c>
      <c r="S353" s="87"/>
      <c r="T353" s="76" t="s">
        <v>31</v>
      </c>
      <c r="U353" s="12"/>
    </row>
    <row r="354" spans="1:21" x14ac:dyDescent="0.2">
      <c r="A354" s="254"/>
      <c r="B354" s="242"/>
      <c r="C354" s="64">
        <v>0.32</v>
      </c>
      <c r="D354" s="65" t="s">
        <v>69</v>
      </c>
      <c r="E354" s="65" t="s">
        <v>66</v>
      </c>
      <c r="F354" s="65">
        <f t="shared" si="94"/>
        <v>0.67999999999999994</v>
      </c>
      <c r="G354" s="65">
        <v>2.5</v>
      </c>
      <c r="H354" s="65">
        <v>1.5</v>
      </c>
      <c r="I354" s="65">
        <f t="shared" si="95"/>
        <v>0.8</v>
      </c>
      <c r="J354" s="65">
        <f t="shared" si="96"/>
        <v>1.02</v>
      </c>
      <c r="K354" s="65" t="str">
        <f t="shared" si="91"/>
        <v>T2</v>
      </c>
      <c r="L354" s="65" t="str">
        <f t="shared" si="92"/>
        <v>NO BET</v>
      </c>
      <c r="M354" s="77" t="str">
        <f t="shared" si="93"/>
        <v>NO BET</v>
      </c>
      <c r="N354" s="247"/>
      <c r="O354" s="12"/>
      <c r="P354" s="69" t="s">
        <v>41</v>
      </c>
      <c r="Q354" s="87"/>
      <c r="R354" s="70">
        <f t="shared" si="97"/>
        <v>0</v>
      </c>
      <c r="S354" s="87"/>
      <c r="T354" s="249">
        <f>IF(AND(NOT(N347=0)),T347/N347,0)</f>
        <v>20.868928484256791</v>
      </c>
      <c r="U354" s="12"/>
    </row>
    <row r="355" spans="1:21" x14ac:dyDescent="0.2">
      <c r="A355" s="254"/>
      <c r="B355" s="242"/>
      <c r="C355" s="71">
        <v>0.8</v>
      </c>
      <c r="D355" s="10" t="s">
        <v>55</v>
      </c>
      <c r="E355" s="10" t="s">
        <v>59</v>
      </c>
      <c r="F355" s="10">
        <f t="shared" si="94"/>
        <v>0.19999999999999996</v>
      </c>
      <c r="G355" s="10">
        <v>1.57</v>
      </c>
      <c r="H355" s="10">
        <v>2.25</v>
      </c>
      <c r="I355" s="10">
        <f t="shared" si="95"/>
        <v>1.2560000000000002</v>
      </c>
      <c r="J355" s="10">
        <f t="shared" si="96"/>
        <v>0.4499999999999999</v>
      </c>
      <c r="K355" s="10" t="str">
        <f t="shared" si="91"/>
        <v>T1</v>
      </c>
      <c r="L355" s="10">
        <f t="shared" si="92"/>
        <v>0.19320000000000026</v>
      </c>
      <c r="M355" s="75">
        <f t="shared" si="93"/>
        <v>56.25</v>
      </c>
      <c r="N355" s="247"/>
      <c r="O355" s="12"/>
      <c r="P355" s="69" t="s">
        <v>41</v>
      </c>
      <c r="Q355" s="87"/>
      <c r="R355" s="70">
        <f t="shared" si="97"/>
        <v>27.650000000000006</v>
      </c>
      <c r="S355" s="87"/>
      <c r="T355" s="250"/>
      <c r="U355" s="12"/>
    </row>
    <row r="356" spans="1:21" ht="15.75" thickBot="1" x14ac:dyDescent="0.25">
      <c r="A356" s="255"/>
      <c r="B356" s="243"/>
      <c r="C356" s="93">
        <v>0.86</v>
      </c>
      <c r="D356" s="80" t="s">
        <v>57</v>
      </c>
      <c r="E356" s="80" t="s">
        <v>77</v>
      </c>
      <c r="F356" s="80">
        <f t="shared" si="94"/>
        <v>0.14000000000000001</v>
      </c>
      <c r="G356" s="80">
        <v>1.44</v>
      </c>
      <c r="H356" s="80">
        <v>2.62</v>
      </c>
      <c r="I356" s="80">
        <f t="shared" si="95"/>
        <v>1.2383999999999999</v>
      </c>
      <c r="J356" s="80">
        <f t="shared" si="96"/>
        <v>0.36680000000000007</v>
      </c>
      <c r="K356" s="80" t="str">
        <f t="shared" si="91"/>
        <v>T1</v>
      </c>
      <c r="L356" s="80">
        <f t="shared" si="92"/>
        <v>0.17647999999999997</v>
      </c>
      <c r="M356" s="83">
        <f t="shared" si="93"/>
        <v>56.25</v>
      </c>
      <c r="N356" s="248"/>
      <c r="O356" s="12"/>
      <c r="P356" s="84" t="s">
        <v>41</v>
      </c>
      <c r="Q356" s="12"/>
      <c r="R356" s="85">
        <f>IF(OR(P356="",L356="NO BET"),0,IF(AND(K356=P356),IF(AND(K356="T2"),ROUNDUP(H356*M356*0.95,2)-M356,ROUNDUP(G356*M356*0.95,2)-M356),-M356))</f>
        <v>20.700000000000003</v>
      </c>
      <c r="S356" s="12"/>
      <c r="T356" s="251"/>
      <c r="U356" s="12"/>
    </row>
    <row r="357" spans="1:21" x14ac:dyDescent="0.2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3"/>
      <c r="S357" s="12"/>
      <c r="T357" s="14"/>
      <c r="U357" s="12"/>
    </row>
    <row r="358" spans="1:21" x14ac:dyDescent="0.2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3"/>
      <c r="S358" s="12"/>
      <c r="T358" s="14"/>
      <c r="U358" s="12"/>
    </row>
    <row r="359" spans="1:21" ht="15.75" thickBot="1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3"/>
      <c r="S359" s="12"/>
      <c r="T359" s="14"/>
      <c r="U359" s="12"/>
    </row>
    <row r="360" spans="1:21" ht="19.5" customHeight="1" thickBot="1" x14ac:dyDescent="0.3">
      <c r="A360" s="102" t="s">
        <v>6</v>
      </c>
      <c r="B360" s="241" t="s">
        <v>23</v>
      </c>
      <c r="C360" s="51"/>
      <c r="D360" s="51" t="s">
        <v>9</v>
      </c>
      <c r="E360" s="51" t="s">
        <v>10</v>
      </c>
      <c r="F360" s="51" t="s">
        <v>11</v>
      </c>
      <c r="G360" s="51" t="s">
        <v>12</v>
      </c>
      <c r="H360" s="51" t="s">
        <v>13</v>
      </c>
      <c r="I360" s="51" t="s">
        <v>14</v>
      </c>
      <c r="J360" s="51" t="s">
        <v>15</v>
      </c>
      <c r="K360" s="51" t="s">
        <v>33</v>
      </c>
      <c r="L360" s="51" t="s">
        <v>16</v>
      </c>
      <c r="M360" s="51" t="s">
        <v>38</v>
      </c>
      <c r="N360" s="52" t="s">
        <v>17</v>
      </c>
      <c r="O360" s="88"/>
      <c r="P360" s="53" t="s">
        <v>18</v>
      </c>
      <c r="Q360" s="87"/>
      <c r="R360" s="54" t="s">
        <v>34</v>
      </c>
      <c r="S360" s="87"/>
      <c r="T360" s="56" t="s">
        <v>29</v>
      </c>
      <c r="U360" s="12"/>
    </row>
    <row r="361" spans="1:21" ht="15.75" customHeight="1" x14ac:dyDescent="0.2">
      <c r="A361" s="103"/>
      <c r="B361" s="242"/>
      <c r="C361" s="57">
        <v>0.52</v>
      </c>
      <c r="D361" s="58" t="s">
        <v>74</v>
      </c>
      <c r="E361" s="58" t="s">
        <v>59</v>
      </c>
      <c r="F361" s="58">
        <f t="shared" ref="F361:F370" si="98">IF(AND(C361=""),"",1-C361)</f>
        <v>0.48</v>
      </c>
      <c r="G361" s="58">
        <v>1.66</v>
      </c>
      <c r="H361" s="58">
        <v>2.1</v>
      </c>
      <c r="I361" s="58">
        <f t="shared" ref="I361:I370" si="99">IF(AND(C361=""),"",G361*C361)</f>
        <v>0.86319999999999997</v>
      </c>
      <c r="J361" s="58">
        <f t="shared" ref="J361:J370" si="100">IF(AND(C361=""),"",H361*F361)</f>
        <v>1.008</v>
      </c>
      <c r="K361" s="58" t="str">
        <f t="shared" ref="K361:K370" si="101">IF(AND(I361=""),"",IF(AND(I361&gt;J361),"T1","T2"))</f>
        <v>T2</v>
      </c>
      <c r="L361" s="58" t="str">
        <f t="shared" ref="L361:L370" si="102">IF(AND(K361=""),"",IF(AND((J361*0.95-1)&lt;0,(I361*0.95-1)&lt;0),"NO BET", IF(AND(K361="T1"),I361*0.95 - 1,J361*0.95 - 1)))</f>
        <v>NO BET</v>
      </c>
      <c r="M361" s="61" t="str">
        <f t="shared" ref="M361:M370" si="103">IF(L361="","",IF(L361&lt;0.5,K$2*M$2,IF(L361&lt;0.75,K$2*M$3,IF(L361&lt;1,K$2*M$4,IF(L361&lt;1.25,K$2*M$5,IF(L361&lt;1.5,K$2*M$6,IF(L361&lt;2,K$2*M$7,IF(L361&lt;2.5,K$2*M$8,IF(L361="NO BET","NO BET",K$2*M$9)))))))))</f>
        <v>NO BET</v>
      </c>
      <c r="N361" s="246">
        <f>SUMIF(L361:L370,"&gt;0")</f>
        <v>1.6597549999999996</v>
      </c>
      <c r="O361" s="88"/>
      <c r="P361" s="62" t="s">
        <v>41</v>
      </c>
      <c r="Q361" s="88"/>
      <c r="R361" s="63">
        <f>IF(OR(P361="",L361="NO BET"),0,IF(AND(K361=P361),IF(AND(K361="T2"),ROUNDUP(H361*M361*0.95,2)-M361,ROUNDUP(G361*M361*0.95,2)-M361),-M361))</f>
        <v>0</v>
      </c>
      <c r="S361" s="87"/>
      <c r="T361" s="237">
        <f>SUM(R361:R370)</f>
        <v>407.52999999999992</v>
      </c>
      <c r="U361" s="12"/>
    </row>
    <row r="362" spans="1:21" ht="15.75" customHeight="1" x14ac:dyDescent="0.2">
      <c r="A362" s="254" t="s">
        <v>6</v>
      </c>
      <c r="B362" s="242"/>
      <c r="C362" s="64">
        <v>0.69</v>
      </c>
      <c r="D362" s="65" t="s">
        <v>69</v>
      </c>
      <c r="E362" s="65" t="s">
        <v>60</v>
      </c>
      <c r="F362" s="65">
        <f t="shared" si="98"/>
        <v>0.31000000000000005</v>
      </c>
      <c r="G362" s="65">
        <v>1.28</v>
      </c>
      <c r="H362" s="65">
        <v>3.5</v>
      </c>
      <c r="I362" s="65">
        <f t="shared" si="99"/>
        <v>0.88319999999999999</v>
      </c>
      <c r="J362" s="65">
        <f t="shared" si="100"/>
        <v>1.0850000000000002</v>
      </c>
      <c r="K362" s="65" t="str">
        <f t="shared" si="101"/>
        <v>T2</v>
      </c>
      <c r="L362" s="65">
        <f t="shared" si="102"/>
        <v>3.0750000000000055E-2</v>
      </c>
      <c r="M362" s="68">
        <f t="shared" si="103"/>
        <v>56.25</v>
      </c>
      <c r="N362" s="247"/>
      <c r="O362" s="12"/>
      <c r="P362" s="69" t="s">
        <v>40</v>
      </c>
      <c r="Q362" s="87"/>
      <c r="R362" s="70">
        <f t="shared" ref="R362:R369" si="104">IF(OR(P362="",L362="NO BET"),0,IF(AND(K362=P362),IF(AND(K362="T2"),ROUNDUP(H362*M362*0.95,2)-M362,ROUNDUP(G362*M362*0.95,2)-M362),-M362))</f>
        <v>130.79</v>
      </c>
      <c r="S362" s="87"/>
      <c r="T362" s="237"/>
      <c r="U362" s="12"/>
    </row>
    <row r="363" spans="1:21" ht="15.75" customHeight="1" x14ac:dyDescent="0.2">
      <c r="A363" s="254"/>
      <c r="B363" s="242"/>
      <c r="C363" s="71">
        <v>0.56999999999999995</v>
      </c>
      <c r="D363" s="10" t="s">
        <v>78</v>
      </c>
      <c r="E363" s="10" t="s">
        <v>57</v>
      </c>
      <c r="F363" s="10">
        <f t="shared" si="98"/>
        <v>0.43000000000000005</v>
      </c>
      <c r="G363" s="10">
        <v>1.83</v>
      </c>
      <c r="H363" s="10">
        <v>1.83</v>
      </c>
      <c r="I363" s="10">
        <f t="shared" si="99"/>
        <v>1.0430999999999999</v>
      </c>
      <c r="J363" s="10">
        <f t="shared" si="100"/>
        <v>0.78690000000000015</v>
      </c>
      <c r="K363" s="10" t="str">
        <f t="shared" si="101"/>
        <v>T1</v>
      </c>
      <c r="L363" s="10" t="str">
        <f t="shared" si="102"/>
        <v>NO BET</v>
      </c>
      <c r="M363" s="74" t="str">
        <f t="shared" si="103"/>
        <v>NO BET</v>
      </c>
      <c r="N363" s="247"/>
      <c r="O363" s="88"/>
      <c r="P363" s="69" t="s">
        <v>40</v>
      </c>
      <c r="Q363" s="87"/>
      <c r="R363" s="70">
        <f t="shared" si="104"/>
        <v>0</v>
      </c>
      <c r="S363" s="87"/>
      <c r="T363" s="237"/>
      <c r="U363" s="12"/>
    </row>
    <row r="364" spans="1:21" ht="15.75" customHeight="1" x14ac:dyDescent="0.2">
      <c r="A364" s="254"/>
      <c r="B364" s="242"/>
      <c r="C364" s="64">
        <v>0.52</v>
      </c>
      <c r="D364" s="65" t="s">
        <v>66</v>
      </c>
      <c r="E364" s="65" t="s">
        <v>77</v>
      </c>
      <c r="F364" s="65">
        <f t="shared" si="98"/>
        <v>0.48</v>
      </c>
      <c r="G364" s="65">
        <v>1.28</v>
      </c>
      <c r="H364" s="65">
        <v>3.5</v>
      </c>
      <c r="I364" s="65">
        <f t="shared" si="99"/>
        <v>0.66560000000000008</v>
      </c>
      <c r="J364" s="65">
        <f t="shared" si="100"/>
        <v>1.68</v>
      </c>
      <c r="K364" s="65" t="str">
        <f t="shared" si="101"/>
        <v>T2</v>
      </c>
      <c r="L364" s="65">
        <f t="shared" si="102"/>
        <v>0.59599999999999986</v>
      </c>
      <c r="M364" s="68">
        <f t="shared" si="103"/>
        <v>75</v>
      </c>
      <c r="N364" s="247"/>
      <c r="O364" s="92"/>
      <c r="P364" s="69" t="s">
        <v>41</v>
      </c>
      <c r="Q364" s="87"/>
      <c r="R364" s="70">
        <f t="shared" si="104"/>
        <v>-75</v>
      </c>
      <c r="S364" s="87"/>
      <c r="T364" s="237"/>
      <c r="U364" s="12"/>
    </row>
    <row r="365" spans="1:21" ht="15.75" customHeight="1" x14ac:dyDescent="0.2">
      <c r="A365" s="254"/>
      <c r="B365" s="242"/>
      <c r="C365" s="71">
        <v>0.35</v>
      </c>
      <c r="D365" s="10" t="s">
        <v>71</v>
      </c>
      <c r="E365" s="10" t="s">
        <v>55</v>
      </c>
      <c r="F365" s="10">
        <f t="shared" si="98"/>
        <v>0.65</v>
      </c>
      <c r="G365" s="10">
        <v>2.25</v>
      </c>
      <c r="H365" s="10">
        <v>1.57</v>
      </c>
      <c r="I365" s="10">
        <f t="shared" si="99"/>
        <v>0.78749999999999998</v>
      </c>
      <c r="J365" s="10">
        <f t="shared" si="100"/>
        <v>1.0205000000000002</v>
      </c>
      <c r="K365" s="10" t="str">
        <f t="shared" si="101"/>
        <v>T2</v>
      </c>
      <c r="L365" s="10" t="str">
        <f t="shared" si="102"/>
        <v>NO BET</v>
      </c>
      <c r="M365" s="75" t="str">
        <f t="shared" si="103"/>
        <v>NO BET</v>
      </c>
      <c r="N365" s="247"/>
      <c r="O365" s="92"/>
      <c r="P365" s="69" t="s">
        <v>40</v>
      </c>
      <c r="Q365" s="87"/>
      <c r="R365" s="70">
        <f t="shared" si="104"/>
        <v>0</v>
      </c>
      <c r="S365" s="87"/>
      <c r="T365" s="237"/>
      <c r="U365" s="12"/>
    </row>
    <row r="366" spans="1:21" ht="15.75" customHeight="1" x14ac:dyDescent="0.2">
      <c r="A366" s="254"/>
      <c r="B366" s="242"/>
      <c r="C366" s="64">
        <v>0.42</v>
      </c>
      <c r="D366" s="65" t="s">
        <v>60</v>
      </c>
      <c r="E366" s="65" t="s">
        <v>78</v>
      </c>
      <c r="F366" s="65">
        <f t="shared" si="98"/>
        <v>0.58000000000000007</v>
      </c>
      <c r="G366" s="65">
        <v>4.33</v>
      </c>
      <c r="H366" s="65">
        <v>1.2</v>
      </c>
      <c r="I366" s="65">
        <f t="shared" si="99"/>
        <v>1.8186</v>
      </c>
      <c r="J366" s="65">
        <f t="shared" si="100"/>
        <v>0.69600000000000006</v>
      </c>
      <c r="K366" s="65" t="str">
        <f t="shared" si="101"/>
        <v>T1</v>
      </c>
      <c r="L366" s="65">
        <f t="shared" si="102"/>
        <v>0.72766999999999982</v>
      </c>
      <c r="M366" s="68">
        <f t="shared" si="103"/>
        <v>75</v>
      </c>
      <c r="N366" s="247"/>
      <c r="O366" s="92"/>
      <c r="P366" s="69" t="s">
        <v>41</v>
      </c>
      <c r="Q366" s="87"/>
      <c r="R366" s="70">
        <f t="shared" si="104"/>
        <v>233.51999999999998</v>
      </c>
      <c r="S366" s="87"/>
      <c r="T366" s="237"/>
      <c r="U366" s="12"/>
    </row>
    <row r="367" spans="1:21" ht="16.5" thickBot="1" x14ac:dyDescent="0.25">
      <c r="A367" s="254"/>
      <c r="B367" s="242"/>
      <c r="C367" s="71">
        <v>0.64</v>
      </c>
      <c r="D367" s="10" t="s">
        <v>59</v>
      </c>
      <c r="E367" s="10" t="s">
        <v>77</v>
      </c>
      <c r="F367" s="10">
        <f t="shared" si="98"/>
        <v>0.36</v>
      </c>
      <c r="G367" s="10">
        <v>1.4</v>
      </c>
      <c r="H367" s="10">
        <v>2.75</v>
      </c>
      <c r="I367" s="10">
        <f t="shared" si="99"/>
        <v>0.89599999999999991</v>
      </c>
      <c r="J367" s="10">
        <f t="shared" si="100"/>
        <v>0.99</v>
      </c>
      <c r="K367" s="10" t="str">
        <f t="shared" si="101"/>
        <v>T2</v>
      </c>
      <c r="L367" s="10" t="str">
        <f t="shared" si="102"/>
        <v>NO BET</v>
      </c>
      <c r="M367" s="74" t="str">
        <f t="shared" si="103"/>
        <v>NO BET</v>
      </c>
      <c r="N367" s="247"/>
      <c r="O367" s="12"/>
      <c r="P367" s="69" t="s">
        <v>40</v>
      </c>
      <c r="Q367" s="87"/>
      <c r="R367" s="70">
        <f t="shared" si="104"/>
        <v>0</v>
      </c>
      <c r="S367" s="87"/>
      <c r="T367" s="76" t="s">
        <v>31</v>
      </c>
      <c r="U367" s="12"/>
    </row>
    <row r="368" spans="1:21" x14ac:dyDescent="0.2">
      <c r="A368" s="254"/>
      <c r="B368" s="242"/>
      <c r="C368" s="64">
        <v>0.45</v>
      </c>
      <c r="D368" s="65" t="s">
        <v>71</v>
      </c>
      <c r="E368" s="65" t="s">
        <v>69</v>
      </c>
      <c r="F368" s="65">
        <f t="shared" si="98"/>
        <v>0.55000000000000004</v>
      </c>
      <c r="G368" s="65">
        <v>1.72</v>
      </c>
      <c r="H368" s="65">
        <v>2</v>
      </c>
      <c r="I368" s="65">
        <f t="shared" si="99"/>
        <v>0.77400000000000002</v>
      </c>
      <c r="J368" s="65">
        <f t="shared" si="100"/>
        <v>1.1000000000000001</v>
      </c>
      <c r="K368" s="65" t="str">
        <f t="shared" si="101"/>
        <v>T2</v>
      </c>
      <c r="L368" s="65">
        <f t="shared" si="102"/>
        <v>4.4999999999999929E-2</v>
      </c>
      <c r="M368" s="77">
        <f t="shared" si="103"/>
        <v>56.25</v>
      </c>
      <c r="N368" s="247"/>
      <c r="O368" s="12"/>
      <c r="P368" s="69" t="s">
        <v>40</v>
      </c>
      <c r="Q368" s="87"/>
      <c r="R368" s="70">
        <f t="shared" si="104"/>
        <v>50.63000000000001</v>
      </c>
      <c r="S368" s="87"/>
      <c r="T368" s="249">
        <f>IF(AND(NOT(N361=0)),T361/N361,0)</f>
        <v>245.5362387822299</v>
      </c>
      <c r="U368" s="12"/>
    </row>
    <row r="369" spans="1:21" x14ac:dyDescent="0.2">
      <c r="A369" s="254"/>
      <c r="B369" s="242"/>
      <c r="C369" s="71">
        <v>0.31</v>
      </c>
      <c r="D369" s="10" t="s">
        <v>74</v>
      </c>
      <c r="E369" s="10" t="s">
        <v>55</v>
      </c>
      <c r="F369" s="10">
        <f t="shared" si="98"/>
        <v>0.69</v>
      </c>
      <c r="G369" s="10">
        <v>2.25</v>
      </c>
      <c r="H369" s="10">
        <v>1.57</v>
      </c>
      <c r="I369" s="10">
        <f t="shared" si="99"/>
        <v>0.69750000000000001</v>
      </c>
      <c r="J369" s="10">
        <f t="shared" si="100"/>
        <v>1.0832999999999999</v>
      </c>
      <c r="K369" s="10" t="str">
        <f t="shared" si="101"/>
        <v>T2</v>
      </c>
      <c r="L369" s="10">
        <f t="shared" si="102"/>
        <v>2.9134999999999911E-2</v>
      </c>
      <c r="M369" s="75">
        <f t="shared" si="103"/>
        <v>56.25</v>
      </c>
      <c r="N369" s="247"/>
      <c r="O369" s="12"/>
      <c r="P369" s="69" t="s">
        <v>40</v>
      </c>
      <c r="Q369" s="87"/>
      <c r="R369" s="70">
        <f t="shared" si="104"/>
        <v>27.650000000000006</v>
      </c>
      <c r="S369" s="87"/>
      <c r="T369" s="250"/>
      <c r="U369" s="12"/>
    </row>
    <row r="370" spans="1:21" ht="15.75" thickBot="1" x14ac:dyDescent="0.25">
      <c r="A370" s="255"/>
      <c r="B370" s="243"/>
      <c r="C370" s="93">
        <v>0.28000000000000003</v>
      </c>
      <c r="D370" s="80" t="s">
        <v>66</v>
      </c>
      <c r="E370" s="80" t="s">
        <v>57</v>
      </c>
      <c r="F370" s="80">
        <f t="shared" si="98"/>
        <v>0.72</v>
      </c>
      <c r="G370" s="80">
        <v>1.9</v>
      </c>
      <c r="H370" s="80">
        <v>1.8</v>
      </c>
      <c r="I370" s="80">
        <f t="shared" si="99"/>
        <v>0.53200000000000003</v>
      </c>
      <c r="J370" s="80">
        <f t="shared" si="100"/>
        <v>1.296</v>
      </c>
      <c r="K370" s="80" t="str">
        <f t="shared" si="101"/>
        <v>T2</v>
      </c>
      <c r="L370" s="80">
        <f t="shared" si="102"/>
        <v>0.23120000000000007</v>
      </c>
      <c r="M370" s="83">
        <f t="shared" si="103"/>
        <v>56.25</v>
      </c>
      <c r="N370" s="248"/>
      <c r="O370" s="12"/>
      <c r="P370" s="84" t="s">
        <v>40</v>
      </c>
      <c r="Q370" s="12"/>
      <c r="R370" s="85">
        <f>IF(OR(P370="",L370="NO BET"),0,IF(AND(K370=P370),IF(AND(K370="T2"),ROUNDUP(H370*M370*0.95,2)-M370,ROUNDUP(G370*M370*0.95,2)-M370),-M370))</f>
        <v>39.940000000000012</v>
      </c>
      <c r="S370" s="12"/>
      <c r="T370" s="251"/>
      <c r="U370" s="12"/>
    </row>
    <row r="371" spans="1:21" x14ac:dyDescent="0.2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3"/>
      <c r="S371" s="12"/>
      <c r="T371" s="14"/>
      <c r="U371" s="12"/>
    </row>
    <row r="372" spans="1:21" x14ac:dyDescent="0.2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3"/>
      <c r="S372" s="12"/>
      <c r="T372" s="14"/>
      <c r="U372" s="12"/>
    </row>
    <row r="373" spans="1:21" ht="15.75" thickBot="1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3"/>
      <c r="S373" s="12"/>
      <c r="T373" s="14"/>
      <c r="U373" s="12"/>
    </row>
    <row r="374" spans="1:21" ht="19.5" customHeight="1" thickBot="1" x14ac:dyDescent="0.3">
      <c r="A374" s="102" t="s">
        <v>6</v>
      </c>
      <c r="B374" s="241" t="s">
        <v>24</v>
      </c>
      <c r="C374" s="51"/>
      <c r="D374" s="51" t="s">
        <v>9</v>
      </c>
      <c r="E374" s="51" t="s">
        <v>10</v>
      </c>
      <c r="F374" s="51" t="s">
        <v>11</v>
      </c>
      <c r="G374" s="51" t="s">
        <v>12</v>
      </c>
      <c r="H374" s="51" t="s">
        <v>13</v>
      </c>
      <c r="I374" s="51" t="s">
        <v>14</v>
      </c>
      <c r="J374" s="51" t="s">
        <v>15</v>
      </c>
      <c r="K374" s="51" t="s">
        <v>33</v>
      </c>
      <c r="L374" s="51" t="s">
        <v>16</v>
      </c>
      <c r="M374" s="51" t="s">
        <v>38</v>
      </c>
      <c r="N374" s="52" t="s">
        <v>17</v>
      </c>
      <c r="O374" s="88"/>
      <c r="P374" s="53" t="s">
        <v>18</v>
      </c>
      <c r="Q374" s="87"/>
      <c r="R374" s="54" t="s">
        <v>34</v>
      </c>
      <c r="S374" s="87"/>
      <c r="T374" s="56" t="s">
        <v>29</v>
      </c>
      <c r="U374" s="12"/>
    </row>
    <row r="375" spans="1:21" ht="15.75" customHeight="1" x14ac:dyDescent="0.2">
      <c r="A375" s="103"/>
      <c r="B375" s="242"/>
      <c r="C375" s="57">
        <v>0.33</v>
      </c>
      <c r="D375" s="58" t="s">
        <v>77</v>
      </c>
      <c r="E375" s="58" t="s">
        <v>74</v>
      </c>
      <c r="F375" s="58">
        <f>IF(AND(C375=""),"",1-C375)</f>
        <v>0.66999999999999993</v>
      </c>
      <c r="G375" s="58">
        <v>1.66</v>
      </c>
      <c r="H375" s="58">
        <v>2.1</v>
      </c>
      <c r="I375" s="58">
        <f>IF(AND(C375=""),"",G375*C375)</f>
        <v>0.54779999999999995</v>
      </c>
      <c r="J375" s="58">
        <f>IF(AND(C375=""),"",H375*F375)</f>
        <v>1.4069999999999998</v>
      </c>
      <c r="K375" s="58" t="str">
        <f t="shared" ref="K375:K384" si="105">IF(AND(I375=""),"",IF(AND(I375&gt;J375),"T1","T2"))</f>
        <v>T2</v>
      </c>
      <c r="L375" s="58">
        <f t="shared" ref="L375:L384" si="106">IF(AND(K375=""),"",IF(AND((J375*0.95-1)&lt;0,(I375*0.95-1)&lt;0),"NO BET", IF(AND(K375="T1"),I375*0.95 - 1,J375*0.95 - 1)))</f>
        <v>0.33664999999999967</v>
      </c>
      <c r="M375" s="61">
        <f t="shared" ref="M375:M384" si="107">IF(L375="","",IF(L375&lt;0.5,K$2*M$2,IF(L375&lt;0.75,K$2*M$3,IF(L375&lt;1,K$2*M$4,IF(L375&lt;1.25,K$2*M$5,IF(L375&lt;1.5,K$2*M$6,IF(L375&lt;2,K$2*M$7,IF(L375&lt;2.5,K$2*M$8,IF(L375="NO BET","NO BET",K$2*M$9)))))))))</f>
        <v>56.25</v>
      </c>
      <c r="N375" s="246">
        <f>SUMIF(L375:L384,"&gt;0")</f>
        <v>0.88341499999999917</v>
      </c>
      <c r="O375" s="88"/>
      <c r="P375" s="62" t="s">
        <v>41</v>
      </c>
      <c r="Q375" s="88"/>
      <c r="R375" s="63">
        <f>IF(OR(P375="",L375="NO BET"),0,IF(AND(K375=P375),IF(AND(K375="T2"),ROUNDUP(H375*M375*0.95,2)-M375,ROUNDUP(G375*M375*0.95,2)-M375),-M375))</f>
        <v>-56.25</v>
      </c>
      <c r="S375" s="87"/>
      <c r="T375" s="237">
        <f>SUM(R375:R384)</f>
        <v>-241.31</v>
      </c>
      <c r="U375" s="12"/>
    </row>
    <row r="376" spans="1:21" ht="15.75" customHeight="1" x14ac:dyDescent="0.2">
      <c r="A376" s="254" t="s">
        <v>6</v>
      </c>
      <c r="B376" s="242"/>
      <c r="C376" s="64">
        <v>0.41</v>
      </c>
      <c r="D376" s="65" t="s">
        <v>69</v>
      </c>
      <c r="E376" s="65" t="s">
        <v>57</v>
      </c>
      <c r="F376" s="65">
        <f t="shared" ref="F376:F384" si="108">IF(AND(C376=""),"",1-C376)</f>
        <v>0.59000000000000008</v>
      </c>
      <c r="G376" s="65">
        <v>2.75</v>
      </c>
      <c r="H376" s="65">
        <v>1.4</v>
      </c>
      <c r="I376" s="65">
        <f t="shared" ref="I376:I384" si="109">IF(AND(C376=""),"",G376*C376)</f>
        <v>1.1274999999999999</v>
      </c>
      <c r="J376" s="65">
        <f t="shared" ref="J376:J384" si="110">IF(AND(C376=""),"",H376*F376)</f>
        <v>0.82600000000000007</v>
      </c>
      <c r="K376" s="65" t="str">
        <f t="shared" si="105"/>
        <v>T1</v>
      </c>
      <c r="L376" s="65">
        <f t="shared" si="106"/>
        <v>7.1124999999999883E-2</v>
      </c>
      <c r="M376" s="68">
        <f t="shared" si="107"/>
        <v>56.25</v>
      </c>
      <c r="N376" s="247"/>
      <c r="O376" s="12"/>
      <c r="P376" s="69" t="s">
        <v>40</v>
      </c>
      <c r="Q376" s="87"/>
      <c r="R376" s="70">
        <f t="shared" ref="R376:R383" si="111">IF(OR(P376="",L376="NO BET"),0,IF(AND(K376=P376),IF(AND(K376="T2"),ROUNDUP(H376*M376*0.95,2)-M376,ROUNDUP(G376*M376*0.95,2)-M376),-M376))</f>
        <v>-56.25</v>
      </c>
      <c r="S376" s="87"/>
      <c r="T376" s="237"/>
      <c r="U376" s="12"/>
    </row>
    <row r="377" spans="1:21" ht="15.75" customHeight="1" x14ac:dyDescent="0.2">
      <c r="A377" s="254"/>
      <c r="B377" s="242"/>
      <c r="C377" s="71">
        <v>0.72</v>
      </c>
      <c r="D377" s="10" t="s">
        <v>55</v>
      </c>
      <c r="E377" s="10" t="s">
        <v>60</v>
      </c>
      <c r="F377" s="10">
        <f t="shared" si="108"/>
        <v>0.28000000000000003</v>
      </c>
      <c r="G377" s="10">
        <v>1.3</v>
      </c>
      <c r="H377" s="10">
        <v>3.4</v>
      </c>
      <c r="I377" s="10">
        <f t="shared" si="109"/>
        <v>0.93599999999999994</v>
      </c>
      <c r="J377" s="10">
        <f t="shared" si="110"/>
        <v>0.95200000000000007</v>
      </c>
      <c r="K377" s="10" t="str">
        <f t="shared" si="105"/>
        <v>T2</v>
      </c>
      <c r="L377" s="10" t="str">
        <f t="shared" si="106"/>
        <v>NO BET</v>
      </c>
      <c r="M377" s="74" t="str">
        <f t="shared" si="107"/>
        <v>NO BET</v>
      </c>
      <c r="N377" s="247"/>
      <c r="O377" s="88"/>
      <c r="P377" s="69" t="s">
        <v>41</v>
      </c>
      <c r="Q377" s="87"/>
      <c r="R377" s="70">
        <f t="shared" si="111"/>
        <v>0</v>
      </c>
      <c r="S377" s="87"/>
      <c r="T377" s="237"/>
      <c r="U377" s="12"/>
    </row>
    <row r="378" spans="1:21" ht="15.75" customHeight="1" x14ac:dyDescent="0.2">
      <c r="A378" s="254"/>
      <c r="B378" s="242"/>
      <c r="C378" s="64">
        <v>0.69</v>
      </c>
      <c r="D378" s="65" t="s">
        <v>78</v>
      </c>
      <c r="E378" s="65" t="s">
        <v>59</v>
      </c>
      <c r="F378" s="65">
        <f t="shared" si="108"/>
        <v>0.31000000000000005</v>
      </c>
      <c r="G378" s="65">
        <v>1.53</v>
      </c>
      <c r="H378" s="65">
        <v>2.37</v>
      </c>
      <c r="I378" s="65">
        <f t="shared" si="109"/>
        <v>1.0556999999999999</v>
      </c>
      <c r="J378" s="65">
        <f t="shared" si="110"/>
        <v>0.73470000000000013</v>
      </c>
      <c r="K378" s="65" t="str">
        <f t="shared" si="105"/>
        <v>T1</v>
      </c>
      <c r="L378" s="65">
        <f t="shared" si="106"/>
        <v>2.9149999999997789E-3</v>
      </c>
      <c r="M378" s="68">
        <f t="shared" si="107"/>
        <v>56.25</v>
      </c>
      <c r="N378" s="247"/>
      <c r="O378" s="92"/>
      <c r="P378" s="69" t="s">
        <v>40</v>
      </c>
      <c r="Q378" s="87"/>
      <c r="R378" s="70">
        <f t="shared" si="111"/>
        <v>-56.25</v>
      </c>
      <c r="S378" s="87"/>
      <c r="T378" s="237"/>
      <c r="U378" s="12"/>
    </row>
    <row r="379" spans="1:21" ht="15.75" customHeight="1" x14ac:dyDescent="0.2">
      <c r="A379" s="254"/>
      <c r="B379" s="242"/>
      <c r="C379" s="71">
        <v>0.43</v>
      </c>
      <c r="D379" s="10" t="s">
        <v>71</v>
      </c>
      <c r="E379" s="10" t="s">
        <v>66</v>
      </c>
      <c r="F379" s="10">
        <f t="shared" si="108"/>
        <v>0.57000000000000006</v>
      </c>
      <c r="G379" s="10">
        <v>2.2000000000000002</v>
      </c>
      <c r="H379" s="10">
        <v>1.61</v>
      </c>
      <c r="I379" s="10">
        <f t="shared" si="109"/>
        <v>0.94600000000000006</v>
      </c>
      <c r="J379" s="10">
        <f t="shared" si="110"/>
        <v>0.91770000000000018</v>
      </c>
      <c r="K379" s="10" t="str">
        <f t="shared" si="105"/>
        <v>T1</v>
      </c>
      <c r="L379" s="10" t="str">
        <f t="shared" si="106"/>
        <v>NO BET</v>
      </c>
      <c r="M379" s="75" t="str">
        <f t="shared" si="107"/>
        <v>NO BET</v>
      </c>
      <c r="N379" s="247"/>
      <c r="O379" s="92"/>
      <c r="P379" s="69" t="s">
        <v>41</v>
      </c>
      <c r="Q379" s="87"/>
      <c r="R379" s="70">
        <f t="shared" si="111"/>
        <v>0</v>
      </c>
      <c r="S379" s="87"/>
      <c r="T379" s="237"/>
      <c r="U379" s="12"/>
    </row>
    <row r="380" spans="1:21" ht="15.75" customHeight="1" x14ac:dyDescent="0.2">
      <c r="A380" s="254"/>
      <c r="B380" s="242"/>
      <c r="C380" s="64">
        <v>0.59</v>
      </c>
      <c r="D380" s="65" t="s">
        <v>69</v>
      </c>
      <c r="E380" s="65" t="s">
        <v>77</v>
      </c>
      <c r="F380" s="65">
        <f t="shared" si="108"/>
        <v>0.41000000000000003</v>
      </c>
      <c r="G380" s="65">
        <v>1.5</v>
      </c>
      <c r="H380" s="65">
        <v>2.5</v>
      </c>
      <c r="I380" s="65">
        <f t="shared" si="109"/>
        <v>0.88500000000000001</v>
      </c>
      <c r="J380" s="65">
        <f t="shared" si="110"/>
        <v>1.0250000000000001</v>
      </c>
      <c r="K380" s="65" t="str">
        <f t="shared" si="105"/>
        <v>T2</v>
      </c>
      <c r="L380" s="65" t="str">
        <f t="shared" si="106"/>
        <v>NO BET</v>
      </c>
      <c r="M380" s="68" t="str">
        <f t="shared" si="107"/>
        <v>NO BET</v>
      </c>
      <c r="N380" s="247"/>
      <c r="O380" s="92"/>
      <c r="P380" s="69" t="s">
        <v>40</v>
      </c>
      <c r="Q380" s="87"/>
      <c r="R380" s="70">
        <f t="shared" si="111"/>
        <v>0</v>
      </c>
      <c r="S380" s="87"/>
      <c r="T380" s="237"/>
      <c r="U380" s="12"/>
    </row>
    <row r="381" spans="1:21" ht="16.5" thickBot="1" x14ac:dyDescent="0.25">
      <c r="A381" s="254"/>
      <c r="B381" s="242"/>
      <c r="C381" s="71">
        <v>0.59</v>
      </c>
      <c r="D381" s="10" t="s">
        <v>59</v>
      </c>
      <c r="E381" s="10" t="s">
        <v>60</v>
      </c>
      <c r="F381" s="10">
        <f t="shared" si="108"/>
        <v>0.41000000000000003</v>
      </c>
      <c r="G381" s="10">
        <v>1.57</v>
      </c>
      <c r="H381" s="10">
        <v>2.25</v>
      </c>
      <c r="I381" s="10">
        <f t="shared" si="109"/>
        <v>0.92630000000000001</v>
      </c>
      <c r="J381" s="10">
        <f t="shared" si="110"/>
        <v>0.9225000000000001</v>
      </c>
      <c r="K381" s="10" t="str">
        <f t="shared" si="105"/>
        <v>T1</v>
      </c>
      <c r="L381" s="10" t="str">
        <f t="shared" si="106"/>
        <v>NO BET</v>
      </c>
      <c r="M381" s="74" t="str">
        <f t="shared" si="107"/>
        <v>NO BET</v>
      </c>
      <c r="N381" s="247"/>
      <c r="O381" s="12"/>
      <c r="P381" s="69" t="s">
        <v>40</v>
      </c>
      <c r="Q381" s="87"/>
      <c r="R381" s="70">
        <f t="shared" si="111"/>
        <v>0</v>
      </c>
      <c r="S381" s="87"/>
      <c r="T381" s="76" t="s">
        <v>31</v>
      </c>
      <c r="U381" s="12"/>
    </row>
    <row r="382" spans="1:21" x14ac:dyDescent="0.2">
      <c r="A382" s="254"/>
      <c r="B382" s="242"/>
      <c r="C382" s="64">
        <v>0.33</v>
      </c>
      <c r="D382" s="65" t="s">
        <v>71</v>
      </c>
      <c r="E382" s="65" t="s">
        <v>74</v>
      </c>
      <c r="F382" s="65">
        <f t="shared" si="108"/>
        <v>0.66999999999999993</v>
      </c>
      <c r="G382" s="65">
        <v>1.9</v>
      </c>
      <c r="H382" s="65">
        <v>1.8</v>
      </c>
      <c r="I382" s="65">
        <f t="shared" si="109"/>
        <v>0.627</v>
      </c>
      <c r="J382" s="65">
        <f t="shared" si="110"/>
        <v>1.206</v>
      </c>
      <c r="K382" s="65" t="str">
        <f t="shared" si="105"/>
        <v>T2</v>
      </c>
      <c r="L382" s="65">
        <f t="shared" si="106"/>
        <v>0.14569999999999994</v>
      </c>
      <c r="M382" s="77">
        <f t="shared" si="107"/>
        <v>56.25</v>
      </c>
      <c r="N382" s="247"/>
      <c r="O382" s="12"/>
      <c r="P382" s="69" t="s">
        <v>40</v>
      </c>
      <c r="Q382" s="87"/>
      <c r="R382" s="70">
        <f t="shared" si="111"/>
        <v>39.940000000000012</v>
      </c>
      <c r="S382" s="87"/>
      <c r="T382" s="249">
        <f>IF(AND(NOT(N375=0)),T375/N375,0)</f>
        <v>-273.15587804146435</v>
      </c>
      <c r="U382" s="12"/>
    </row>
    <row r="383" spans="1:21" x14ac:dyDescent="0.2">
      <c r="A383" s="254"/>
      <c r="B383" s="242"/>
      <c r="C383" s="71">
        <v>0.65</v>
      </c>
      <c r="D383" s="10" t="s">
        <v>57</v>
      </c>
      <c r="E383" s="10" t="s">
        <v>55</v>
      </c>
      <c r="F383" s="10">
        <f t="shared" si="108"/>
        <v>0.35</v>
      </c>
      <c r="G383" s="10">
        <v>1.83</v>
      </c>
      <c r="H383" s="10">
        <v>1.83</v>
      </c>
      <c r="I383" s="10">
        <f t="shared" si="109"/>
        <v>1.1895</v>
      </c>
      <c r="J383" s="10">
        <f t="shared" si="110"/>
        <v>0.64049999999999996</v>
      </c>
      <c r="K383" s="10" t="str">
        <f t="shared" si="105"/>
        <v>T1</v>
      </c>
      <c r="L383" s="10">
        <f t="shared" si="106"/>
        <v>0.13002500000000006</v>
      </c>
      <c r="M383" s="75">
        <f t="shared" si="107"/>
        <v>56.25</v>
      </c>
      <c r="N383" s="247"/>
      <c r="O383" s="12"/>
      <c r="P383" s="69" t="s">
        <v>40</v>
      </c>
      <c r="Q383" s="87"/>
      <c r="R383" s="70">
        <f t="shared" si="111"/>
        <v>-56.25</v>
      </c>
      <c r="S383" s="87"/>
      <c r="T383" s="250"/>
      <c r="U383" s="12"/>
    </row>
    <row r="384" spans="1:21" ht="15.75" thickBot="1" x14ac:dyDescent="0.25">
      <c r="A384" s="255"/>
      <c r="B384" s="243"/>
      <c r="C384" s="93">
        <v>0.37</v>
      </c>
      <c r="D384" s="80" t="s">
        <v>66</v>
      </c>
      <c r="E384" s="80" t="s">
        <v>78</v>
      </c>
      <c r="F384" s="80">
        <f t="shared" si="108"/>
        <v>0.63</v>
      </c>
      <c r="G384" s="80">
        <v>1.72</v>
      </c>
      <c r="H384" s="80">
        <v>2</v>
      </c>
      <c r="I384" s="80">
        <f t="shared" si="109"/>
        <v>0.63639999999999997</v>
      </c>
      <c r="J384" s="80">
        <f t="shared" si="110"/>
        <v>1.26</v>
      </c>
      <c r="K384" s="80" t="str">
        <f t="shared" si="105"/>
        <v>T2</v>
      </c>
      <c r="L384" s="80">
        <f t="shared" si="106"/>
        <v>0.19699999999999984</v>
      </c>
      <c r="M384" s="83">
        <f t="shared" si="107"/>
        <v>56.25</v>
      </c>
      <c r="N384" s="248"/>
      <c r="O384" s="12"/>
      <c r="P384" s="84" t="s">
        <v>41</v>
      </c>
      <c r="Q384" s="12"/>
      <c r="R384" s="85">
        <f>IF(OR(P384="",L384="NO BET"),0,IF(AND(K384=P384),IF(AND(K384="T2"),ROUNDUP(H384*M384*0.95,2)-M384,ROUNDUP(G384*M384*0.95,2)-M384),-M384))</f>
        <v>-56.25</v>
      </c>
      <c r="S384" s="12"/>
      <c r="T384" s="251"/>
      <c r="U384" s="12"/>
    </row>
    <row r="385" spans="1:21" x14ac:dyDescent="0.2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3"/>
      <c r="S385" s="12"/>
      <c r="T385" s="14"/>
      <c r="U385" s="12"/>
    </row>
    <row r="386" spans="1:21" x14ac:dyDescent="0.2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3"/>
      <c r="S386" s="12"/>
      <c r="T386" s="14"/>
      <c r="U386" s="12"/>
    </row>
    <row r="387" spans="1:21" ht="15.75" thickBot="1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3"/>
      <c r="S387" s="12"/>
      <c r="T387" s="14"/>
      <c r="U387" s="12"/>
    </row>
    <row r="388" spans="1:21" ht="19.5" customHeight="1" thickBot="1" x14ac:dyDescent="0.3">
      <c r="A388" s="102" t="s">
        <v>6</v>
      </c>
      <c r="B388" s="267" t="s">
        <v>25</v>
      </c>
      <c r="C388" s="51"/>
      <c r="D388" s="51" t="s">
        <v>9</v>
      </c>
      <c r="E388" s="51" t="s">
        <v>10</v>
      </c>
      <c r="F388" s="51" t="s">
        <v>11</v>
      </c>
      <c r="G388" s="51" t="s">
        <v>12</v>
      </c>
      <c r="H388" s="51" t="s">
        <v>13</v>
      </c>
      <c r="I388" s="51" t="s">
        <v>14</v>
      </c>
      <c r="J388" s="51" t="s">
        <v>15</v>
      </c>
      <c r="K388" s="51" t="s">
        <v>33</v>
      </c>
      <c r="L388" s="51" t="s">
        <v>16</v>
      </c>
      <c r="M388" s="51" t="s">
        <v>38</v>
      </c>
      <c r="N388" s="52" t="s">
        <v>17</v>
      </c>
      <c r="O388" s="88"/>
      <c r="P388" s="53" t="s">
        <v>18</v>
      </c>
      <c r="Q388" s="87"/>
      <c r="R388" s="54" t="s">
        <v>34</v>
      </c>
      <c r="S388" s="87"/>
      <c r="T388" s="56" t="s">
        <v>29</v>
      </c>
      <c r="U388" s="12"/>
    </row>
    <row r="389" spans="1:21" ht="15.75" customHeight="1" x14ac:dyDescent="0.2">
      <c r="A389" s="103"/>
      <c r="B389" s="268"/>
      <c r="C389" s="57">
        <v>0.52</v>
      </c>
      <c r="D389" s="58" t="s">
        <v>69</v>
      </c>
      <c r="E389" s="58" t="s">
        <v>59</v>
      </c>
      <c r="F389" s="58">
        <f>IF(AND(C389=""),"",1-C389)</f>
        <v>0.48</v>
      </c>
      <c r="G389" s="58">
        <v>2</v>
      </c>
      <c r="H389" s="58">
        <v>1.72</v>
      </c>
      <c r="I389" s="58">
        <f t="shared" ref="I389:I398" si="112">IF(AND(C389=""),"",G389*C389)</f>
        <v>1.04</v>
      </c>
      <c r="J389" s="58">
        <f t="shared" ref="J389:J398" si="113">IF(AND(C389=""),"",H389*F389)</f>
        <v>0.8256</v>
      </c>
      <c r="K389" s="58" t="str">
        <f t="shared" ref="K389:K398" si="114">IF(AND(I389=""),"",IF(AND(I389&gt;J389),"T1","T2"))</f>
        <v>T1</v>
      </c>
      <c r="L389" s="58" t="str">
        <f t="shared" ref="L389:L398" si="115">IF(AND(K389=""),"",IF(AND((J389*0.95-1)&lt;0,(I389*0.95-1)&lt;0),"NO BET", IF(AND(K389="T1"),I389*0.95 - 1,J389*0.95 - 1)))</f>
        <v>NO BET</v>
      </c>
      <c r="M389" s="61" t="str">
        <f t="shared" ref="M389:M398" si="116">IF(L389="","",IF(L389&lt;0.5,K$2*M$2,IF(L389&lt;0.75,K$2*M$3,IF(L389&lt;1,K$2*M$4,IF(L389&lt;1.25,K$2*M$5,IF(L389&lt;1.5,K$2*M$6,IF(L389&lt;2,K$2*M$7,IF(L389&lt;2.5,K$2*M$8,IF(L389="NO BET","NO BET",K$2*M$9)))))))))</f>
        <v>NO BET</v>
      </c>
      <c r="N389" s="246">
        <f>SUMIF(L389:L398,"&gt;0")</f>
        <v>0.40349999999999997</v>
      </c>
      <c r="O389" s="88"/>
      <c r="P389" s="62" t="s">
        <v>41</v>
      </c>
      <c r="Q389" s="88"/>
      <c r="R389" s="63">
        <f>IF(OR(P389="",L389="NO BET"),0,IF(AND(K389=P389),IF(AND(K389="T2"),ROUNDUP(H389*M389*0.95,2)-M389,ROUNDUP(G389*M389*0.95,2)-M389),-M389))</f>
        <v>0</v>
      </c>
      <c r="S389" s="87"/>
      <c r="T389" s="237">
        <f>SUM(R389:R398)</f>
        <v>181.42</v>
      </c>
      <c r="U389" s="12"/>
    </row>
    <row r="390" spans="1:21" ht="15.75" customHeight="1" x14ac:dyDescent="0.2">
      <c r="A390" s="254" t="s">
        <v>6</v>
      </c>
      <c r="B390" s="268"/>
      <c r="C390" s="64">
        <v>0.52</v>
      </c>
      <c r="D390" s="65" t="s">
        <v>60</v>
      </c>
      <c r="E390" s="65" t="s">
        <v>77</v>
      </c>
      <c r="F390" s="65">
        <f t="shared" ref="F390:F398" si="117">IF(AND(C390=""),"",1-C390)</f>
        <v>0.48</v>
      </c>
      <c r="G390" s="65">
        <v>1.83</v>
      </c>
      <c r="H390" s="65">
        <v>1.83</v>
      </c>
      <c r="I390" s="65">
        <f t="shared" si="112"/>
        <v>0.95160000000000011</v>
      </c>
      <c r="J390" s="65">
        <f t="shared" si="113"/>
        <v>0.87839999999999996</v>
      </c>
      <c r="K390" s="65" t="str">
        <f t="shared" si="114"/>
        <v>T1</v>
      </c>
      <c r="L390" s="65" t="str">
        <f t="shared" si="115"/>
        <v>NO BET</v>
      </c>
      <c r="M390" s="68" t="str">
        <f t="shared" si="116"/>
        <v>NO BET</v>
      </c>
      <c r="N390" s="247"/>
      <c r="O390" s="12"/>
      <c r="P390" s="69" t="s">
        <v>40</v>
      </c>
      <c r="Q390" s="87"/>
      <c r="R390" s="70">
        <f t="shared" ref="R390:R397" si="118">IF(OR(P390="",L390="NO BET"),0,IF(AND(K390=P390),IF(AND(K390="T2"),ROUNDUP(H390*M390*0.95,2)-M390,ROUNDUP(G390*M390*0.95,2)-M390),-M390))</f>
        <v>0</v>
      </c>
      <c r="S390" s="87"/>
      <c r="T390" s="237"/>
      <c r="U390" s="12"/>
    </row>
    <row r="391" spans="1:21" ht="15.75" customHeight="1" x14ac:dyDescent="0.2">
      <c r="A391" s="254"/>
      <c r="B391" s="268"/>
      <c r="C391" s="71">
        <v>0.35</v>
      </c>
      <c r="D391" s="10" t="s">
        <v>74</v>
      </c>
      <c r="E391" s="10" t="s">
        <v>57</v>
      </c>
      <c r="F391" s="10">
        <f t="shared" si="117"/>
        <v>0.65</v>
      </c>
      <c r="G391" s="10">
        <v>2.62</v>
      </c>
      <c r="H391" s="10">
        <v>1.44</v>
      </c>
      <c r="I391" s="10">
        <f t="shared" si="112"/>
        <v>0.91699999999999993</v>
      </c>
      <c r="J391" s="10">
        <f t="shared" si="113"/>
        <v>0.93599999999999994</v>
      </c>
      <c r="K391" s="10" t="str">
        <f t="shared" si="114"/>
        <v>T2</v>
      </c>
      <c r="L391" s="10" t="str">
        <f t="shared" si="115"/>
        <v>NO BET</v>
      </c>
      <c r="M391" s="74" t="str">
        <f t="shared" si="116"/>
        <v>NO BET</v>
      </c>
      <c r="N391" s="247"/>
      <c r="O391" s="88"/>
      <c r="P391" s="69" t="s">
        <v>41</v>
      </c>
      <c r="Q391" s="87"/>
      <c r="R391" s="70">
        <f t="shared" si="118"/>
        <v>0</v>
      </c>
      <c r="S391" s="87"/>
      <c r="T391" s="237"/>
      <c r="U391" s="12"/>
    </row>
    <row r="392" spans="1:21" ht="15.75" customHeight="1" x14ac:dyDescent="0.2">
      <c r="A392" s="254"/>
      <c r="B392" s="268"/>
      <c r="C392" s="64">
        <v>0.59</v>
      </c>
      <c r="D392" s="65" t="s">
        <v>78</v>
      </c>
      <c r="E392" s="65" t="s">
        <v>71</v>
      </c>
      <c r="F392" s="65">
        <f t="shared" si="117"/>
        <v>0.41000000000000003</v>
      </c>
      <c r="G392" s="65">
        <v>1.66</v>
      </c>
      <c r="H392" s="65">
        <v>2.1</v>
      </c>
      <c r="I392" s="65">
        <f t="shared" si="112"/>
        <v>0.97939999999999994</v>
      </c>
      <c r="J392" s="65">
        <f t="shared" si="113"/>
        <v>0.8610000000000001</v>
      </c>
      <c r="K392" s="65" t="str">
        <f t="shared" si="114"/>
        <v>T1</v>
      </c>
      <c r="L392" s="65" t="str">
        <f t="shared" si="115"/>
        <v>NO BET</v>
      </c>
      <c r="M392" s="68" t="str">
        <f t="shared" si="116"/>
        <v>NO BET</v>
      </c>
      <c r="N392" s="247"/>
      <c r="O392" s="92"/>
      <c r="P392" s="69" t="s">
        <v>41</v>
      </c>
      <c r="Q392" s="87"/>
      <c r="R392" s="70">
        <f t="shared" si="118"/>
        <v>0</v>
      </c>
      <c r="S392" s="87"/>
      <c r="T392" s="237"/>
      <c r="U392" s="12"/>
    </row>
    <row r="393" spans="1:21" ht="15.75" customHeight="1" x14ac:dyDescent="0.2">
      <c r="A393" s="254"/>
      <c r="B393" s="268"/>
      <c r="C393" s="71">
        <v>0.47</v>
      </c>
      <c r="D393" s="10" t="s">
        <v>66</v>
      </c>
      <c r="E393" s="10" t="s">
        <v>55</v>
      </c>
      <c r="F393" s="10">
        <f t="shared" si="117"/>
        <v>0.53</v>
      </c>
      <c r="G393" s="10">
        <v>2.1</v>
      </c>
      <c r="H393" s="10">
        <v>1.66</v>
      </c>
      <c r="I393" s="10">
        <f t="shared" si="112"/>
        <v>0.98699999999999999</v>
      </c>
      <c r="J393" s="10">
        <f t="shared" si="113"/>
        <v>0.87980000000000003</v>
      </c>
      <c r="K393" s="10" t="str">
        <f t="shared" si="114"/>
        <v>T1</v>
      </c>
      <c r="L393" s="10" t="str">
        <f t="shared" si="115"/>
        <v>NO BET</v>
      </c>
      <c r="M393" s="75" t="str">
        <f t="shared" si="116"/>
        <v>NO BET</v>
      </c>
      <c r="N393" s="247"/>
      <c r="O393" s="92"/>
      <c r="P393" s="69" t="s">
        <v>41</v>
      </c>
      <c r="Q393" s="87"/>
      <c r="R393" s="70">
        <f t="shared" si="118"/>
        <v>0</v>
      </c>
      <c r="S393" s="87"/>
      <c r="T393" s="237"/>
      <c r="U393" s="12"/>
    </row>
    <row r="394" spans="1:21" ht="15.75" customHeight="1" x14ac:dyDescent="0.2">
      <c r="A394" s="254"/>
      <c r="B394" s="268"/>
      <c r="C394" s="64">
        <v>0.39</v>
      </c>
      <c r="D394" s="65" t="s">
        <v>69</v>
      </c>
      <c r="E394" s="65" t="s">
        <v>74</v>
      </c>
      <c r="F394" s="65">
        <f t="shared" si="117"/>
        <v>0.61</v>
      </c>
      <c r="G394" s="65">
        <v>2.1</v>
      </c>
      <c r="H394" s="65">
        <v>1.66</v>
      </c>
      <c r="I394" s="65">
        <f t="shared" si="112"/>
        <v>0.81900000000000006</v>
      </c>
      <c r="J394" s="65">
        <f t="shared" si="113"/>
        <v>1.0125999999999999</v>
      </c>
      <c r="K394" s="65" t="str">
        <f t="shared" si="114"/>
        <v>T2</v>
      </c>
      <c r="L394" s="65" t="str">
        <f t="shared" si="115"/>
        <v>NO BET</v>
      </c>
      <c r="M394" s="68" t="str">
        <f t="shared" si="116"/>
        <v>NO BET</v>
      </c>
      <c r="N394" s="247"/>
      <c r="O394" s="92"/>
      <c r="P394" s="69" t="s">
        <v>40</v>
      </c>
      <c r="Q394" s="87"/>
      <c r="R394" s="70">
        <f t="shared" si="118"/>
        <v>0</v>
      </c>
      <c r="S394" s="87"/>
      <c r="T394" s="237"/>
      <c r="U394" s="12"/>
    </row>
    <row r="395" spans="1:21" ht="16.5" thickBot="1" x14ac:dyDescent="0.25">
      <c r="A395" s="254"/>
      <c r="B395" s="268"/>
      <c r="C395" s="71">
        <v>0.46</v>
      </c>
      <c r="D395" s="10" t="s">
        <v>77</v>
      </c>
      <c r="E395" s="10" t="s">
        <v>71</v>
      </c>
      <c r="F395" s="10">
        <f t="shared" si="117"/>
        <v>0.54</v>
      </c>
      <c r="G395" s="10">
        <v>2.5</v>
      </c>
      <c r="H395" s="10">
        <v>1.5</v>
      </c>
      <c r="I395" s="10">
        <f t="shared" si="112"/>
        <v>1.1500000000000001</v>
      </c>
      <c r="J395" s="10">
        <f t="shared" si="113"/>
        <v>0.81</v>
      </c>
      <c r="K395" s="10" t="str">
        <f t="shared" si="114"/>
        <v>T1</v>
      </c>
      <c r="L395" s="10">
        <f t="shared" si="115"/>
        <v>9.2500000000000027E-2</v>
      </c>
      <c r="M395" s="74">
        <f t="shared" si="116"/>
        <v>56.25</v>
      </c>
      <c r="N395" s="247"/>
      <c r="O395" s="12"/>
      <c r="P395" s="69" t="s">
        <v>41</v>
      </c>
      <c r="Q395" s="87"/>
      <c r="R395" s="70">
        <f t="shared" si="118"/>
        <v>77.349999999999994</v>
      </c>
      <c r="S395" s="87"/>
      <c r="T395" s="76" t="s">
        <v>31</v>
      </c>
      <c r="U395" s="12"/>
    </row>
    <row r="396" spans="1:21" x14ac:dyDescent="0.2">
      <c r="A396" s="254"/>
      <c r="B396" s="268"/>
      <c r="C396" s="64">
        <v>0.46</v>
      </c>
      <c r="D396" s="65" t="s">
        <v>60</v>
      </c>
      <c r="E396" s="65" t="s">
        <v>66</v>
      </c>
      <c r="F396" s="65">
        <f t="shared" si="117"/>
        <v>0.54</v>
      </c>
      <c r="G396" s="65">
        <v>3</v>
      </c>
      <c r="H396" s="65">
        <v>1.36</v>
      </c>
      <c r="I396" s="65">
        <f t="shared" si="112"/>
        <v>1.3800000000000001</v>
      </c>
      <c r="J396" s="65">
        <f t="shared" si="113"/>
        <v>0.73440000000000005</v>
      </c>
      <c r="K396" s="65" t="str">
        <f t="shared" si="114"/>
        <v>T1</v>
      </c>
      <c r="L396" s="65">
        <f t="shared" si="115"/>
        <v>0.31099999999999994</v>
      </c>
      <c r="M396" s="77">
        <f t="shared" si="116"/>
        <v>56.25</v>
      </c>
      <c r="N396" s="247"/>
      <c r="O396" s="12"/>
      <c r="P396" s="69" t="s">
        <v>41</v>
      </c>
      <c r="Q396" s="87"/>
      <c r="R396" s="70">
        <f t="shared" si="118"/>
        <v>104.07</v>
      </c>
      <c r="S396" s="87"/>
      <c r="T396" s="249">
        <f>IF(AND(NOT(N389=0)),T389/N389,0)</f>
        <v>449.61586121437421</v>
      </c>
      <c r="U396" s="12"/>
    </row>
    <row r="397" spans="1:21" x14ac:dyDescent="0.2">
      <c r="A397" s="254"/>
      <c r="B397" s="268"/>
      <c r="C397" s="71">
        <v>0.65</v>
      </c>
      <c r="D397" s="10" t="s">
        <v>55</v>
      </c>
      <c r="E397" s="10" t="s">
        <v>78</v>
      </c>
      <c r="F397" s="10">
        <f t="shared" si="117"/>
        <v>0.35</v>
      </c>
      <c r="G397" s="10">
        <v>1.57</v>
      </c>
      <c r="H397" s="10">
        <v>2.25</v>
      </c>
      <c r="I397" s="10">
        <f t="shared" si="112"/>
        <v>1.0205000000000002</v>
      </c>
      <c r="J397" s="10">
        <f t="shared" si="113"/>
        <v>0.78749999999999998</v>
      </c>
      <c r="K397" s="10" t="str">
        <f t="shared" si="114"/>
        <v>T1</v>
      </c>
      <c r="L397" s="10" t="str">
        <f t="shared" si="115"/>
        <v>NO BET</v>
      </c>
      <c r="M397" s="75" t="str">
        <f t="shared" si="116"/>
        <v>NO BET</v>
      </c>
      <c r="N397" s="247"/>
      <c r="O397" s="12"/>
      <c r="P397" s="69" t="s">
        <v>41</v>
      </c>
      <c r="Q397" s="87"/>
      <c r="R397" s="70">
        <f t="shared" si="118"/>
        <v>0</v>
      </c>
      <c r="S397" s="87"/>
      <c r="T397" s="250"/>
      <c r="U397" s="12"/>
    </row>
    <row r="398" spans="1:21" ht="15.75" thickBot="1" x14ac:dyDescent="0.25">
      <c r="A398" s="255"/>
      <c r="B398" s="269"/>
      <c r="C398" s="93">
        <v>0.69</v>
      </c>
      <c r="D398" s="80" t="s">
        <v>57</v>
      </c>
      <c r="E398" s="80" t="s">
        <v>59</v>
      </c>
      <c r="F398" s="80">
        <f t="shared" si="117"/>
        <v>0.31000000000000005</v>
      </c>
      <c r="G398" s="80">
        <v>1.4</v>
      </c>
      <c r="H398" s="80">
        <v>2.75</v>
      </c>
      <c r="I398" s="80">
        <f t="shared" si="112"/>
        <v>0.96599999999999986</v>
      </c>
      <c r="J398" s="80">
        <f t="shared" si="113"/>
        <v>0.85250000000000015</v>
      </c>
      <c r="K398" s="80" t="str">
        <f t="shared" si="114"/>
        <v>T1</v>
      </c>
      <c r="L398" s="80" t="str">
        <f t="shared" si="115"/>
        <v>NO BET</v>
      </c>
      <c r="M398" s="83" t="str">
        <f t="shared" si="116"/>
        <v>NO BET</v>
      </c>
      <c r="N398" s="248"/>
      <c r="O398" s="12"/>
      <c r="P398" s="84" t="s">
        <v>41</v>
      </c>
      <c r="Q398" s="12"/>
      <c r="R398" s="85">
        <f>IF(OR(P398="",L398="NO BET"),0,IF(AND(K398=P398),IF(AND(K398="T2"),ROUNDUP(H398*M398*0.95,2)-M398,ROUNDUP(G398*M398*0.95,2)-M398),-M398))</f>
        <v>0</v>
      </c>
      <c r="S398" s="12"/>
      <c r="T398" s="251"/>
      <c r="U398" s="12"/>
    </row>
    <row r="399" spans="1:21" x14ac:dyDescent="0.2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3"/>
      <c r="S399" s="12"/>
      <c r="T399" s="14"/>
      <c r="U399" s="12"/>
    </row>
    <row r="400" spans="1:21" x14ac:dyDescent="0.2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3"/>
      <c r="S400" s="12"/>
      <c r="T400" s="14"/>
      <c r="U400" s="12"/>
    </row>
    <row r="401" spans="1:21" ht="15.75" thickBot="1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3"/>
      <c r="S401" s="12"/>
      <c r="T401" s="14"/>
      <c r="U401" s="12"/>
    </row>
    <row r="402" spans="1:21" ht="19.5" customHeight="1" thickBot="1" x14ac:dyDescent="0.3">
      <c r="A402" s="102" t="s">
        <v>6</v>
      </c>
      <c r="B402" s="241" t="s">
        <v>26</v>
      </c>
      <c r="C402" s="104"/>
      <c r="D402" s="104" t="s">
        <v>9</v>
      </c>
      <c r="E402" s="104" t="s">
        <v>10</v>
      </c>
      <c r="F402" s="104" t="s">
        <v>11</v>
      </c>
      <c r="G402" s="104" t="s">
        <v>12</v>
      </c>
      <c r="H402" s="104" t="s">
        <v>13</v>
      </c>
      <c r="I402" s="104" t="s">
        <v>14</v>
      </c>
      <c r="J402" s="104" t="s">
        <v>15</v>
      </c>
      <c r="K402" s="104" t="s">
        <v>33</v>
      </c>
      <c r="L402" s="51" t="s">
        <v>16</v>
      </c>
      <c r="M402" s="51" t="s">
        <v>38</v>
      </c>
      <c r="N402" s="52" t="s">
        <v>17</v>
      </c>
      <c r="O402" s="88"/>
      <c r="P402" s="53" t="s">
        <v>18</v>
      </c>
      <c r="Q402" s="87"/>
      <c r="R402" s="54" t="s">
        <v>34</v>
      </c>
      <c r="S402" s="87"/>
      <c r="T402" s="56" t="s">
        <v>29</v>
      </c>
      <c r="U402" s="12"/>
    </row>
    <row r="403" spans="1:21" ht="15.75" customHeight="1" x14ac:dyDescent="0.2">
      <c r="A403" s="103"/>
      <c r="B403" s="242"/>
      <c r="C403" s="57">
        <v>0.51</v>
      </c>
      <c r="D403" s="58" t="s">
        <v>59</v>
      </c>
      <c r="E403" s="58" t="s">
        <v>71</v>
      </c>
      <c r="F403" s="58">
        <f>IF(AND(C403=""),"",1-C403)</f>
        <v>0.49</v>
      </c>
      <c r="G403" s="58">
        <v>1.9</v>
      </c>
      <c r="H403" s="58">
        <v>1.8</v>
      </c>
      <c r="I403" s="58">
        <f>IF(AND(C403=""),"",G403*C403)</f>
        <v>0.96899999999999997</v>
      </c>
      <c r="J403" s="58">
        <f>IF(AND(C403=""),"",H403*F403)</f>
        <v>0.88200000000000001</v>
      </c>
      <c r="K403" s="58" t="str">
        <f t="shared" ref="K403:K412" si="119">IF(AND(I403=""),"",IF(AND(I403&gt;J403),"T1","T2"))</f>
        <v>T1</v>
      </c>
      <c r="L403" s="58" t="str">
        <f t="shared" ref="L403:L412" si="120">IF(AND(K403=""),"",IF(AND((J403*0.95-1)&lt;0,(I403*0.95-1)&lt;0),"NO BET", IF(AND(K403="T1"),I403*0.95 - 1,J403*0.95 - 1)))</f>
        <v>NO BET</v>
      </c>
      <c r="M403" s="61" t="str">
        <f t="shared" ref="M403:M412" si="121">IF(L403="","",IF(L403&lt;0.5,K$2*M$2,IF(L403&lt;0.75,K$2*M$3,IF(L403&lt;1,K$2*M$4,IF(L403&lt;1.25,K$2*M$5,IF(L403&lt;1.5,K$2*M$6,IF(L403&lt;2,K$2*M$7,IF(L403&lt;2.5,K$2*M$8,IF(L403="NO BET","NO BET",K$2*M$9)))))))))</f>
        <v>NO BET</v>
      </c>
      <c r="N403" s="246">
        <f>SUMIF(L403:L412,"&gt;0")</f>
        <v>0.76412499999999994</v>
      </c>
      <c r="O403" s="88"/>
      <c r="P403" s="62" t="s">
        <v>40</v>
      </c>
      <c r="Q403" s="88"/>
      <c r="R403" s="63">
        <f>IF(OR(P403="",L403="NO BET"),0,IF(AND(K403=P403),IF(AND(K403="T2"),ROUNDUP(H403*M403*0.95,2)-M403,ROUNDUP(G403*M403*0.95,2)-M403),-M403))</f>
        <v>0</v>
      </c>
      <c r="S403" s="87"/>
      <c r="T403" s="237">
        <f>SUM(R403:R412)</f>
        <v>-102.75999999999999</v>
      </c>
      <c r="U403" s="12"/>
    </row>
    <row r="404" spans="1:21" ht="15.75" customHeight="1" x14ac:dyDescent="0.2">
      <c r="A404" s="254" t="s">
        <v>6</v>
      </c>
      <c r="B404" s="242"/>
      <c r="C404" s="64">
        <v>0.61</v>
      </c>
      <c r="D404" s="65" t="s">
        <v>78</v>
      </c>
      <c r="E404" s="65" t="s">
        <v>77</v>
      </c>
      <c r="F404" s="65">
        <f t="shared" ref="F404:F412" si="122">IF(AND(C404=""),"",1-C404)</f>
        <v>0.39</v>
      </c>
      <c r="G404" s="65">
        <v>1.53</v>
      </c>
      <c r="H404" s="65">
        <v>2.37</v>
      </c>
      <c r="I404" s="65">
        <f t="shared" ref="I404:I412" si="123">IF(AND(C404=""),"",G404*C404)</f>
        <v>0.93330000000000002</v>
      </c>
      <c r="J404" s="65">
        <f t="shared" ref="J404:J412" si="124">IF(AND(C404=""),"",H404*F404)</f>
        <v>0.92430000000000012</v>
      </c>
      <c r="K404" s="65" t="str">
        <f t="shared" si="119"/>
        <v>T1</v>
      </c>
      <c r="L404" s="65" t="str">
        <f t="shared" si="120"/>
        <v>NO BET</v>
      </c>
      <c r="M404" s="68" t="str">
        <f t="shared" si="121"/>
        <v>NO BET</v>
      </c>
      <c r="N404" s="247"/>
      <c r="O404" s="12"/>
      <c r="P404" s="69" t="s">
        <v>41</v>
      </c>
      <c r="Q404" s="87"/>
      <c r="R404" s="70">
        <f t="shared" ref="R404:R411" si="125">IF(OR(P404="",L404="NO BET"),0,IF(AND(K404=P404),IF(AND(K404="T2"),ROUNDUP(H404*M404*0.95,2)-M404,ROUNDUP(G404*M404*0.95,2)-M404),-M404))</f>
        <v>0</v>
      </c>
      <c r="S404" s="87"/>
      <c r="T404" s="237"/>
      <c r="U404" s="12"/>
    </row>
    <row r="405" spans="1:21" ht="15.75" customHeight="1" x14ac:dyDescent="0.2">
      <c r="A405" s="254"/>
      <c r="B405" s="242"/>
      <c r="C405" s="71">
        <v>0.86</v>
      </c>
      <c r="D405" s="10" t="s">
        <v>57</v>
      </c>
      <c r="E405" s="10" t="s">
        <v>60</v>
      </c>
      <c r="F405" s="10">
        <f t="shared" si="122"/>
        <v>0.14000000000000001</v>
      </c>
      <c r="G405" s="10">
        <v>1.33</v>
      </c>
      <c r="H405" s="10">
        <v>3.25</v>
      </c>
      <c r="I405" s="10">
        <f t="shared" si="123"/>
        <v>1.1438000000000001</v>
      </c>
      <c r="J405" s="10">
        <f t="shared" si="124"/>
        <v>0.45500000000000007</v>
      </c>
      <c r="K405" s="10" t="str">
        <f t="shared" si="119"/>
        <v>T1</v>
      </c>
      <c r="L405" s="10">
        <f t="shared" si="120"/>
        <v>8.6610000000000076E-2</v>
      </c>
      <c r="M405" s="74">
        <f t="shared" si="121"/>
        <v>56.25</v>
      </c>
      <c r="N405" s="247"/>
      <c r="O405" s="88"/>
      <c r="P405" s="69" t="s">
        <v>40</v>
      </c>
      <c r="Q405" s="87"/>
      <c r="R405" s="70">
        <f t="shared" si="125"/>
        <v>-56.25</v>
      </c>
      <c r="S405" s="87"/>
      <c r="T405" s="237"/>
      <c r="U405" s="12"/>
    </row>
    <row r="406" spans="1:21" ht="15.75" customHeight="1" x14ac:dyDescent="0.2">
      <c r="A406" s="254"/>
      <c r="B406" s="242"/>
      <c r="C406" s="64">
        <v>0.84</v>
      </c>
      <c r="D406" s="65" t="s">
        <v>55</v>
      </c>
      <c r="E406" s="65" t="s">
        <v>69</v>
      </c>
      <c r="F406" s="65">
        <f t="shared" si="122"/>
        <v>0.16000000000000003</v>
      </c>
      <c r="G406" s="65">
        <v>1.44</v>
      </c>
      <c r="H406" s="65">
        <v>2.62</v>
      </c>
      <c r="I406" s="65">
        <f t="shared" si="123"/>
        <v>1.2096</v>
      </c>
      <c r="J406" s="65">
        <f t="shared" si="124"/>
        <v>0.41920000000000007</v>
      </c>
      <c r="K406" s="65" t="str">
        <f t="shared" si="119"/>
        <v>T1</v>
      </c>
      <c r="L406" s="65">
        <f t="shared" si="120"/>
        <v>0.14911999999999992</v>
      </c>
      <c r="M406" s="68">
        <f t="shared" si="121"/>
        <v>56.25</v>
      </c>
      <c r="N406" s="247"/>
      <c r="O406" s="92"/>
      <c r="P406" s="69" t="s">
        <v>41</v>
      </c>
      <c r="Q406" s="87"/>
      <c r="R406" s="70">
        <f t="shared" si="125"/>
        <v>20.700000000000003</v>
      </c>
      <c r="S406" s="87"/>
      <c r="T406" s="237"/>
      <c r="U406" s="12"/>
    </row>
    <row r="407" spans="1:21" ht="15.75" customHeight="1" x14ac:dyDescent="0.2">
      <c r="A407" s="254"/>
      <c r="B407" s="242"/>
      <c r="C407" s="71">
        <v>0.64</v>
      </c>
      <c r="D407" s="10" t="s">
        <v>74</v>
      </c>
      <c r="E407" s="10" t="s">
        <v>66</v>
      </c>
      <c r="F407" s="10">
        <f t="shared" si="122"/>
        <v>0.36</v>
      </c>
      <c r="G407" s="10">
        <v>1.9</v>
      </c>
      <c r="H407" s="10">
        <v>1.8</v>
      </c>
      <c r="I407" s="10">
        <f>IF(AND(C407=""),"",G407*C407)</f>
        <v>1.216</v>
      </c>
      <c r="J407" s="10">
        <f>IF(AND(C407=""),"",H407*F407)</f>
        <v>0.64800000000000002</v>
      </c>
      <c r="K407" s="10" t="str">
        <f t="shared" si="119"/>
        <v>T1</v>
      </c>
      <c r="L407" s="10">
        <f t="shared" si="120"/>
        <v>0.1552</v>
      </c>
      <c r="M407" s="75">
        <f t="shared" si="121"/>
        <v>56.25</v>
      </c>
      <c r="N407" s="247"/>
      <c r="O407" s="92"/>
      <c r="P407" s="69" t="s">
        <v>41</v>
      </c>
      <c r="Q407" s="87"/>
      <c r="R407" s="70">
        <f t="shared" si="125"/>
        <v>45.290000000000006</v>
      </c>
      <c r="S407" s="87"/>
      <c r="T407" s="237"/>
      <c r="U407" s="12"/>
    </row>
    <row r="408" spans="1:21" ht="15.75" customHeight="1" x14ac:dyDescent="0.2">
      <c r="A408" s="254"/>
      <c r="B408" s="242"/>
      <c r="C408" s="64">
        <v>0.63</v>
      </c>
      <c r="D408" s="65" t="s">
        <v>78</v>
      </c>
      <c r="E408" s="65" t="s">
        <v>69</v>
      </c>
      <c r="F408" s="65">
        <f t="shared" si="122"/>
        <v>0.37</v>
      </c>
      <c r="G408" s="65">
        <v>1.66</v>
      </c>
      <c r="H408" s="65">
        <v>2.1</v>
      </c>
      <c r="I408" s="65">
        <f t="shared" si="123"/>
        <v>1.0458000000000001</v>
      </c>
      <c r="J408" s="65">
        <f t="shared" si="124"/>
        <v>0.77700000000000002</v>
      </c>
      <c r="K408" s="65" t="str">
        <f t="shared" si="119"/>
        <v>T1</v>
      </c>
      <c r="L408" s="65" t="str">
        <f t="shared" si="120"/>
        <v>NO BET</v>
      </c>
      <c r="M408" s="68" t="str">
        <f t="shared" si="121"/>
        <v>NO BET</v>
      </c>
      <c r="N408" s="247"/>
      <c r="O408" s="92"/>
      <c r="P408" s="69" t="s">
        <v>40</v>
      </c>
      <c r="Q408" s="87"/>
      <c r="R408" s="70">
        <f t="shared" si="125"/>
        <v>0</v>
      </c>
      <c r="S408" s="87"/>
      <c r="T408" s="237"/>
      <c r="U408" s="12"/>
    </row>
    <row r="409" spans="1:21" ht="16.5" thickBot="1" x14ac:dyDescent="0.25">
      <c r="A409" s="254"/>
      <c r="B409" s="242"/>
      <c r="C409" s="71">
        <v>0.52</v>
      </c>
      <c r="D409" s="10" t="s">
        <v>74</v>
      </c>
      <c r="E409" s="10" t="s">
        <v>60</v>
      </c>
      <c r="F409" s="10">
        <f t="shared" si="122"/>
        <v>0.48</v>
      </c>
      <c r="G409" s="10">
        <v>1.4</v>
      </c>
      <c r="H409" s="10">
        <v>2.75</v>
      </c>
      <c r="I409" s="10">
        <f t="shared" si="123"/>
        <v>0.72799999999999998</v>
      </c>
      <c r="J409" s="10">
        <f t="shared" si="124"/>
        <v>1.3199999999999998</v>
      </c>
      <c r="K409" s="10" t="str">
        <f t="shared" si="119"/>
        <v>T2</v>
      </c>
      <c r="L409" s="10">
        <f t="shared" si="120"/>
        <v>0.25399999999999978</v>
      </c>
      <c r="M409" s="74">
        <f t="shared" si="121"/>
        <v>56.25</v>
      </c>
      <c r="N409" s="247"/>
      <c r="O409" s="12"/>
      <c r="P409" s="69" t="s">
        <v>41</v>
      </c>
      <c r="Q409" s="87"/>
      <c r="R409" s="70">
        <f t="shared" si="125"/>
        <v>-56.25</v>
      </c>
      <c r="S409" s="87"/>
      <c r="T409" s="76" t="s">
        <v>31</v>
      </c>
      <c r="U409" s="12"/>
    </row>
    <row r="410" spans="1:21" x14ac:dyDescent="0.2">
      <c r="A410" s="254"/>
      <c r="B410" s="242"/>
      <c r="C410" s="64">
        <v>0.77</v>
      </c>
      <c r="D410" s="65" t="s">
        <v>66</v>
      </c>
      <c r="E410" s="65" t="s">
        <v>59</v>
      </c>
      <c r="F410" s="65">
        <f t="shared" si="122"/>
        <v>0.22999999999999998</v>
      </c>
      <c r="G410" s="65">
        <v>1.53</v>
      </c>
      <c r="H410" s="65">
        <v>2.37</v>
      </c>
      <c r="I410" s="65">
        <f t="shared" si="123"/>
        <v>1.1781000000000001</v>
      </c>
      <c r="J410" s="65">
        <f t="shared" si="124"/>
        <v>0.54510000000000003</v>
      </c>
      <c r="K410" s="65" t="str">
        <f t="shared" si="119"/>
        <v>T1</v>
      </c>
      <c r="L410" s="65">
        <f t="shared" si="120"/>
        <v>0.11919500000000016</v>
      </c>
      <c r="M410" s="77">
        <f t="shared" si="121"/>
        <v>56.25</v>
      </c>
      <c r="N410" s="247"/>
      <c r="O410" s="12"/>
      <c r="P410" s="69" t="s">
        <v>40</v>
      </c>
      <c r="Q410" s="87"/>
      <c r="R410" s="70">
        <f t="shared" si="125"/>
        <v>-56.25</v>
      </c>
      <c r="S410" s="87"/>
      <c r="T410" s="249">
        <f>IF(AND(NOT(N403=0)),T403/N403,0)</f>
        <v>-134.48061508261083</v>
      </c>
      <c r="U410" s="12"/>
    </row>
    <row r="411" spans="1:21" x14ac:dyDescent="0.2">
      <c r="A411" s="254"/>
      <c r="B411" s="242"/>
      <c r="C411" s="71">
        <v>0.3</v>
      </c>
      <c r="D411" s="10" t="s">
        <v>77</v>
      </c>
      <c r="E411" s="10" t="s">
        <v>55</v>
      </c>
      <c r="F411" s="10">
        <f t="shared" si="122"/>
        <v>0.7</v>
      </c>
      <c r="G411" s="10">
        <v>3</v>
      </c>
      <c r="H411" s="10">
        <v>1.36</v>
      </c>
      <c r="I411" s="10">
        <f t="shared" si="123"/>
        <v>0.89999999999999991</v>
      </c>
      <c r="J411" s="10">
        <f t="shared" si="124"/>
        <v>0.95199999999999996</v>
      </c>
      <c r="K411" s="10" t="str">
        <f t="shared" si="119"/>
        <v>T2</v>
      </c>
      <c r="L411" s="10" t="str">
        <f t="shared" si="120"/>
        <v>NO BET</v>
      </c>
      <c r="M411" s="75" t="str">
        <f t="shared" si="121"/>
        <v>NO BET</v>
      </c>
      <c r="N411" s="247"/>
      <c r="O411" s="12"/>
      <c r="P411" s="69" t="s">
        <v>40</v>
      </c>
      <c r="Q411" s="87"/>
      <c r="R411" s="70">
        <f t="shared" si="125"/>
        <v>0</v>
      </c>
      <c r="S411" s="87"/>
      <c r="T411" s="250"/>
      <c r="U411" s="12"/>
    </row>
    <row r="412" spans="1:21" ht="15.75" thickBot="1" x14ac:dyDescent="0.25">
      <c r="A412" s="255"/>
      <c r="B412" s="243"/>
      <c r="C412" s="93">
        <v>0.38</v>
      </c>
      <c r="D412" s="80" t="s">
        <v>71</v>
      </c>
      <c r="E412" s="80" t="s">
        <v>57</v>
      </c>
      <c r="F412" s="80">
        <f t="shared" si="122"/>
        <v>0.62</v>
      </c>
      <c r="G412" s="80">
        <v>2.75</v>
      </c>
      <c r="H412" s="80">
        <v>1.4</v>
      </c>
      <c r="I412" s="80">
        <f t="shared" si="123"/>
        <v>1.0449999999999999</v>
      </c>
      <c r="J412" s="80">
        <f t="shared" si="124"/>
        <v>0.86799999999999999</v>
      </c>
      <c r="K412" s="80" t="str">
        <f t="shared" si="119"/>
        <v>T1</v>
      </c>
      <c r="L412" s="80" t="str">
        <f t="shared" si="120"/>
        <v>NO BET</v>
      </c>
      <c r="M412" s="83" t="str">
        <f t="shared" si="121"/>
        <v>NO BET</v>
      </c>
      <c r="N412" s="248"/>
      <c r="O412" s="12"/>
      <c r="P412" s="84" t="s">
        <v>41</v>
      </c>
      <c r="Q412" s="12"/>
      <c r="R412" s="85">
        <f>IF(OR(P412="",L412="NO BET"),0,IF(AND(K412=P412),IF(AND(K412="T2"),ROUNDUP(H412*M412*0.95,2)-M412,ROUNDUP(G412*M412*0.95,2)-M412),-M412))</f>
        <v>0</v>
      </c>
      <c r="S412" s="12"/>
      <c r="T412" s="251"/>
      <c r="U412" s="12"/>
    </row>
    <row r="413" spans="1:21" x14ac:dyDescent="0.2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3"/>
      <c r="S413" s="12"/>
      <c r="T413" s="14"/>
      <c r="U413" s="12"/>
    </row>
    <row r="414" spans="1:21" x14ac:dyDescent="0.2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3"/>
      <c r="S414" s="12"/>
      <c r="T414" s="14"/>
      <c r="U414" s="12"/>
    </row>
    <row r="415" spans="1:21" ht="15.75" thickBot="1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3"/>
      <c r="S415" s="12"/>
      <c r="T415" s="14"/>
      <c r="U415" s="12"/>
    </row>
    <row r="416" spans="1:21" ht="19.5" customHeight="1" thickBot="1" x14ac:dyDescent="0.3">
      <c r="A416" s="102" t="s">
        <v>6</v>
      </c>
      <c r="B416" s="241" t="s">
        <v>27</v>
      </c>
      <c r="C416" s="51"/>
      <c r="D416" s="51" t="s">
        <v>9</v>
      </c>
      <c r="E416" s="51" t="s">
        <v>10</v>
      </c>
      <c r="F416" s="51" t="s">
        <v>11</v>
      </c>
      <c r="G416" s="51" t="s">
        <v>12</v>
      </c>
      <c r="H416" s="51" t="s">
        <v>13</v>
      </c>
      <c r="I416" s="51" t="s">
        <v>14</v>
      </c>
      <c r="J416" s="51" t="s">
        <v>15</v>
      </c>
      <c r="K416" s="51" t="s">
        <v>33</v>
      </c>
      <c r="L416" s="51" t="s">
        <v>16</v>
      </c>
      <c r="M416" s="51" t="s">
        <v>38</v>
      </c>
      <c r="N416" s="52" t="s">
        <v>17</v>
      </c>
      <c r="O416" s="88"/>
      <c r="P416" s="53" t="s">
        <v>18</v>
      </c>
      <c r="Q416" s="87"/>
      <c r="R416" s="54" t="s">
        <v>34</v>
      </c>
      <c r="S416" s="87"/>
      <c r="T416" s="56" t="s">
        <v>29</v>
      </c>
      <c r="U416" s="12"/>
    </row>
    <row r="417" spans="1:21" ht="15.75" customHeight="1" x14ac:dyDescent="0.2">
      <c r="A417" s="103"/>
      <c r="B417" s="242"/>
      <c r="C417" s="57">
        <v>0.43</v>
      </c>
      <c r="D417" s="58" t="s">
        <v>71</v>
      </c>
      <c r="E417" s="58" t="s">
        <v>60</v>
      </c>
      <c r="F417" s="58">
        <f>IF(AND(C417=""),"",1-C417)</f>
        <v>0.57000000000000006</v>
      </c>
      <c r="G417" s="58">
        <v>1.5</v>
      </c>
      <c r="H417" s="58">
        <v>2.5</v>
      </c>
      <c r="I417" s="58">
        <f>IF(AND(C417=""),"",G417*C417)</f>
        <v>0.64500000000000002</v>
      </c>
      <c r="J417" s="58">
        <f>IF(AND(C417=""),"",H417*F417)</f>
        <v>1.4250000000000003</v>
      </c>
      <c r="K417" s="58" t="str">
        <f t="shared" ref="K417:K426" si="126">IF(AND(I417=""),"",IF(AND(I417&gt;J417),"T1","T2"))</f>
        <v>T2</v>
      </c>
      <c r="L417" s="58">
        <f t="shared" ref="L417:L426" si="127">IF(AND(K417=""),"",IF(AND((J417*0.95-1)&lt;0,(I417*0.95-1)&lt;0),"NO BET", IF(AND(K417="T1"),I417*0.95 - 1,J417*0.95 - 1)))</f>
        <v>0.35375000000000023</v>
      </c>
      <c r="M417" s="61">
        <f t="shared" ref="M417:M426" si="128">IF(L417="","",IF(L417&lt;0.5,K$2*M$2,IF(L417&lt;0.75,K$2*M$3,IF(L417&lt;1,K$2*M$4,IF(L417&lt;1.25,K$2*M$5,IF(L417&lt;1.5,K$2*M$6,IF(L417&lt;2,K$2*M$7,IF(L417&lt;2.5,K$2*M$8,IF(L417="NO BET","NO BET",K$2*M$9)))))))))</f>
        <v>56.25</v>
      </c>
      <c r="N417" s="246">
        <f>SUMIF(L417:L426,"&gt;0")</f>
        <v>2.0818749999999993</v>
      </c>
      <c r="O417" s="88"/>
      <c r="P417" s="62" t="s">
        <v>40</v>
      </c>
      <c r="Q417" s="88"/>
      <c r="R417" s="63">
        <f>IF(OR(P417="",L417="NO BET"),0,IF(AND(K417=P417),IF(AND(K417="T2"),ROUNDUP(H417*M417*0.95,2)-M417,ROUNDUP(G417*M417*0.95,2)-M417),-M417))</f>
        <v>77.349999999999994</v>
      </c>
      <c r="S417" s="87"/>
      <c r="T417" s="237">
        <f>SUM(R417:R426)</f>
        <v>124.97000000000003</v>
      </c>
      <c r="U417" s="12"/>
    </row>
    <row r="418" spans="1:21" ht="15.75" customHeight="1" x14ac:dyDescent="0.2">
      <c r="A418" s="254" t="s">
        <v>6</v>
      </c>
      <c r="B418" s="242"/>
      <c r="C418" s="64">
        <v>0.39</v>
      </c>
      <c r="D418" s="65" t="s">
        <v>66</v>
      </c>
      <c r="E418" s="65" t="s">
        <v>69</v>
      </c>
      <c r="F418" s="65">
        <f t="shared" ref="F418:F426" si="129">IF(AND(C418=""),"",1-C418)</f>
        <v>0.61</v>
      </c>
      <c r="G418" s="65">
        <v>1.66</v>
      </c>
      <c r="H418" s="65">
        <v>2.1</v>
      </c>
      <c r="I418" s="65">
        <f t="shared" ref="I418:I426" si="130">IF(AND(C418=""),"",G418*C418)</f>
        <v>0.64739999999999998</v>
      </c>
      <c r="J418" s="65">
        <f t="shared" ref="J418:J426" si="131">IF(AND(C418=""),"",H418*F418)</f>
        <v>1.2809999999999999</v>
      </c>
      <c r="K418" s="65" t="str">
        <f t="shared" si="126"/>
        <v>T2</v>
      </c>
      <c r="L418" s="65">
        <f t="shared" si="127"/>
        <v>0.21694999999999975</v>
      </c>
      <c r="M418" s="68">
        <f t="shared" si="128"/>
        <v>56.25</v>
      </c>
      <c r="N418" s="247"/>
      <c r="O418" s="12"/>
      <c r="P418" s="69" t="s">
        <v>40</v>
      </c>
      <c r="Q418" s="87"/>
      <c r="R418" s="70">
        <f t="shared" ref="R418:R425" si="132">IF(OR(P418="",L418="NO BET"),0,IF(AND(K418=P418),IF(AND(K418="T2"),ROUNDUP(H418*M418*0.95,2)-M418,ROUNDUP(G418*M418*0.95,2)-M418),-M418))</f>
        <v>55.97</v>
      </c>
      <c r="S418" s="87"/>
      <c r="T418" s="237"/>
      <c r="U418" s="12"/>
    </row>
    <row r="419" spans="1:21" ht="15.75" customHeight="1" x14ac:dyDescent="0.2">
      <c r="A419" s="254"/>
      <c r="B419" s="242"/>
      <c r="C419" s="71">
        <v>0.27</v>
      </c>
      <c r="D419" s="10" t="s">
        <v>74</v>
      </c>
      <c r="E419" s="10" t="s">
        <v>78</v>
      </c>
      <c r="F419" s="10">
        <f t="shared" si="129"/>
        <v>0.73</v>
      </c>
      <c r="G419" s="10">
        <v>1.72</v>
      </c>
      <c r="H419" s="10">
        <v>2</v>
      </c>
      <c r="I419" s="10">
        <f t="shared" si="130"/>
        <v>0.46440000000000003</v>
      </c>
      <c r="J419" s="10">
        <f t="shared" si="131"/>
        <v>1.46</v>
      </c>
      <c r="K419" s="10" t="str">
        <f t="shared" si="126"/>
        <v>T2</v>
      </c>
      <c r="L419" s="10">
        <f t="shared" si="127"/>
        <v>0.38700000000000001</v>
      </c>
      <c r="M419" s="74">
        <f t="shared" si="128"/>
        <v>56.25</v>
      </c>
      <c r="N419" s="247"/>
      <c r="O419" s="88"/>
      <c r="P419" s="69" t="s">
        <v>40</v>
      </c>
      <c r="Q419" s="87"/>
      <c r="R419" s="70">
        <f t="shared" si="132"/>
        <v>50.63000000000001</v>
      </c>
      <c r="S419" s="87"/>
      <c r="T419" s="237"/>
      <c r="U419" s="12"/>
    </row>
    <row r="420" spans="1:21" ht="15.75" customHeight="1" x14ac:dyDescent="0.2">
      <c r="A420" s="254"/>
      <c r="B420" s="242"/>
      <c r="C420" s="64">
        <v>0.41</v>
      </c>
      <c r="D420" s="65" t="s">
        <v>59</v>
      </c>
      <c r="E420" s="65" t="s">
        <v>55</v>
      </c>
      <c r="F420" s="65">
        <f t="shared" si="129"/>
        <v>0.59000000000000008</v>
      </c>
      <c r="G420" s="65">
        <v>3</v>
      </c>
      <c r="H420" s="65">
        <v>1.36</v>
      </c>
      <c r="I420" s="65">
        <f t="shared" si="130"/>
        <v>1.23</v>
      </c>
      <c r="J420" s="65">
        <f t="shared" si="131"/>
        <v>0.80240000000000011</v>
      </c>
      <c r="K420" s="65" t="str">
        <f t="shared" si="126"/>
        <v>T1</v>
      </c>
      <c r="L420" s="65">
        <f t="shared" si="127"/>
        <v>0.16849999999999987</v>
      </c>
      <c r="M420" s="68">
        <f t="shared" si="128"/>
        <v>56.25</v>
      </c>
      <c r="N420" s="247"/>
      <c r="O420" s="92"/>
      <c r="P420" s="69" t="s">
        <v>40</v>
      </c>
      <c r="Q420" s="87"/>
      <c r="R420" s="70">
        <f t="shared" si="132"/>
        <v>-56.25</v>
      </c>
      <c r="S420" s="87"/>
      <c r="T420" s="237"/>
      <c r="U420" s="12"/>
    </row>
    <row r="421" spans="1:21" ht="15.75" customHeight="1" x14ac:dyDescent="0.2">
      <c r="A421" s="254"/>
      <c r="B421" s="242"/>
      <c r="C421" s="71">
        <v>0.24</v>
      </c>
      <c r="D421" s="10" t="s">
        <v>77</v>
      </c>
      <c r="E421" s="10" t="s">
        <v>57</v>
      </c>
      <c r="F421" s="10">
        <f t="shared" si="129"/>
        <v>0.76</v>
      </c>
      <c r="G421" s="10">
        <v>3.4</v>
      </c>
      <c r="H421" s="10">
        <v>1.3</v>
      </c>
      <c r="I421" s="10">
        <f t="shared" si="130"/>
        <v>0.81599999999999995</v>
      </c>
      <c r="J421" s="10">
        <f t="shared" si="131"/>
        <v>0.9880000000000001</v>
      </c>
      <c r="K421" s="10" t="str">
        <f t="shared" si="126"/>
        <v>T2</v>
      </c>
      <c r="L421" s="10" t="str">
        <f t="shared" si="127"/>
        <v>NO BET</v>
      </c>
      <c r="M421" s="75" t="str">
        <f t="shared" si="128"/>
        <v>NO BET</v>
      </c>
      <c r="N421" s="247"/>
      <c r="O421" s="92"/>
      <c r="P421" s="69" t="s">
        <v>40</v>
      </c>
      <c r="Q421" s="87"/>
      <c r="R421" s="70">
        <f t="shared" si="132"/>
        <v>0</v>
      </c>
      <c r="S421" s="87"/>
      <c r="T421" s="237"/>
      <c r="U421" s="12"/>
    </row>
    <row r="422" spans="1:21" ht="15.75" customHeight="1" x14ac:dyDescent="0.2">
      <c r="A422" s="254"/>
      <c r="B422" s="242"/>
      <c r="C422" s="64">
        <v>0.26</v>
      </c>
      <c r="D422" s="65" t="s">
        <v>59</v>
      </c>
      <c r="E422" s="65" t="s">
        <v>74</v>
      </c>
      <c r="F422" s="65">
        <f t="shared" si="129"/>
        <v>0.74</v>
      </c>
      <c r="G422" s="65">
        <v>2.5</v>
      </c>
      <c r="H422" s="65">
        <v>1.5</v>
      </c>
      <c r="I422" s="65">
        <f t="shared" si="130"/>
        <v>0.65</v>
      </c>
      <c r="J422" s="65">
        <f t="shared" si="131"/>
        <v>1.1099999999999999</v>
      </c>
      <c r="K422" s="65" t="str">
        <f t="shared" si="126"/>
        <v>T2</v>
      </c>
      <c r="L422" s="65">
        <f t="shared" si="127"/>
        <v>5.4499999999999771E-2</v>
      </c>
      <c r="M422" s="68">
        <f t="shared" si="128"/>
        <v>56.25</v>
      </c>
      <c r="N422" s="247"/>
      <c r="O422" s="92"/>
      <c r="P422" s="69" t="s">
        <v>40</v>
      </c>
      <c r="Q422" s="87"/>
      <c r="R422" s="70">
        <f t="shared" si="132"/>
        <v>23.910000000000011</v>
      </c>
      <c r="S422" s="87"/>
      <c r="T422" s="237"/>
      <c r="U422" s="12"/>
    </row>
    <row r="423" spans="1:21" ht="16.5" thickBot="1" x14ac:dyDescent="0.25">
      <c r="A423" s="254"/>
      <c r="B423" s="242"/>
      <c r="C423" s="71">
        <v>0.34</v>
      </c>
      <c r="D423" s="10" t="s">
        <v>60</v>
      </c>
      <c r="E423" s="10" t="s">
        <v>69</v>
      </c>
      <c r="F423" s="10">
        <f t="shared" si="129"/>
        <v>0.65999999999999992</v>
      </c>
      <c r="G423" s="10">
        <v>2.62</v>
      </c>
      <c r="H423" s="10">
        <v>1.44</v>
      </c>
      <c r="I423" s="10">
        <f t="shared" si="130"/>
        <v>0.89080000000000015</v>
      </c>
      <c r="J423" s="10">
        <f t="shared" si="131"/>
        <v>0.9503999999999998</v>
      </c>
      <c r="K423" s="10" t="str">
        <f t="shared" si="126"/>
        <v>T2</v>
      </c>
      <c r="L423" s="10" t="str">
        <f t="shared" si="127"/>
        <v>NO BET</v>
      </c>
      <c r="M423" s="74" t="str">
        <f t="shared" si="128"/>
        <v>NO BET</v>
      </c>
      <c r="N423" s="247"/>
      <c r="O423" s="12"/>
      <c r="P423" s="69" t="s">
        <v>41</v>
      </c>
      <c r="Q423" s="87"/>
      <c r="R423" s="70">
        <f t="shared" si="132"/>
        <v>0</v>
      </c>
      <c r="S423" s="87"/>
      <c r="T423" s="76" t="s">
        <v>31</v>
      </c>
      <c r="U423" s="12"/>
    </row>
    <row r="424" spans="1:21" x14ac:dyDescent="0.2">
      <c r="A424" s="254"/>
      <c r="B424" s="242"/>
      <c r="C424" s="64">
        <v>0.5</v>
      </c>
      <c r="D424" s="65" t="s">
        <v>77</v>
      </c>
      <c r="E424" s="65" t="s">
        <v>66</v>
      </c>
      <c r="F424" s="65">
        <f t="shared" si="129"/>
        <v>0.5</v>
      </c>
      <c r="G424" s="65">
        <v>3.25</v>
      </c>
      <c r="H424" s="65">
        <v>1.33</v>
      </c>
      <c r="I424" s="65">
        <f t="shared" si="130"/>
        <v>1.625</v>
      </c>
      <c r="J424" s="65">
        <f t="shared" si="131"/>
        <v>0.66500000000000004</v>
      </c>
      <c r="K424" s="65" t="str">
        <f t="shared" si="126"/>
        <v>T1</v>
      </c>
      <c r="L424" s="65">
        <f t="shared" si="127"/>
        <v>0.54374999999999996</v>
      </c>
      <c r="M424" s="77">
        <f t="shared" si="128"/>
        <v>75</v>
      </c>
      <c r="N424" s="247"/>
      <c r="O424" s="12"/>
      <c r="P424" s="69" t="s">
        <v>40</v>
      </c>
      <c r="Q424" s="87"/>
      <c r="R424" s="70">
        <f t="shared" si="132"/>
        <v>-75</v>
      </c>
      <c r="S424" s="87"/>
      <c r="T424" s="249">
        <f>IF(AND(NOT(N417=0)),T417/N417,0)</f>
        <v>60.027619333533508</v>
      </c>
      <c r="U424" s="12"/>
    </row>
    <row r="425" spans="1:21" x14ac:dyDescent="0.2">
      <c r="A425" s="254"/>
      <c r="B425" s="242"/>
      <c r="C425" s="71">
        <v>0.75</v>
      </c>
      <c r="D425" s="10" t="s">
        <v>57</v>
      </c>
      <c r="E425" s="10" t="s">
        <v>78</v>
      </c>
      <c r="F425" s="10">
        <f t="shared" si="129"/>
        <v>0.25</v>
      </c>
      <c r="G425" s="10">
        <v>1.61</v>
      </c>
      <c r="H425" s="10">
        <v>2.2000000000000002</v>
      </c>
      <c r="I425" s="10">
        <f t="shared" si="130"/>
        <v>1.2075</v>
      </c>
      <c r="J425" s="10">
        <f t="shared" si="131"/>
        <v>0.55000000000000004</v>
      </c>
      <c r="K425" s="10" t="str">
        <f t="shared" si="126"/>
        <v>T1</v>
      </c>
      <c r="L425" s="10">
        <f t="shared" si="127"/>
        <v>0.14712499999999995</v>
      </c>
      <c r="M425" s="75">
        <f t="shared" si="128"/>
        <v>56.25</v>
      </c>
      <c r="N425" s="247"/>
      <c r="O425" s="12"/>
      <c r="P425" s="69" t="s">
        <v>41</v>
      </c>
      <c r="Q425" s="87"/>
      <c r="R425" s="70">
        <f t="shared" si="132"/>
        <v>29.790000000000006</v>
      </c>
      <c r="S425" s="87"/>
      <c r="T425" s="250"/>
      <c r="U425" s="12"/>
    </row>
    <row r="426" spans="1:21" ht="15.75" thickBot="1" x14ac:dyDescent="0.25">
      <c r="A426" s="255"/>
      <c r="B426" s="243"/>
      <c r="C426" s="93">
        <v>0.91</v>
      </c>
      <c r="D426" s="80" t="s">
        <v>55</v>
      </c>
      <c r="E426" s="80" t="s">
        <v>71</v>
      </c>
      <c r="F426" s="80">
        <f t="shared" si="129"/>
        <v>8.9999999999999969E-2</v>
      </c>
      <c r="G426" s="80">
        <v>1.4</v>
      </c>
      <c r="H426" s="80">
        <v>2.75</v>
      </c>
      <c r="I426" s="80">
        <f t="shared" si="130"/>
        <v>1.274</v>
      </c>
      <c r="J426" s="80">
        <f t="shared" si="131"/>
        <v>0.24749999999999991</v>
      </c>
      <c r="K426" s="80" t="str">
        <f t="shared" si="126"/>
        <v>T1</v>
      </c>
      <c r="L426" s="80">
        <f t="shared" si="127"/>
        <v>0.21029999999999993</v>
      </c>
      <c r="M426" s="83">
        <f t="shared" si="128"/>
        <v>56.25</v>
      </c>
      <c r="N426" s="248"/>
      <c r="O426" s="12"/>
      <c r="P426" s="84" t="s">
        <v>41</v>
      </c>
      <c r="Q426" s="12"/>
      <c r="R426" s="85">
        <f>IF(OR(P426="",L426="NO BET"),0,IF(AND(K426=P426),IF(AND(K426="T2"),ROUNDUP(H426*M426*0.95,2)-M426,ROUNDUP(G426*M426*0.95,2)-M426),-M426))</f>
        <v>18.570000000000007</v>
      </c>
      <c r="S426" s="12"/>
      <c r="T426" s="251"/>
      <c r="U426" s="12"/>
    </row>
    <row r="427" spans="1:21" x14ac:dyDescent="0.2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3"/>
      <c r="S427" s="12"/>
      <c r="T427" s="14"/>
      <c r="U427" s="12"/>
    </row>
    <row r="428" spans="1:21" x14ac:dyDescent="0.2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3"/>
      <c r="S428" s="12"/>
      <c r="T428" s="14"/>
      <c r="U428" s="12"/>
    </row>
    <row r="429" spans="1:21" ht="15.75" thickBot="1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3"/>
      <c r="S429" s="12"/>
      <c r="T429" s="14"/>
      <c r="U429" s="12"/>
    </row>
    <row r="430" spans="1:21" ht="19.5" customHeight="1" thickBot="1" x14ac:dyDescent="0.3">
      <c r="A430" s="102" t="s">
        <v>6</v>
      </c>
      <c r="B430" s="241" t="s">
        <v>28</v>
      </c>
      <c r="C430" s="51"/>
      <c r="D430" s="51" t="s">
        <v>9</v>
      </c>
      <c r="E430" s="51" t="s">
        <v>10</v>
      </c>
      <c r="F430" s="51" t="s">
        <v>11</v>
      </c>
      <c r="G430" s="51" t="s">
        <v>12</v>
      </c>
      <c r="H430" s="51" t="s">
        <v>13</v>
      </c>
      <c r="I430" s="51" t="s">
        <v>14</v>
      </c>
      <c r="J430" s="51" t="s">
        <v>15</v>
      </c>
      <c r="K430" s="51" t="s">
        <v>33</v>
      </c>
      <c r="L430" s="51" t="s">
        <v>16</v>
      </c>
      <c r="M430" s="51" t="s">
        <v>38</v>
      </c>
      <c r="N430" s="52" t="s">
        <v>17</v>
      </c>
      <c r="O430" s="88"/>
      <c r="P430" s="53" t="s">
        <v>18</v>
      </c>
      <c r="Q430" s="87"/>
      <c r="R430" s="54" t="s">
        <v>34</v>
      </c>
      <c r="S430" s="87"/>
      <c r="T430" s="56" t="s">
        <v>29</v>
      </c>
      <c r="U430" s="12"/>
    </row>
    <row r="431" spans="1:21" ht="15.75" customHeight="1" x14ac:dyDescent="0.2">
      <c r="A431" s="103"/>
      <c r="B431" s="242"/>
      <c r="C431" s="98"/>
      <c r="D431" s="58"/>
      <c r="E431" s="58"/>
      <c r="F431" s="58" t="str">
        <f>IF(AND(C431=""),"",1-C431)</f>
        <v/>
      </c>
      <c r="G431" s="58"/>
      <c r="H431" s="58"/>
      <c r="I431" s="58" t="str">
        <f>IF(AND(C431=""),"",G431*C431)</f>
        <v/>
      </c>
      <c r="J431" s="58" t="str">
        <f>IF(AND(C431=""),"",H431*F431)</f>
        <v/>
      </c>
      <c r="K431" s="58" t="str">
        <f t="shared" ref="K431:K440" si="133">IF(AND(I431=""),"",IF(AND(I431&gt;J431),"T1","T2"))</f>
        <v/>
      </c>
      <c r="L431" s="58" t="str">
        <f t="shared" ref="L431:L440" si="134">IF(AND(K431=""),"",IF(AND((J431*0.95-1)&lt;0,(I431*0.95-1)&lt;0),"NO BET", IF(AND(K431="T1"),I431*0.95 - 1,J431*0.95 - 1)))</f>
        <v/>
      </c>
      <c r="M431" s="61" t="str">
        <f t="shared" ref="M431:M440" si="135">IF(L431="","",IF(L431&lt;0.5,K$2*M$2,IF(L431&lt;0.75,K$2*M$3,IF(L431&lt;1,K$2*M$4,IF(L431&lt;1.25,K$2*M$5,IF(L431&lt;1.5,K$2*M$6,IF(L431&lt;2,K$2*M$7,IF(L431&lt;2.5,K$2*M$8,IF(L431="NO BET","NO BET",K$2*M$9)))))))))</f>
        <v/>
      </c>
      <c r="N431" s="246">
        <f>SUMIF(L431:L440,"&gt;0")</f>
        <v>0</v>
      </c>
      <c r="O431" s="88"/>
      <c r="P431" s="62"/>
      <c r="Q431" s="88"/>
      <c r="R431" s="63">
        <f>IF(OR(P431="",L431="NO BET"),0,IF(AND(K431=P431),IF(AND(K431="T2"),ROUNDUP(H431*M431*0.95,2)-M431,ROUNDUP(G431*M431*0.95,2)-M431),-M431))</f>
        <v>0</v>
      </c>
      <c r="S431" s="87"/>
      <c r="T431" s="237">
        <f>SUM(R431:R440)</f>
        <v>0</v>
      </c>
      <c r="U431" s="12"/>
    </row>
    <row r="432" spans="1:21" ht="15.75" customHeight="1" x14ac:dyDescent="0.2">
      <c r="A432" s="254" t="s">
        <v>6</v>
      </c>
      <c r="B432" s="242"/>
      <c r="C432" s="96"/>
      <c r="D432" s="65"/>
      <c r="E432" s="65"/>
      <c r="F432" s="65" t="str">
        <f t="shared" ref="F432:F440" si="136">IF(AND(C432=""),"",1-C432)</f>
        <v/>
      </c>
      <c r="G432" s="65"/>
      <c r="H432" s="65"/>
      <c r="I432" s="65" t="str">
        <f t="shared" ref="I432:I440" si="137">IF(AND(C432=""),"",G432*C432)</f>
        <v/>
      </c>
      <c r="J432" s="65" t="str">
        <f t="shared" ref="J432:J440" si="138">IF(AND(C432=""),"",H432*F432)</f>
        <v/>
      </c>
      <c r="K432" s="65" t="str">
        <f t="shared" si="133"/>
        <v/>
      </c>
      <c r="L432" s="65" t="str">
        <f t="shared" si="134"/>
        <v/>
      </c>
      <c r="M432" s="68" t="str">
        <f t="shared" si="135"/>
        <v/>
      </c>
      <c r="N432" s="247"/>
      <c r="O432" s="12"/>
      <c r="P432" s="69"/>
      <c r="Q432" s="87"/>
      <c r="R432" s="70">
        <f t="shared" ref="R432:R439" si="139">IF(OR(P432="",L432="NO BET"),0,IF(AND(K432=P432),IF(AND(K432="T2"),ROUNDUP(H432*M432*0.95,2)-M432,ROUNDUP(G432*M432*0.95,2)-M432),-M432))</f>
        <v>0</v>
      </c>
      <c r="S432" s="87"/>
      <c r="T432" s="237"/>
      <c r="U432" s="12"/>
    </row>
    <row r="433" spans="1:21" ht="15.75" customHeight="1" x14ac:dyDescent="0.2">
      <c r="A433" s="254"/>
      <c r="B433" s="242"/>
      <c r="C433" s="95"/>
      <c r="D433" s="10"/>
      <c r="E433" s="10"/>
      <c r="F433" s="10" t="str">
        <f t="shared" si="136"/>
        <v/>
      </c>
      <c r="G433" s="10"/>
      <c r="H433" s="10"/>
      <c r="I433" s="10" t="str">
        <f t="shared" si="137"/>
        <v/>
      </c>
      <c r="J433" s="10" t="str">
        <f t="shared" si="138"/>
        <v/>
      </c>
      <c r="K433" s="10" t="str">
        <f t="shared" si="133"/>
        <v/>
      </c>
      <c r="L433" s="10" t="str">
        <f t="shared" si="134"/>
        <v/>
      </c>
      <c r="M433" s="74" t="str">
        <f t="shared" si="135"/>
        <v/>
      </c>
      <c r="N433" s="247"/>
      <c r="O433" s="88"/>
      <c r="P433" s="69"/>
      <c r="Q433" s="87"/>
      <c r="R433" s="70">
        <f t="shared" si="139"/>
        <v>0</v>
      </c>
      <c r="S433" s="87"/>
      <c r="T433" s="237"/>
      <c r="U433" s="12"/>
    </row>
    <row r="434" spans="1:21" ht="15.75" customHeight="1" x14ac:dyDescent="0.2">
      <c r="A434" s="254"/>
      <c r="B434" s="242"/>
      <c r="C434" s="96"/>
      <c r="D434" s="65"/>
      <c r="E434" s="65"/>
      <c r="F434" s="65" t="str">
        <f t="shared" si="136"/>
        <v/>
      </c>
      <c r="G434" s="65"/>
      <c r="H434" s="65"/>
      <c r="I434" s="65" t="str">
        <f t="shared" si="137"/>
        <v/>
      </c>
      <c r="J434" s="65" t="str">
        <f t="shared" si="138"/>
        <v/>
      </c>
      <c r="K434" s="65" t="str">
        <f t="shared" si="133"/>
        <v/>
      </c>
      <c r="L434" s="65" t="str">
        <f t="shared" si="134"/>
        <v/>
      </c>
      <c r="M434" s="68" t="str">
        <f t="shared" si="135"/>
        <v/>
      </c>
      <c r="N434" s="247"/>
      <c r="O434" s="92"/>
      <c r="P434" s="69"/>
      <c r="Q434" s="87"/>
      <c r="R434" s="70">
        <f t="shared" si="139"/>
        <v>0</v>
      </c>
      <c r="S434" s="87"/>
      <c r="T434" s="237"/>
      <c r="U434" s="12"/>
    </row>
    <row r="435" spans="1:21" ht="15.75" customHeight="1" x14ac:dyDescent="0.2">
      <c r="A435" s="254"/>
      <c r="B435" s="242"/>
      <c r="C435" s="95"/>
      <c r="D435" s="10"/>
      <c r="E435" s="10"/>
      <c r="F435" s="10" t="str">
        <f t="shared" si="136"/>
        <v/>
      </c>
      <c r="G435" s="10"/>
      <c r="H435" s="10"/>
      <c r="I435" s="10" t="str">
        <f t="shared" si="137"/>
        <v/>
      </c>
      <c r="J435" s="10" t="str">
        <f t="shared" si="138"/>
        <v/>
      </c>
      <c r="K435" s="10" t="str">
        <f t="shared" si="133"/>
        <v/>
      </c>
      <c r="L435" s="10" t="str">
        <f t="shared" si="134"/>
        <v/>
      </c>
      <c r="M435" s="75" t="str">
        <f t="shared" si="135"/>
        <v/>
      </c>
      <c r="N435" s="247"/>
      <c r="O435" s="92"/>
      <c r="P435" s="69"/>
      <c r="Q435" s="87"/>
      <c r="R435" s="70">
        <f t="shared" si="139"/>
        <v>0</v>
      </c>
      <c r="S435" s="87"/>
      <c r="T435" s="237"/>
      <c r="U435" s="12"/>
    </row>
    <row r="436" spans="1:21" ht="15.75" customHeight="1" x14ac:dyDescent="0.2">
      <c r="A436" s="254"/>
      <c r="B436" s="242"/>
      <c r="C436" s="96"/>
      <c r="D436" s="65"/>
      <c r="E436" s="65"/>
      <c r="F436" s="65" t="str">
        <f t="shared" si="136"/>
        <v/>
      </c>
      <c r="G436" s="65"/>
      <c r="H436" s="65"/>
      <c r="I436" s="65" t="str">
        <f t="shared" si="137"/>
        <v/>
      </c>
      <c r="J436" s="65" t="str">
        <f t="shared" si="138"/>
        <v/>
      </c>
      <c r="K436" s="65" t="str">
        <f t="shared" si="133"/>
        <v/>
      </c>
      <c r="L436" s="65" t="str">
        <f t="shared" si="134"/>
        <v/>
      </c>
      <c r="M436" s="68" t="str">
        <f t="shared" si="135"/>
        <v/>
      </c>
      <c r="N436" s="247"/>
      <c r="O436" s="92"/>
      <c r="P436" s="69"/>
      <c r="Q436" s="87"/>
      <c r="R436" s="70">
        <f t="shared" si="139"/>
        <v>0</v>
      </c>
      <c r="S436" s="87"/>
      <c r="T436" s="237"/>
      <c r="U436" s="12"/>
    </row>
    <row r="437" spans="1:21" ht="16.5" thickBot="1" x14ac:dyDescent="0.25">
      <c r="A437" s="254"/>
      <c r="B437" s="242"/>
      <c r="C437" s="95"/>
      <c r="D437" s="10"/>
      <c r="E437" s="10"/>
      <c r="F437" s="10" t="str">
        <f t="shared" si="136"/>
        <v/>
      </c>
      <c r="G437" s="10"/>
      <c r="H437" s="10"/>
      <c r="I437" s="10" t="str">
        <f t="shared" si="137"/>
        <v/>
      </c>
      <c r="J437" s="10" t="str">
        <f t="shared" si="138"/>
        <v/>
      </c>
      <c r="K437" s="10" t="str">
        <f t="shared" si="133"/>
        <v/>
      </c>
      <c r="L437" s="10" t="str">
        <f t="shared" si="134"/>
        <v/>
      </c>
      <c r="M437" s="74" t="str">
        <f t="shared" si="135"/>
        <v/>
      </c>
      <c r="N437" s="247"/>
      <c r="O437" s="12"/>
      <c r="P437" s="69"/>
      <c r="Q437" s="87"/>
      <c r="R437" s="70">
        <f t="shared" si="139"/>
        <v>0</v>
      </c>
      <c r="S437" s="87"/>
      <c r="T437" s="76" t="s">
        <v>31</v>
      </c>
      <c r="U437" s="12"/>
    </row>
    <row r="438" spans="1:21" x14ac:dyDescent="0.2">
      <c r="A438" s="254"/>
      <c r="B438" s="242"/>
      <c r="C438" s="96"/>
      <c r="D438" s="65"/>
      <c r="E438" s="65"/>
      <c r="F438" s="65" t="str">
        <f t="shared" si="136"/>
        <v/>
      </c>
      <c r="G438" s="65"/>
      <c r="H438" s="65"/>
      <c r="I438" s="65" t="str">
        <f t="shared" si="137"/>
        <v/>
      </c>
      <c r="J438" s="65" t="str">
        <f t="shared" si="138"/>
        <v/>
      </c>
      <c r="K438" s="65" t="str">
        <f t="shared" si="133"/>
        <v/>
      </c>
      <c r="L438" s="65" t="str">
        <f t="shared" si="134"/>
        <v/>
      </c>
      <c r="M438" s="77" t="str">
        <f t="shared" si="135"/>
        <v/>
      </c>
      <c r="N438" s="247"/>
      <c r="O438" s="12"/>
      <c r="P438" s="69"/>
      <c r="Q438" s="87"/>
      <c r="R438" s="70">
        <f t="shared" si="139"/>
        <v>0</v>
      </c>
      <c r="S438" s="87"/>
      <c r="T438" s="249">
        <f>IF(AND(NOT(N431=0)),T431/N431,0)</f>
        <v>0</v>
      </c>
      <c r="U438" s="12"/>
    </row>
    <row r="439" spans="1:21" x14ac:dyDescent="0.2">
      <c r="A439" s="254"/>
      <c r="B439" s="242"/>
      <c r="C439" s="95"/>
      <c r="D439" s="10"/>
      <c r="E439" s="10"/>
      <c r="F439" s="10" t="str">
        <f t="shared" si="136"/>
        <v/>
      </c>
      <c r="G439" s="10"/>
      <c r="H439" s="10"/>
      <c r="I439" s="10" t="str">
        <f t="shared" si="137"/>
        <v/>
      </c>
      <c r="J439" s="10" t="str">
        <f t="shared" si="138"/>
        <v/>
      </c>
      <c r="K439" s="10" t="str">
        <f t="shared" si="133"/>
        <v/>
      </c>
      <c r="L439" s="10" t="str">
        <f t="shared" si="134"/>
        <v/>
      </c>
      <c r="M439" s="75" t="str">
        <f t="shared" si="135"/>
        <v/>
      </c>
      <c r="N439" s="247"/>
      <c r="O439" s="12"/>
      <c r="P439" s="69"/>
      <c r="Q439" s="87"/>
      <c r="R439" s="70">
        <f t="shared" si="139"/>
        <v>0</v>
      </c>
      <c r="S439" s="87"/>
      <c r="T439" s="250"/>
      <c r="U439" s="12"/>
    </row>
    <row r="440" spans="1:21" ht="15.75" thickBot="1" x14ac:dyDescent="0.25">
      <c r="A440" s="255"/>
      <c r="B440" s="243"/>
      <c r="C440" s="97"/>
      <c r="D440" s="80"/>
      <c r="E440" s="80"/>
      <c r="F440" s="80" t="str">
        <f t="shared" si="136"/>
        <v/>
      </c>
      <c r="G440" s="80"/>
      <c r="H440" s="80"/>
      <c r="I440" s="80" t="str">
        <f t="shared" si="137"/>
        <v/>
      </c>
      <c r="J440" s="80" t="str">
        <f t="shared" si="138"/>
        <v/>
      </c>
      <c r="K440" s="80" t="str">
        <f t="shared" si="133"/>
        <v/>
      </c>
      <c r="L440" s="80" t="str">
        <f t="shared" si="134"/>
        <v/>
      </c>
      <c r="M440" s="83" t="str">
        <f t="shared" si="135"/>
        <v/>
      </c>
      <c r="N440" s="248"/>
      <c r="O440" s="12"/>
      <c r="P440" s="84"/>
      <c r="Q440" s="12"/>
      <c r="R440" s="85">
        <f>IF(OR(P440="",L440="NO BET"),0,IF(AND(K440=P440),IF(AND(K440="T2"),ROUNDUP(H440*M440*0.95,2)-M440,ROUNDUP(G440*M440*0.95,2)-M440),-M440))</f>
        <v>0</v>
      </c>
      <c r="S440" s="12"/>
      <c r="T440" s="251"/>
      <c r="U440" s="12"/>
    </row>
    <row r="441" spans="1:21" x14ac:dyDescent="0.2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3"/>
      <c r="S441" s="12"/>
      <c r="T441" s="14"/>
      <c r="U441" s="12"/>
    </row>
    <row r="442" spans="1:21" x14ac:dyDescent="0.2">
      <c r="A442" s="99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L442" s="99"/>
      <c r="M442" s="99"/>
      <c r="N442" s="99"/>
      <c r="O442" s="99"/>
      <c r="P442" s="99"/>
      <c r="Q442" s="99"/>
      <c r="R442" s="100"/>
      <c r="S442" s="99"/>
      <c r="T442" s="101"/>
      <c r="U442" s="12"/>
    </row>
    <row r="443" spans="1:21" x14ac:dyDescent="0.2">
      <c r="A443" s="99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L443" s="99"/>
      <c r="M443" s="99"/>
      <c r="N443" s="99"/>
      <c r="O443" s="99"/>
      <c r="P443" s="99"/>
      <c r="Q443" s="99"/>
      <c r="R443" s="100"/>
      <c r="S443" s="99"/>
      <c r="T443" s="101"/>
      <c r="U443" s="12"/>
    </row>
    <row r="444" spans="1:21" x14ac:dyDescent="0.2">
      <c r="A444" s="99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L444" s="99"/>
      <c r="M444" s="99"/>
      <c r="N444" s="99"/>
      <c r="O444" s="99"/>
      <c r="P444" s="99"/>
      <c r="Q444" s="99"/>
      <c r="R444" s="100"/>
      <c r="S444" s="99"/>
      <c r="T444" s="101"/>
      <c r="U444" s="12"/>
    </row>
    <row r="445" spans="1:21" x14ac:dyDescent="0.2">
      <c r="A445" s="99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L445" s="99"/>
      <c r="M445" s="99"/>
      <c r="N445" s="99"/>
      <c r="O445" s="99"/>
      <c r="P445" s="99"/>
      <c r="Q445" s="99"/>
      <c r="R445" s="100"/>
      <c r="S445" s="99"/>
      <c r="T445" s="101"/>
      <c r="U445" s="12"/>
    </row>
    <row r="446" spans="1:21" x14ac:dyDescent="0.2">
      <c r="A446" s="99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L446" s="99"/>
      <c r="M446" s="99"/>
      <c r="N446" s="99"/>
      <c r="O446" s="99"/>
      <c r="P446" s="99"/>
      <c r="Q446" s="99"/>
      <c r="R446" s="100"/>
      <c r="S446" s="99"/>
      <c r="T446" s="101"/>
      <c r="U446" s="12"/>
    </row>
    <row r="447" spans="1:21" x14ac:dyDescent="0.2">
      <c r="A447" s="99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L447" s="99"/>
      <c r="M447" s="99"/>
      <c r="N447" s="99"/>
      <c r="O447" s="99"/>
      <c r="P447" s="99"/>
      <c r="Q447" s="99"/>
      <c r="R447" s="100"/>
      <c r="S447" s="99"/>
      <c r="T447" s="101"/>
      <c r="U447" s="12"/>
    </row>
    <row r="448" spans="1:21" x14ac:dyDescent="0.2">
      <c r="A448" s="99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L448" s="99"/>
      <c r="M448" s="99"/>
      <c r="N448" s="99"/>
      <c r="O448" s="99"/>
      <c r="P448" s="99"/>
      <c r="Q448" s="99"/>
      <c r="R448" s="100"/>
      <c r="S448" s="99"/>
      <c r="T448" s="101"/>
      <c r="U448" s="12"/>
    </row>
    <row r="449" spans="1:21" x14ac:dyDescent="0.2">
      <c r="A449" s="99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L449" s="99"/>
      <c r="M449" s="99"/>
      <c r="N449" s="99"/>
      <c r="O449" s="99"/>
      <c r="P449" s="99"/>
      <c r="Q449" s="99"/>
      <c r="R449" s="100"/>
      <c r="S449" s="99"/>
      <c r="T449" s="101"/>
      <c r="U449" s="12"/>
    </row>
    <row r="450" spans="1:21" x14ac:dyDescent="0.2">
      <c r="A450" s="99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L450" s="99"/>
      <c r="M450" s="99"/>
      <c r="N450" s="99"/>
      <c r="O450" s="99"/>
      <c r="P450" s="99"/>
      <c r="Q450" s="99"/>
      <c r="R450" s="100"/>
      <c r="S450" s="99"/>
      <c r="T450" s="101"/>
      <c r="U450" s="12"/>
    </row>
    <row r="451" spans="1:21" x14ac:dyDescent="0.2">
      <c r="A451" s="99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L451" s="99"/>
      <c r="M451" s="99"/>
      <c r="N451" s="99"/>
      <c r="O451" s="99"/>
      <c r="P451" s="99"/>
      <c r="Q451" s="99"/>
      <c r="R451" s="100"/>
      <c r="S451" s="99"/>
      <c r="T451" s="101"/>
      <c r="U451" s="12"/>
    </row>
    <row r="452" spans="1:21" x14ac:dyDescent="0.2">
      <c r="A452" s="99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L452" s="99"/>
      <c r="M452" s="99"/>
      <c r="N452" s="99"/>
      <c r="O452" s="99"/>
      <c r="P452" s="99"/>
      <c r="Q452" s="99"/>
      <c r="R452" s="100"/>
      <c r="S452" s="99"/>
      <c r="T452" s="101"/>
      <c r="U452" s="12"/>
    </row>
    <row r="453" spans="1:21" x14ac:dyDescent="0.2">
      <c r="A453" s="99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L453" s="99"/>
      <c r="M453" s="99"/>
      <c r="N453" s="99"/>
      <c r="O453" s="99"/>
      <c r="P453" s="99"/>
      <c r="Q453" s="99"/>
      <c r="R453" s="100"/>
      <c r="S453" s="99"/>
      <c r="T453" s="101"/>
      <c r="U453" s="12"/>
    </row>
    <row r="454" spans="1:21" x14ac:dyDescent="0.2">
      <c r="A454" s="99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L454" s="99"/>
      <c r="M454" s="99"/>
      <c r="N454" s="99"/>
      <c r="O454" s="99"/>
      <c r="P454" s="99"/>
      <c r="Q454" s="99"/>
      <c r="R454" s="100"/>
      <c r="S454" s="99"/>
      <c r="T454" s="101"/>
      <c r="U454" s="12"/>
    </row>
    <row r="455" spans="1:21" x14ac:dyDescent="0.2">
      <c r="A455" s="99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L455" s="99"/>
      <c r="M455" s="99"/>
      <c r="N455" s="99"/>
      <c r="O455" s="99"/>
      <c r="P455" s="99"/>
      <c r="Q455" s="99"/>
      <c r="R455" s="100"/>
      <c r="S455" s="99"/>
      <c r="T455" s="101"/>
      <c r="U455" s="12"/>
    </row>
    <row r="456" spans="1:21" x14ac:dyDescent="0.2">
      <c r="A456" s="99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L456" s="99"/>
      <c r="M456" s="99"/>
      <c r="N456" s="99"/>
      <c r="O456" s="99"/>
      <c r="P456" s="99"/>
      <c r="Q456" s="99"/>
      <c r="R456" s="100"/>
      <c r="S456" s="99"/>
      <c r="T456" s="101"/>
      <c r="U456" s="12"/>
    </row>
    <row r="457" spans="1:21" x14ac:dyDescent="0.2">
      <c r="A457" s="99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L457" s="99"/>
      <c r="M457" s="99"/>
      <c r="N457" s="99"/>
      <c r="O457" s="99"/>
      <c r="P457" s="99"/>
      <c r="Q457" s="99"/>
      <c r="R457" s="100"/>
      <c r="S457" s="99"/>
      <c r="T457" s="101"/>
      <c r="U457" s="12"/>
    </row>
    <row r="458" spans="1:21" x14ac:dyDescent="0.2">
      <c r="A458" s="99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L458" s="99"/>
      <c r="M458" s="99"/>
      <c r="N458" s="99"/>
      <c r="O458" s="99"/>
      <c r="P458" s="99"/>
      <c r="Q458" s="99"/>
      <c r="R458" s="100"/>
      <c r="S458" s="99"/>
      <c r="T458" s="101"/>
      <c r="U458" s="12"/>
    </row>
    <row r="459" spans="1:21" ht="15.75" thickBot="1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3"/>
      <c r="S459" s="12"/>
      <c r="T459" s="14"/>
      <c r="U459" s="12"/>
    </row>
    <row r="460" spans="1:21" ht="22.5" customHeight="1" thickBot="1" x14ac:dyDescent="0.3">
      <c r="A460" s="102" t="s">
        <v>6</v>
      </c>
      <c r="B460" s="241" t="s">
        <v>8</v>
      </c>
      <c r="C460" s="105"/>
      <c r="D460" s="51" t="s">
        <v>9</v>
      </c>
      <c r="E460" s="51" t="s">
        <v>10</v>
      </c>
      <c r="F460" s="51" t="s">
        <v>11</v>
      </c>
      <c r="G460" s="51" t="s">
        <v>12</v>
      </c>
      <c r="H460" s="51" t="s">
        <v>13</v>
      </c>
      <c r="I460" s="51" t="s">
        <v>14</v>
      </c>
      <c r="J460" s="51" t="s">
        <v>15</v>
      </c>
      <c r="K460" s="51" t="s">
        <v>33</v>
      </c>
      <c r="L460" s="51" t="s">
        <v>16</v>
      </c>
      <c r="M460" s="51" t="s">
        <v>38</v>
      </c>
      <c r="N460" s="52" t="s">
        <v>17</v>
      </c>
      <c r="O460" s="88"/>
      <c r="P460" s="53" t="s">
        <v>18</v>
      </c>
      <c r="Q460" s="87"/>
      <c r="R460" s="54" t="s">
        <v>34</v>
      </c>
      <c r="S460" s="87"/>
      <c r="T460" s="56" t="s">
        <v>29</v>
      </c>
      <c r="U460" s="12"/>
    </row>
    <row r="461" spans="1:21" ht="15.75" customHeight="1" x14ac:dyDescent="0.2">
      <c r="A461" s="103"/>
      <c r="B461" s="242"/>
      <c r="C461" s="57">
        <v>0.5</v>
      </c>
      <c r="D461" s="58" t="s">
        <v>75</v>
      </c>
      <c r="E461" s="58" t="s">
        <v>76</v>
      </c>
      <c r="F461" s="58">
        <f>IF(AND(C461=""),"",1-C461)</f>
        <v>0.5</v>
      </c>
      <c r="G461" s="58">
        <v>2</v>
      </c>
      <c r="H461" s="58">
        <v>1.72</v>
      </c>
      <c r="I461" s="58">
        <f>IF(AND(C461=""),"",G461*C461)</f>
        <v>1</v>
      </c>
      <c r="J461" s="58">
        <f>IF(AND(C461=""),"",H461*F461)</f>
        <v>0.86</v>
      </c>
      <c r="K461" s="58" t="str">
        <f t="shared" ref="K461:K470" si="140">IF(AND(I461=""),"",IF(AND(I461&gt;J461),"T1","T2"))</f>
        <v>T1</v>
      </c>
      <c r="L461" s="58" t="str">
        <f t="shared" ref="L461:L470" si="141">IF(AND(K461=""),"",IF(AND((J461*0.95-1)&lt;0,(I461*0.95-1)&lt;0),"NO BET", IF(AND(K461="T1"),I461*0.95 - 1,J461*0.95 - 1)))</f>
        <v>NO BET</v>
      </c>
      <c r="M461" s="61" t="str">
        <f t="shared" ref="M461:M470" si="142">IF(L461="","",IF(L461&lt;0.5,K$2*M$2,IF(L461&lt;0.75,K$2*M$3,IF(L461&lt;1,K$2*M$4,IF(L461&lt;1.25,K$2*M$5,IF(L461&lt;1.5,K$2*M$6,IF(L461&lt;2,K$2*M$7,IF(L461&lt;2.5,K$2*M$8,IF(L461="NO BET","NO BET",K$2*M$9)))))))))</f>
        <v>NO BET</v>
      </c>
      <c r="N461" s="246">
        <f>SUMIF(L461:L470,"&gt;0")</f>
        <v>2.0249999999999995</v>
      </c>
      <c r="O461" s="88"/>
      <c r="P461" s="62" t="s">
        <v>41</v>
      </c>
      <c r="Q461" s="88"/>
      <c r="R461" s="63">
        <f>IF(OR(P461="",L461="NO BET"),0,IF(AND(K461=P461),IF(AND(K461="T2"),ROUNDUP(H461*M461*0.95,2)-M461,ROUNDUP(G461*M461*0.95,2)-M461),-M461))</f>
        <v>0</v>
      </c>
      <c r="S461" s="87"/>
      <c r="T461" s="237">
        <f>SUM(R461:R470)</f>
        <v>-66.080000000000013</v>
      </c>
      <c r="U461" s="12"/>
    </row>
    <row r="462" spans="1:21" ht="15.75" customHeight="1" x14ac:dyDescent="0.2">
      <c r="A462" s="254" t="s">
        <v>7</v>
      </c>
      <c r="B462" s="242"/>
      <c r="C462" s="64">
        <v>0.5</v>
      </c>
      <c r="D462" s="65">
        <v>100</v>
      </c>
      <c r="E462" s="65" t="s">
        <v>68</v>
      </c>
      <c r="F462" s="65">
        <f t="shared" ref="F462:F470" si="143">IF(AND(C462=""),"",1-C462)</f>
        <v>0.5</v>
      </c>
      <c r="G462" s="65">
        <v>1.57</v>
      </c>
      <c r="H462" s="65">
        <v>2.25</v>
      </c>
      <c r="I462" s="65">
        <f t="shared" ref="I462:I470" si="144">IF(AND(C462=""),"",G462*C462)</f>
        <v>0.78500000000000003</v>
      </c>
      <c r="J462" s="65">
        <f t="shared" ref="J462:J470" si="145">IF(AND(C462=""),"",H462*F462)</f>
        <v>1.125</v>
      </c>
      <c r="K462" s="65" t="str">
        <f t="shared" si="140"/>
        <v>T2</v>
      </c>
      <c r="L462" s="65">
        <f t="shared" si="141"/>
        <v>6.8749999999999867E-2</v>
      </c>
      <c r="M462" s="68">
        <f t="shared" si="142"/>
        <v>56.25</v>
      </c>
      <c r="N462" s="247"/>
      <c r="O462" s="87"/>
      <c r="P462" s="69" t="s">
        <v>41</v>
      </c>
      <c r="Q462" s="87"/>
      <c r="R462" s="70">
        <f t="shared" ref="R462:R469" si="146">IF(OR(P462="",L462="NO BET"),0,IF(AND(K462=P462),IF(AND(K462="T2"),ROUNDUP(H462*M462*0.95,2)-M462,ROUNDUP(G462*M462*0.95,2)-M462),-M462))</f>
        <v>-56.25</v>
      </c>
      <c r="S462" s="87"/>
      <c r="T462" s="237"/>
      <c r="U462" s="12"/>
    </row>
    <row r="463" spans="1:21" ht="15.75" customHeight="1" x14ac:dyDescent="0.2">
      <c r="A463" s="254"/>
      <c r="B463" s="242"/>
      <c r="C463" s="71">
        <v>0.5</v>
      </c>
      <c r="D463" s="10" t="s">
        <v>51</v>
      </c>
      <c r="E463" s="10" t="s">
        <v>58</v>
      </c>
      <c r="F463" s="10">
        <f t="shared" si="143"/>
        <v>0.5</v>
      </c>
      <c r="G463" s="10">
        <v>1.4</v>
      </c>
      <c r="H463" s="10">
        <v>2.75</v>
      </c>
      <c r="I463" s="10">
        <f t="shared" si="144"/>
        <v>0.7</v>
      </c>
      <c r="J463" s="10">
        <f t="shared" si="145"/>
        <v>1.375</v>
      </c>
      <c r="K463" s="10" t="str">
        <f t="shared" si="140"/>
        <v>T2</v>
      </c>
      <c r="L463" s="10">
        <f t="shared" si="141"/>
        <v>0.30624999999999991</v>
      </c>
      <c r="M463" s="74">
        <f t="shared" si="142"/>
        <v>56.25</v>
      </c>
      <c r="N463" s="247"/>
      <c r="O463" s="88"/>
      <c r="P463" s="69" t="s">
        <v>41</v>
      </c>
      <c r="Q463" s="87"/>
      <c r="R463" s="70">
        <f t="shared" si="146"/>
        <v>-56.25</v>
      </c>
      <c r="S463" s="87"/>
      <c r="T463" s="237"/>
      <c r="U463" s="12"/>
    </row>
    <row r="464" spans="1:21" ht="15.75" customHeight="1" x14ac:dyDescent="0.2">
      <c r="A464" s="254"/>
      <c r="B464" s="242"/>
      <c r="C464" s="64">
        <v>0.5</v>
      </c>
      <c r="D464" s="65" t="s">
        <v>56</v>
      </c>
      <c r="E464" s="65" t="s">
        <v>54</v>
      </c>
      <c r="F464" s="65">
        <f t="shared" si="143"/>
        <v>0.5</v>
      </c>
      <c r="G464" s="65">
        <v>1.57</v>
      </c>
      <c r="H464" s="65">
        <v>2.25</v>
      </c>
      <c r="I464" s="65">
        <f t="shared" si="144"/>
        <v>0.78500000000000003</v>
      </c>
      <c r="J464" s="65">
        <f t="shared" si="145"/>
        <v>1.125</v>
      </c>
      <c r="K464" s="65" t="str">
        <f t="shared" si="140"/>
        <v>T2</v>
      </c>
      <c r="L464" s="65">
        <f t="shared" si="141"/>
        <v>6.8749999999999867E-2</v>
      </c>
      <c r="M464" s="68">
        <f t="shared" si="142"/>
        <v>56.25</v>
      </c>
      <c r="N464" s="247"/>
      <c r="O464" s="92"/>
      <c r="P464" s="69" t="s">
        <v>41</v>
      </c>
      <c r="Q464" s="87"/>
      <c r="R464" s="70">
        <f t="shared" si="146"/>
        <v>-56.25</v>
      </c>
      <c r="S464" s="87"/>
      <c r="T464" s="237"/>
      <c r="U464" s="12"/>
    </row>
    <row r="465" spans="1:21" ht="15.75" customHeight="1" x14ac:dyDescent="0.2">
      <c r="A465" s="254"/>
      <c r="B465" s="242"/>
      <c r="C465" s="71">
        <v>0.5</v>
      </c>
      <c r="D465" s="10" t="s">
        <v>53</v>
      </c>
      <c r="E465" s="10" t="s">
        <v>50</v>
      </c>
      <c r="F465" s="10">
        <f t="shared" si="143"/>
        <v>0.5</v>
      </c>
      <c r="G465" s="10">
        <v>1.66</v>
      </c>
      <c r="H465" s="10">
        <v>2.1</v>
      </c>
      <c r="I465" s="10">
        <f t="shared" si="144"/>
        <v>0.83</v>
      </c>
      <c r="J465" s="10">
        <f t="shared" si="145"/>
        <v>1.05</v>
      </c>
      <c r="K465" s="10" t="str">
        <f t="shared" si="140"/>
        <v>T2</v>
      </c>
      <c r="L465" s="10" t="str">
        <f t="shared" si="141"/>
        <v>NO BET</v>
      </c>
      <c r="M465" s="75" t="str">
        <f t="shared" si="142"/>
        <v>NO BET</v>
      </c>
      <c r="N465" s="247"/>
      <c r="O465" s="92"/>
      <c r="P465" s="69" t="s">
        <v>40</v>
      </c>
      <c r="Q465" s="87"/>
      <c r="R465" s="70">
        <f t="shared" si="146"/>
        <v>0</v>
      </c>
      <c r="S465" s="87"/>
      <c r="T465" s="237"/>
      <c r="U465" s="12"/>
    </row>
    <row r="466" spans="1:21" ht="15.75" customHeight="1" x14ac:dyDescent="0.2">
      <c r="A466" s="254"/>
      <c r="B466" s="242"/>
      <c r="C466" s="64">
        <v>0.5</v>
      </c>
      <c r="D466" s="65" t="s">
        <v>68</v>
      </c>
      <c r="E466" s="65" t="s">
        <v>75</v>
      </c>
      <c r="F466" s="65">
        <f t="shared" si="143"/>
        <v>0.5</v>
      </c>
      <c r="G466" s="65">
        <v>3.25</v>
      </c>
      <c r="H466" s="65">
        <v>1.33</v>
      </c>
      <c r="I466" s="65">
        <f t="shared" si="144"/>
        <v>1.625</v>
      </c>
      <c r="J466" s="65">
        <f t="shared" si="145"/>
        <v>0.66500000000000004</v>
      </c>
      <c r="K466" s="65" t="str">
        <f t="shared" si="140"/>
        <v>T1</v>
      </c>
      <c r="L466" s="65">
        <f t="shared" si="141"/>
        <v>0.54374999999999996</v>
      </c>
      <c r="M466" s="68">
        <f t="shared" si="142"/>
        <v>75</v>
      </c>
      <c r="N466" s="247"/>
      <c r="O466" s="92"/>
      <c r="P466" s="69" t="s">
        <v>40</v>
      </c>
      <c r="Q466" s="87"/>
      <c r="R466" s="70">
        <f t="shared" si="146"/>
        <v>-75</v>
      </c>
      <c r="S466" s="87"/>
      <c r="T466" s="237"/>
      <c r="U466" s="12"/>
    </row>
    <row r="467" spans="1:21" ht="16.5" thickBot="1" x14ac:dyDescent="0.25">
      <c r="A467" s="254"/>
      <c r="B467" s="242"/>
      <c r="C467" s="71">
        <v>0.5</v>
      </c>
      <c r="D467" s="10" t="s">
        <v>54</v>
      </c>
      <c r="E467" s="10" t="s">
        <v>76</v>
      </c>
      <c r="F467" s="10">
        <f t="shared" si="143"/>
        <v>0.5</v>
      </c>
      <c r="G467" s="10">
        <v>3.25</v>
      </c>
      <c r="H467" s="10">
        <v>1.33</v>
      </c>
      <c r="I467" s="10">
        <f t="shared" si="144"/>
        <v>1.625</v>
      </c>
      <c r="J467" s="10">
        <f t="shared" si="145"/>
        <v>0.66500000000000004</v>
      </c>
      <c r="K467" s="10" t="str">
        <f t="shared" si="140"/>
        <v>T1</v>
      </c>
      <c r="L467" s="10">
        <f t="shared" si="141"/>
        <v>0.54374999999999996</v>
      </c>
      <c r="M467" s="74">
        <f t="shared" si="142"/>
        <v>75</v>
      </c>
      <c r="N467" s="247"/>
      <c r="O467" s="87"/>
      <c r="P467" s="69" t="s">
        <v>41</v>
      </c>
      <c r="Q467" s="87"/>
      <c r="R467" s="70">
        <f t="shared" si="146"/>
        <v>156.57</v>
      </c>
      <c r="S467" s="87"/>
      <c r="T467" s="76" t="s">
        <v>31</v>
      </c>
      <c r="U467" s="12"/>
    </row>
    <row r="468" spans="1:21" x14ac:dyDescent="0.2">
      <c r="A468" s="254"/>
      <c r="B468" s="242"/>
      <c r="C468" s="64">
        <v>0.5</v>
      </c>
      <c r="D468" s="65" t="s">
        <v>53</v>
      </c>
      <c r="E468" s="65">
        <v>100</v>
      </c>
      <c r="F468" s="65">
        <f t="shared" si="143"/>
        <v>0.5</v>
      </c>
      <c r="G468" s="65">
        <v>1.5</v>
      </c>
      <c r="H468" s="65">
        <v>2.5</v>
      </c>
      <c r="I468" s="65">
        <f t="shared" si="144"/>
        <v>0.75</v>
      </c>
      <c r="J468" s="65">
        <f t="shared" si="145"/>
        <v>1.25</v>
      </c>
      <c r="K468" s="65" t="str">
        <f t="shared" si="140"/>
        <v>T2</v>
      </c>
      <c r="L468" s="65">
        <f t="shared" si="141"/>
        <v>0.1875</v>
      </c>
      <c r="M468" s="77">
        <f t="shared" si="142"/>
        <v>56.25</v>
      </c>
      <c r="N468" s="247"/>
      <c r="O468" s="87"/>
      <c r="P468" s="69" t="s">
        <v>40</v>
      </c>
      <c r="Q468" s="87"/>
      <c r="R468" s="70">
        <f t="shared" si="146"/>
        <v>77.349999999999994</v>
      </c>
      <c r="S468" s="87"/>
      <c r="T468" s="249">
        <f>IF(AND(NOT(N461=0)),T461/N461,0)</f>
        <v>-32.632098765432112</v>
      </c>
      <c r="U468" s="12"/>
    </row>
    <row r="469" spans="1:21" x14ac:dyDescent="0.2">
      <c r="A469" s="254"/>
      <c r="B469" s="242"/>
      <c r="C469" s="71">
        <v>0.5</v>
      </c>
      <c r="D469" s="10" t="s">
        <v>58</v>
      </c>
      <c r="E469" s="10" t="s">
        <v>50</v>
      </c>
      <c r="F469" s="10">
        <f t="shared" si="143"/>
        <v>0.5</v>
      </c>
      <c r="G469" s="10">
        <v>2.75</v>
      </c>
      <c r="H469" s="10">
        <v>1.4</v>
      </c>
      <c r="I469" s="10">
        <f t="shared" si="144"/>
        <v>1.375</v>
      </c>
      <c r="J469" s="10">
        <f t="shared" si="145"/>
        <v>0.7</v>
      </c>
      <c r="K469" s="10" t="str">
        <f t="shared" si="140"/>
        <v>T1</v>
      </c>
      <c r="L469" s="10">
        <f t="shared" si="141"/>
        <v>0.30624999999999991</v>
      </c>
      <c r="M469" s="75">
        <f t="shared" si="142"/>
        <v>56.25</v>
      </c>
      <c r="N469" s="247"/>
      <c r="O469" s="87"/>
      <c r="P469" s="69" t="s">
        <v>40</v>
      </c>
      <c r="Q469" s="87"/>
      <c r="R469" s="70">
        <f t="shared" si="146"/>
        <v>-56.25</v>
      </c>
      <c r="S469" s="87"/>
      <c r="T469" s="250"/>
      <c r="U469" s="12"/>
    </row>
    <row r="470" spans="1:21" ht="15.75" thickBot="1" x14ac:dyDescent="0.25">
      <c r="A470" s="255"/>
      <c r="B470" s="243"/>
      <c r="C470" s="93">
        <v>0.5</v>
      </c>
      <c r="D470" s="80" t="s">
        <v>56</v>
      </c>
      <c r="E470" s="80" t="s">
        <v>51</v>
      </c>
      <c r="F470" s="80">
        <f t="shared" si="143"/>
        <v>0.5</v>
      </c>
      <c r="G470" s="80">
        <v>1.9</v>
      </c>
      <c r="H470" s="80">
        <v>1.8</v>
      </c>
      <c r="I470" s="80">
        <f t="shared" si="144"/>
        <v>0.95</v>
      </c>
      <c r="J470" s="80">
        <f t="shared" si="145"/>
        <v>0.9</v>
      </c>
      <c r="K470" s="80" t="str">
        <f t="shared" si="140"/>
        <v>T1</v>
      </c>
      <c r="L470" s="80" t="str">
        <f t="shared" si="141"/>
        <v>NO BET</v>
      </c>
      <c r="M470" s="83" t="str">
        <f t="shared" si="142"/>
        <v>NO BET</v>
      </c>
      <c r="N470" s="248"/>
      <c r="O470" s="87"/>
      <c r="P470" s="84" t="s">
        <v>41</v>
      </c>
      <c r="Q470" s="12"/>
      <c r="R470" s="85">
        <f>IF(OR(P470="",L470="NO BET"),0,IF(AND(K470=P470),IF(AND(K470="T2"),ROUNDUP(H470*M470*0.95,2)-M470,ROUNDUP(G470*M470*0.95,2)-M470),-M470))</f>
        <v>0</v>
      </c>
      <c r="S470" s="12"/>
      <c r="T470" s="251"/>
      <c r="U470" s="12"/>
    </row>
    <row r="471" spans="1:21" x14ac:dyDescent="0.2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87"/>
      <c r="P471" s="87"/>
      <c r="Q471" s="87"/>
      <c r="R471" s="106"/>
      <c r="S471" s="87"/>
      <c r="T471" s="107"/>
      <c r="U471" s="12"/>
    </row>
    <row r="472" spans="1:21" x14ac:dyDescent="0.2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87"/>
      <c r="P472" s="87"/>
      <c r="Q472" s="87"/>
      <c r="R472" s="106"/>
      <c r="S472" s="87"/>
      <c r="T472" s="107"/>
      <c r="U472" s="12"/>
    </row>
    <row r="473" spans="1:21" ht="15.75" thickBot="1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87"/>
      <c r="P473" s="87"/>
      <c r="Q473" s="87"/>
      <c r="R473" s="106"/>
      <c r="S473" s="87"/>
      <c r="T473" s="107"/>
      <c r="U473" s="12"/>
    </row>
    <row r="474" spans="1:21" ht="22.5" customHeight="1" thickBot="1" x14ac:dyDescent="0.3">
      <c r="A474" s="102" t="s">
        <v>6</v>
      </c>
      <c r="B474" s="241" t="s">
        <v>20</v>
      </c>
      <c r="C474" s="108"/>
      <c r="D474" s="51" t="s">
        <v>9</v>
      </c>
      <c r="E474" s="51" t="s">
        <v>10</v>
      </c>
      <c r="F474" s="51" t="s">
        <v>11</v>
      </c>
      <c r="G474" s="51" t="s">
        <v>12</v>
      </c>
      <c r="H474" s="51" t="s">
        <v>13</v>
      </c>
      <c r="I474" s="51" t="s">
        <v>14</v>
      </c>
      <c r="J474" s="51" t="s">
        <v>15</v>
      </c>
      <c r="K474" s="51" t="s">
        <v>33</v>
      </c>
      <c r="L474" s="51" t="s">
        <v>16</v>
      </c>
      <c r="M474" s="51" t="s">
        <v>38</v>
      </c>
      <c r="N474" s="52" t="s">
        <v>17</v>
      </c>
      <c r="O474" s="88"/>
      <c r="P474" s="53" t="s">
        <v>18</v>
      </c>
      <c r="Q474" s="87"/>
      <c r="R474" s="54" t="s">
        <v>34</v>
      </c>
      <c r="S474" s="87"/>
      <c r="T474" s="56" t="s">
        <v>29</v>
      </c>
      <c r="U474" s="12"/>
    </row>
    <row r="475" spans="1:21" ht="15.75" customHeight="1" x14ac:dyDescent="0.2">
      <c r="A475" s="103"/>
      <c r="B475" s="242"/>
      <c r="C475" s="57">
        <v>0.5</v>
      </c>
      <c r="D475" s="58" t="s">
        <v>51</v>
      </c>
      <c r="E475" s="58" t="s">
        <v>53</v>
      </c>
      <c r="F475" s="58">
        <f>IF(AND(C475=""),"",1-C475)</f>
        <v>0.5</v>
      </c>
      <c r="G475" s="58">
        <v>2</v>
      </c>
      <c r="H475" s="58">
        <v>1.72</v>
      </c>
      <c r="I475" s="58">
        <f>IF(AND(C475=""),"",G475*C475)</f>
        <v>1</v>
      </c>
      <c r="J475" s="58">
        <f>IF(AND(C475=""),"",H475*F475)</f>
        <v>0.86</v>
      </c>
      <c r="K475" s="58" t="str">
        <f t="shared" ref="K475:K484" si="147">IF(AND(I475=""),"",IF(AND(I475&gt;J475),"T1","T2"))</f>
        <v>T1</v>
      </c>
      <c r="L475" s="58" t="str">
        <f t="shared" ref="L475:L484" si="148">IF(AND(K475=""),"",IF(AND((J475*0.95-1)&lt;0,(I475*0.95-1)&lt;0),"NO BET", IF(AND(K475="T1"),I475*0.95 - 1,J475*0.95 - 1)))</f>
        <v>NO BET</v>
      </c>
      <c r="M475" s="61" t="str">
        <f t="shared" ref="M475:M484" si="149">IF(L475="","",IF(L475&lt;0.5,K$2*M$2,IF(L475&lt;0.75,K$2*M$3,IF(L475&lt;1,K$2*M$4,IF(L475&lt;1.25,K$2*M$5,IF(L475&lt;1.5,K$2*M$6,IF(L475&lt;2,K$2*M$7,IF(L475&lt;2.5,K$2*M$8,IF(L475="NO BET","NO BET",K$2*M$9)))))))))</f>
        <v>NO BET</v>
      </c>
      <c r="N475" s="246">
        <f>SUMIF(L475:L484,"&gt;0")</f>
        <v>1.1749999999999994</v>
      </c>
      <c r="O475" s="88"/>
      <c r="P475" s="62" t="s">
        <v>40</v>
      </c>
      <c r="Q475" s="88"/>
      <c r="R475" s="63">
        <f>IF(OR(P475="",L475="NO BET"),0,IF(AND(K475=P475),IF(AND(K475="T2"),ROUNDUP(H475*M475*0.95,2)-M475,ROUNDUP(G475*M475*0.95,2)-M475),-M475))</f>
        <v>0</v>
      </c>
      <c r="S475" s="87"/>
      <c r="T475" s="237">
        <f>SUM(R475:R484)</f>
        <v>-161.01</v>
      </c>
      <c r="U475" s="12"/>
    </row>
    <row r="476" spans="1:21" ht="15.75" customHeight="1" x14ac:dyDescent="0.2">
      <c r="A476" s="254" t="s">
        <v>7</v>
      </c>
      <c r="B476" s="242"/>
      <c r="C476" s="64">
        <v>0.5</v>
      </c>
      <c r="D476" s="65" t="s">
        <v>76</v>
      </c>
      <c r="E476" s="65" t="s">
        <v>68</v>
      </c>
      <c r="F476" s="65">
        <f t="shared" ref="F476:F484" si="150">IF(AND(C476=""),"",1-C476)</f>
        <v>0.5</v>
      </c>
      <c r="G476" s="65">
        <v>1.4</v>
      </c>
      <c r="H476" s="65">
        <v>2.75</v>
      </c>
      <c r="I476" s="65">
        <f t="shared" ref="I476:I484" si="151">IF(AND(C476=""),"",G476*C476)</f>
        <v>0.7</v>
      </c>
      <c r="J476" s="65">
        <f t="shared" ref="J476:J484" si="152">IF(AND(C476=""),"",H476*F476)</f>
        <v>1.375</v>
      </c>
      <c r="K476" s="65" t="str">
        <f t="shared" si="147"/>
        <v>T2</v>
      </c>
      <c r="L476" s="65">
        <f t="shared" si="148"/>
        <v>0.30624999999999991</v>
      </c>
      <c r="M476" s="68">
        <f t="shared" si="149"/>
        <v>56.25</v>
      </c>
      <c r="N476" s="247"/>
      <c r="O476" s="12"/>
      <c r="P476" s="69" t="s">
        <v>41</v>
      </c>
      <c r="Q476" s="87"/>
      <c r="R476" s="70">
        <f t="shared" ref="R476:R483" si="153">IF(OR(P476="",L476="NO BET"),0,IF(AND(K476=P476),IF(AND(K476="T2"),ROUNDUP(H476*M476*0.95,2)-M476,ROUNDUP(G476*M476*0.95,2)-M476),-M476))</f>
        <v>-56.25</v>
      </c>
      <c r="S476" s="87"/>
      <c r="T476" s="237"/>
      <c r="U476" s="12"/>
    </row>
    <row r="477" spans="1:21" ht="15.75" customHeight="1" x14ac:dyDescent="0.2">
      <c r="A477" s="254"/>
      <c r="B477" s="242"/>
      <c r="C477" s="71">
        <v>0.5</v>
      </c>
      <c r="D477" s="10" t="s">
        <v>50</v>
      </c>
      <c r="E477" s="10" t="s">
        <v>56</v>
      </c>
      <c r="F477" s="10">
        <f t="shared" si="150"/>
        <v>0.5</v>
      </c>
      <c r="G477" s="10">
        <v>1.8</v>
      </c>
      <c r="H477" s="10">
        <v>1.9</v>
      </c>
      <c r="I477" s="10">
        <f t="shared" si="151"/>
        <v>0.9</v>
      </c>
      <c r="J477" s="10">
        <f t="shared" si="152"/>
        <v>0.95</v>
      </c>
      <c r="K477" s="10" t="str">
        <f t="shared" si="147"/>
        <v>T2</v>
      </c>
      <c r="L477" s="10" t="str">
        <f t="shared" si="148"/>
        <v>NO BET</v>
      </c>
      <c r="M477" s="74" t="str">
        <f t="shared" si="149"/>
        <v>NO BET</v>
      </c>
      <c r="N477" s="247"/>
      <c r="O477" s="88"/>
      <c r="P477" s="69" t="s">
        <v>40</v>
      </c>
      <c r="Q477" s="87"/>
      <c r="R477" s="70">
        <f t="shared" si="153"/>
        <v>0</v>
      </c>
      <c r="S477" s="87"/>
      <c r="T477" s="237"/>
      <c r="U477" s="12"/>
    </row>
    <row r="478" spans="1:21" ht="15.75" customHeight="1" x14ac:dyDescent="0.2">
      <c r="A478" s="254"/>
      <c r="B478" s="242"/>
      <c r="C478" s="64">
        <v>0.5</v>
      </c>
      <c r="D478" s="65">
        <v>100</v>
      </c>
      <c r="E478" s="65" t="s">
        <v>75</v>
      </c>
      <c r="F478" s="65">
        <f t="shared" si="150"/>
        <v>0.5</v>
      </c>
      <c r="G478" s="65">
        <v>2.25</v>
      </c>
      <c r="H478" s="65">
        <v>1.57</v>
      </c>
      <c r="I478" s="65">
        <f t="shared" si="151"/>
        <v>1.125</v>
      </c>
      <c r="J478" s="65">
        <f t="shared" si="152"/>
        <v>0.78500000000000003</v>
      </c>
      <c r="K478" s="65" t="str">
        <f t="shared" si="147"/>
        <v>T1</v>
      </c>
      <c r="L478" s="65">
        <f t="shared" si="148"/>
        <v>6.8749999999999867E-2</v>
      </c>
      <c r="M478" s="68">
        <f t="shared" si="149"/>
        <v>56.25</v>
      </c>
      <c r="N478" s="247"/>
      <c r="O478" s="92"/>
      <c r="P478" s="69" t="s">
        <v>41</v>
      </c>
      <c r="Q478" s="87"/>
      <c r="R478" s="70">
        <f t="shared" si="153"/>
        <v>63.990000000000009</v>
      </c>
      <c r="S478" s="87"/>
      <c r="T478" s="237"/>
      <c r="U478" s="12"/>
    </row>
    <row r="479" spans="1:21" ht="15.75" customHeight="1" x14ac:dyDescent="0.2">
      <c r="A479" s="254"/>
      <c r="B479" s="242"/>
      <c r="C479" s="71">
        <v>0.5</v>
      </c>
      <c r="D479" s="10" t="s">
        <v>58</v>
      </c>
      <c r="E479" s="10" t="s">
        <v>54</v>
      </c>
      <c r="F479" s="10">
        <f t="shared" si="150"/>
        <v>0.5</v>
      </c>
      <c r="G479" s="10">
        <v>2.25</v>
      </c>
      <c r="H479" s="10">
        <v>1.57</v>
      </c>
      <c r="I479" s="10">
        <f t="shared" si="151"/>
        <v>1.125</v>
      </c>
      <c r="J479" s="10">
        <f t="shared" si="152"/>
        <v>0.78500000000000003</v>
      </c>
      <c r="K479" s="10" t="str">
        <f t="shared" si="147"/>
        <v>T1</v>
      </c>
      <c r="L479" s="10">
        <f t="shared" si="148"/>
        <v>6.8749999999999867E-2</v>
      </c>
      <c r="M479" s="75">
        <f t="shared" si="149"/>
        <v>56.25</v>
      </c>
      <c r="N479" s="247"/>
      <c r="O479" s="92"/>
      <c r="P479" s="69" t="s">
        <v>40</v>
      </c>
      <c r="Q479" s="87"/>
      <c r="R479" s="70">
        <f t="shared" si="153"/>
        <v>-56.25</v>
      </c>
      <c r="S479" s="87"/>
      <c r="T479" s="237"/>
      <c r="U479" s="12"/>
    </row>
    <row r="480" spans="1:21" ht="15.75" customHeight="1" x14ac:dyDescent="0.2">
      <c r="A480" s="254"/>
      <c r="B480" s="242"/>
      <c r="C480" s="64">
        <v>0.5</v>
      </c>
      <c r="D480" s="65" t="s">
        <v>56</v>
      </c>
      <c r="E480" s="65" t="s">
        <v>76</v>
      </c>
      <c r="F480" s="65">
        <f t="shared" si="150"/>
        <v>0.5</v>
      </c>
      <c r="G480" s="65">
        <v>2.1</v>
      </c>
      <c r="H480" s="65">
        <v>1.66</v>
      </c>
      <c r="I480" s="65">
        <f t="shared" si="151"/>
        <v>1.05</v>
      </c>
      <c r="J480" s="65">
        <f t="shared" si="152"/>
        <v>0.83</v>
      </c>
      <c r="K480" s="65" t="str">
        <f t="shared" si="147"/>
        <v>T1</v>
      </c>
      <c r="L480" s="65" t="str">
        <f t="shared" si="148"/>
        <v>NO BET</v>
      </c>
      <c r="M480" s="68" t="str">
        <f t="shared" si="149"/>
        <v>NO BET</v>
      </c>
      <c r="N480" s="247"/>
      <c r="O480" s="92"/>
      <c r="P480" s="69" t="s">
        <v>41</v>
      </c>
      <c r="Q480" s="87"/>
      <c r="R480" s="70">
        <f t="shared" si="153"/>
        <v>0</v>
      </c>
      <c r="S480" s="87"/>
      <c r="T480" s="237"/>
      <c r="U480" s="12"/>
    </row>
    <row r="481" spans="1:21" ht="16.5" thickBot="1" x14ac:dyDescent="0.25">
      <c r="A481" s="254"/>
      <c r="B481" s="242"/>
      <c r="C481" s="71">
        <v>0.5</v>
      </c>
      <c r="D481" s="10" t="s">
        <v>50</v>
      </c>
      <c r="E481" s="10">
        <v>100</v>
      </c>
      <c r="F481" s="10">
        <f t="shared" si="150"/>
        <v>0.5</v>
      </c>
      <c r="G481" s="10">
        <v>1.66</v>
      </c>
      <c r="H481" s="10">
        <v>2.1</v>
      </c>
      <c r="I481" s="10">
        <f t="shared" si="151"/>
        <v>0.83</v>
      </c>
      <c r="J481" s="10">
        <f t="shared" si="152"/>
        <v>1.05</v>
      </c>
      <c r="K481" s="10" t="str">
        <f t="shared" si="147"/>
        <v>T2</v>
      </c>
      <c r="L481" s="10" t="str">
        <f t="shared" si="148"/>
        <v>NO BET</v>
      </c>
      <c r="M481" s="74" t="str">
        <f t="shared" si="149"/>
        <v>NO BET</v>
      </c>
      <c r="N481" s="247"/>
      <c r="O481" s="12"/>
      <c r="P481" s="69" t="s">
        <v>41</v>
      </c>
      <c r="Q481" s="87"/>
      <c r="R481" s="70">
        <f t="shared" si="153"/>
        <v>0</v>
      </c>
      <c r="S481" s="87"/>
      <c r="T481" s="76" t="s">
        <v>31</v>
      </c>
      <c r="U481" s="12"/>
    </row>
    <row r="482" spans="1:21" ht="16.5" customHeight="1" x14ac:dyDescent="0.2">
      <c r="A482" s="254"/>
      <c r="B482" s="242"/>
      <c r="C482" s="64">
        <v>0.5</v>
      </c>
      <c r="D482" s="65" t="s">
        <v>68</v>
      </c>
      <c r="E482" s="65" t="s">
        <v>54</v>
      </c>
      <c r="F482" s="65">
        <f t="shared" si="150"/>
        <v>0.5</v>
      </c>
      <c r="G482" s="65">
        <v>2</v>
      </c>
      <c r="H482" s="65">
        <v>1.72</v>
      </c>
      <c r="I482" s="65">
        <f t="shared" si="151"/>
        <v>1</v>
      </c>
      <c r="J482" s="65">
        <f t="shared" si="152"/>
        <v>0.86</v>
      </c>
      <c r="K482" s="65" t="str">
        <f t="shared" si="147"/>
        <v>T1</v>
      </c>
      <c r="L482" s="65" t="str">
        <f t="shared" si="148"/>
        <v>NO BET</v>
      </c>
      <c r="M482" s="77" t="str">
        <f t="shared" si="149"/>
        <v>NO BET</v>
      </c>
      <c r="N482" s="247"/>
      <c r="O482" s="12"/>
      <c r="P482" s="69" t="s">
        <v>41</v>
      </c>
      <c r="Q482" s="87"/>
      <c r="R482" s="70">
        <f t="shared" si="153"/>
        <v>0</v>
      </c>
      <c r="S482" s="87"/>
      <c r="T482" s="249">
        <f>IF(AND(NOT(N475=0)),T475/N475,0)</f>
        <v>-137.02978723404263</v>
      </c>
      <c r="U482" s="12"/>
    </row>
    <row r="483" spans="1:21" ht="15.75" customHeight="1" x14ac:dyDescent="0.2">
      <c r="A483" s="254"/>
      <c r="B483" s="242"/>
      <c r="C483" s="71">
        <v>0.5</v>
      </c>
      <c r="D483" s="10" t="s">
        <v>58</v>
      </c>
      <c r="E483" s="10" t="s">
        <v>53</v>
      </c>
      <c r="F483" s="10">
        <f t="shared" si="150"/>
        <v>0.5</v>
      </c>
      <c r="G483" s="10">
        <v>3</v>
      </c>
      <c r="H483" s="10">
        <v>1.36</v>
      </c>
      <c r="I483" s="10">
        <f t="shared" si="151"/>
        <v>1.5</v>
      </c>
      <c r="J483" s="10">
        <f t="shared" si="152"/>
        <v>0.68</v>
      </c>
      <c r="K483" s="10" t="str">
        <f t="shared" si="147"/>
        <v>T1</v>
      </c>
      <c r="L483" s="10">
        <f t="shared" si="148"/>
        <v>0.42499999999999982</v>
      </c>
      <c r="M483" s="75">
        <f t="shared" si="149"/>
        <v>56.25</v>
      </c>
      <c r="N483" s="247"/>
      <c r="O483" s="12"/>
      <c r="P483" s="69" t="s">
        <v>40</v>
      </c>
      <c r="Q483" s="87"/>
      <c r="R483" s="70">
        <f t="shared" si="153"/>
        <v>-56.25</v>
      </c>
      <c r="S483" s="87"/>
      <c r="T483" s="250"/>
      <c r="U483" s="12"/>
    </row>
    <row r="484" spans="1:21" ht="15.75" customHeight="1" thickBot="1" x14ac:dyDescent="0.25">
      <c r="A484" s="255"/>
      <c r="B484" s="243"/>
      <c r="C484" s="93">
        <v>0.5</v>
      </c>
      <c r="D484" s="80" t="s">
        <v>75</v>
      </c>
      <c r="E484" s="80" t="s">
        <v>51</v>
      </c>
      <c r="F484" s="80">
        <f t="shared" si="150"/>
        <v>0.5</v>
      </c>
      <c r="G484" s="80">
        <v>1.4</v>
      </c>
      <c r="H484" s="80">
        <v>2.75</v>
      </c>
      <c r="I484" s="80">
        <f t="shared" si="151"/>
        <v>0.7</v>
      </c>
      <c r="J484" s="80">
        <f t="shared" si="152"/>
        <v>1.375</v>
      </c>
      <c r="K484" s="80" t="str">
        <f t="shared" si="147"/>
        <v>T2</v>
      </c>
      <c r="L484" s="80">
        <f t="shared" si="148"/>
        <v>0.30624999999999991</v>
      </c>
      <c r="M484" s="83">
        <f t="shared" si="149"/>
        <v>56.25</v>
      </c>
      <c r="N484" s="248"/>
      <c r="O484" s="12"/>
      <c r="P484" s="84" t="s">
        <v>41</v>
      </c>
      <c r="Q484" s="12"/>
      <c r="R484" s="85">
        <f>IF(OR(P484="",L484="NO BET"),0,IF(AND(K484=P484),IF(AND(K484="T2"),ROUNDUP(H484*M484*0.95,2)-M484,ROUNDUP(G484*M484*0.95,2)-M484),-M484))</f>
        <v>-56.25</v>
      </c>
      <c r="S484" s="12"/>
      <c r="T484" s="251"/>
      <c r="U484" s="12"/>
    </row>
    <row r="485" spans="1:21" ht="15.75" customHeight="1" x14ac:dyDescent="0.2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3"/>
      <c r="S485" s="12"/>
      <c r="T485" s="14"/>
      <c r="U485" s="12"/>
    </row>
    <row r="486" spans="1:21" ht="15.75" customHeight="1" x14ac:dyDescent="0.2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3"/>
      <c r="S486" s="12"/>
      <c r="T486" s="14"/>
      <c r="U486" s="12"/>
    </row>
    <row r="487" spans="1:21" ht="15.75" thickBot="1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3"/>
      <c r="S487" s="12"/>
      <c r="T487" s="14"/>
      <c r="U487" s="12"/>
    </row>
    <row r="488" spans="1:21" ht="22.5" customHeight="1" thickBot="1" x14ac:dyDescent="0.3">
      <c r="A488" s="102" t="s">
        <v>6</v>
      </c>
      <c r="B488" s="241" t="s">
        <v>21</v>
      </c>
      <c r="C488" s="51"/>
      <c r="D488" s="51" t="s">
        <v>9</v>
      </c>
      <c r="E488" s="51" t="s">
        <v>10</v>
      </c>
      <c r="F488" s="51" t="s">
        <v>11</v>
      </c>
      <c r="G488" s="51" t="s">
        <v>12</v>
      </c>
      <c r="H488" s="51" t="s">
        <v>13</v>
      </c>
      <c r="I488" s="51" t="s">
        <v>14</v>
      </c>
      <c r="J488" s="51" t="s">
        <v>15</v>
      </c>
      <c r="K488" s="51" t="s">
        <v>33</v>
      </c>
      <c r="L488" s="51" t="s">
        <v>16</v>
      </c>
      <c r="M488" s="51" t="s">
        <v>38</v>
      </c>
      <c r="N488" s="52" t="s">
        <v>17</v>
      </c>
      <c r="O488" s="88"/>
      <c r="P488" s="53" t="s">
        <v>18</v>
      </c>
      <c r="Q488" s="87"/>
      <c r="R488" s="54" t="s">
        <v>34</v>
      </c>
      <c r="S488" s="87"/>
      <c r="T488" s="56" t="s">
        <v>29</v>
      </c>
      <c r="U488" s="12"/>
    </row>
    <row r="489" spans="1:21" ht="15.75" customHeight="1" x14ac:dyDescent="0.2">
      <c r="A489" s="103"/>
      <c r="B489" s="242"/>
      <c r="C489" s="98"/>
      <c r="D489" s="58"/>
      <c r="E489" s="58"/>
      <c r="F489" s="58" t="str">
        <f>IF(AND(C489=""),"",1-C489)</f>
        <v/>
      </c>
      <c r="G489" s="58"/>
      <c r="H489" s="58"/>
      <c r="I489" s="58" t="str">
        <f>IF(AND(C489=""),"",G489*C489)</f>
        <v/>
      </c>
      <c r="J489" s="58" t="str">
        <f>IF(AND(C489=""),"",H489*F489)</f>
        <v/>
      </c>
      <c r="K489" s="58" t="str">
        <f t="shared" ref="K489:K498" si="154">IF(AND(I489=""),"",IF(AND(I489&gt;J489),"T1","T2"))</f>
        <v/>
      </c>
      <c r="L489" s="58" t="str">
        <f t="shared" ref="L489:L498" si="155">IF(AND(K489=""),"",IF(AND((J489*0.95-1)&lt;0,(I489*0.95-1)&lt;0),"NO BET", IF(AND(K489="T1"),I489*0.95 - 1,J489*0.95 - 1)))</f>
        <v/>
      </c>
      <c r="M489" s="61" t="str">
        <f t="shared" ref="M489:M498" si="156">IF(L489="","",IF(L489&lt;0.5,K$2*M$2,IF(L489&lt;0.75,K$2*M$3,IF(L489&lt;1,K$2*M$4,IF(L489&lt;1.25,K$2*M$5,IF(L489&lt;1.5,K$2*M$6,IF(L489&lt;2,K$2*M$7,IF(L489&lt;2.5,K$2*M$8,IF(L489="NO BET","NO BET",K$2*M$9)))))))))</f>
        <v/>
      </c>
      <c r="N489" s="246">
        <f>SUMIF(L489:L498,"&gt;0")</f>
        <v>0</v>
      </c>
      <c r="O489" s="88"/>
      <c r="P489" s="62"/>
      <c r="Q489" s="88"/>
      <c r="R489" s="63">
        <f>IF(OR(P489="",L489="NO BET"),0,IF(AND(K489=P489),IF(AND(K489="T2"),ROUNDUP(H489*M489*0.95,2)-M489,ROUNDUP(G489*M489*0.95,2)-M489),-M489))</f>
        <v>0</v>
      </c>
      <c r="S489" s="87"/>
      <c r="T489" s="237">
        <f>SUM(R489:R498)</f>
        <v>0</v>
      </c>
      <c r="U489" s="12"/>
    </row>
    <row r="490" spans="1:21" ht="15.75" customHeight="1" x14ac:dyDescent="0.2">
      <c r="A490" s="254" t="s">
        <v>7</v>
      </c>
      <c r="B490" s="242"/>
      <c r="C490" s="96"/>
      <c r="D490" s="65"/>
      <c r="E490" s="65"/>
      <c r="F490" s="65" t="str">
        <f t="shared" ref="F490:F498" si="157">IF(AND(C490=""),"",1-C490)</f>
        <v/>
      </c>
      <c r="G490" s="65"/>
      <c r="H490" s="65"/>
      <c r="I490" s="65" t="str">
        <f t="shared" ref="I490:I498" si="158">IF(AND(C490=""),"",G490*C490)</f>
        <v/>
      </c>
      <c r="J490" s="65" t="str">
        <f t="shared" ref="J490:J498" si="159">IF(AND(C490=""),"",H490*F490)</f>
        <v/>
      </c>
      <c r="K490" s="65" t="str">
        <f t="shared" si="154"/>
        <v/>
      </c>
      <c r="L490" s="65" t="str">
        <f t="shared" si="155"/>
        <v/>
      </c>
      <c r="M490" s="68" t="str">
        <f t="shared" si="156"/>
        <v/>
      </c>
      <c r="N490" s="247"/>
      <c r="O490" s="12"/>
      <c r="P490" s="69"/>
      <c r="Q490" s="87"/>
      <c r="R490" s="70">
        <f t="shared" ref="R490:R497" si="160">IF(OR(P490="",L490="NO BET"),0,IF(AND(K490=P490),IF(AND(K490="T2"),ROUNDUP(H490*M490*0.95,2)-M490,ROUNDUP(G490*M490*0.95,2)-M490),-M490))</f>
        <v>0</v>
      </c>
      <c r="S490" s="87"/>
      <c r="T490" s="237"/>
      <c r="U490" s="12"/>
    </row>
    <row r="491" spans="1:21" ht="15.75" customHeight="1" x14ac:dyDescent="0.2">
      <c r="A491" s="254"/>
      <c r="B491" s="242"/>
      <c r="C491" s="95"/>
      <c r="D491" s="10"/>
      <c r="E491" s="10"/>
      <c r="F491" s="10" t="str">
        <f t="shared" si="157"/>
        <v/>
      </c>
      <c r="G491" s="10"/>
      <c r="H491" s="10"/>
      <c r="I491" s="10" t="str">
        <f t="shared" si="158"/>
        <v/>
      </c>
      <c r="J491" s="10" t="str">
        <f t="shared" si="159"/>
        <v/>
      </c>
      <c r="K491" s="10" t="str">
        <f t="shared" si="154"/>
        <v/>
      </c>
      <c r="L491" s="10" t="str">
        <f t="shared" si="155"/>
        <v/>
      </c>
      <c r="M491" s="74" t="str">
        <f t="shared" si="156"/>
        <v/>
      </c>
      <c r="N491" s="247"/>
      <c r="O491" s="88"/>
      <c r="P491" s="69"/>
      <c r="Q491" s="87"/>
      <c r="R491" s="70">
        <f t="shared" si="160"/>
        <v>0</v>
      </c>
      <c r="S491" s="87"/>
      <c r="T491" s="237"/>
      <c r="U491" s="12"/>
    </row>
    <row r="492" spans="1:21" ht="15.75" customHeight="1" x14ac:dyDescent="0.2">
      <c r="A492" s="254"/>
      <c r="B492" s="242"/>
      <c r="C492" s="96"/>
      <c r="D492" s="65"/>
      <c r="E492" s="65"/>
      <c r="F492" s="65" t="str">
        <f t="shared" si="157"/>
        <v/>
      </c>
      <c r="G492" s="65"/>
      <c r="H492" s="65"/>
      <c r="I492" s="65" t="str">
        <f t="shared" si="158"/>
        <v/>
      </c>
      <c r="J492" s="65" t="str">
        <f t="shared" si="159"/>
        <v/>
      </c>
      <c r="K492" s="65" t="str">
        <f t="shared" si="154"/>
        <v/>
      </c>
      <c r="L492" s="65" t="str">
        <f t="shared" si="155"/>
        <v/>
      </c>
      <c r="M492" s="68" t="str">
        <f t="shared" si="156"/>
        <v/>
      </c>
      <c r="N492" s="247"/>
      <c r="O492" s="92"/>
      <c r="P492" s="69"/>
      <c r="Q492" s="87"/>
      <c r="R492" s="70">
        <f t="shared" si="160"/>
        <v>0</v>
      </c>
      <c r="S492" s="87"/>
      <c r="T492" s="237"/>
      <c r="U492" s="12"/>
    </row>
    <row r="493" spans="1:21" ht="15.75" customHeight="1" x14ac:dyDescent="0.2">
      <c r="A493" s="254"/>
      <c r="B493" s="242"/>
      <c r="C493" s="95"/>
      <c r="D493" s="10"/>
      <c r="E493" s="10"/>
      <c r="F493" s="10" t="str">
        <f t="shared" si="157"/>
        <v/>
      </c>
      <c r="G493" s="10"/>
      <c r="H493" s="10"/>
      <c r="I493" s="10" t="str">
        <f t="shared" si="158"/>
        <v/>
      </c>
      <c r="J493" s="10" t="str">
        <f t="shared" si="159"/>
        <v/>
      </c>
      <c r="K493" s="10" t="str">
        <f t="shared" si="154"/>
        <v/>
      </c>
      <c r="L493" s="10" t="str">
        <f t="shared" si="155"/>
        <v/>
      </c>
      <c r="M493" s="75" t="str">
        <f t="shared" si="156"/>
        <v/>
      </c>
      <c r="N493" s="247"/>
      <c r="O493" s="92"/>
      <c r="P493" s="69"/>
      <c r="Q493" s="87"/>
      <c r="R493" s="70">
        <f t="shared" si="160"/>
        <v>0</v>
      </c>
      <c r="S493" s="87"/>
      <c r="T493" s="237"/>
      <c r="U493" s="12"/>
    </row>
    <row r="494" spans="1:21" ht="15.75" customHeight="1" x14ac:dyDescent="0.2">
      <c r="A494" s="254"/>
      <c r="B494" s="242"/>
      <c r="C494" s="96"/>
      <c r="D494" s="65"/>
      <c r="E494" s="65"/>
      <c r="F494" s="65" t="str">
        <f t="shared" si="157"/>
        <v/>
      </c>
      <c r="G494" s="65"/>
      <c r="H494" s="65"/>
      <c r="I494" s="65" t="str">
        <f t="shared" si="158"/>
        <v/>
      </c>
      <c r="J494" s="65" t="str">
        <f t="shared" si="159"/>
        <v/>
      </c>
      <c r="K494" s="65" t="str">
        <f t="shared" si="154"/>
        <v/>
      </c>
      <c r="L494" s="65" t="str">
        <f t="shared" si="155"/>
        <v/>
      </c>
      <c r="M494" s="68" t="str">
        <f t="shared" si="156"/>
        <v/>
      </c>
      <c r="N494" s="247"/>
      <c r="O494" s="92"/>
      <c r="P494" s="69"/>
      <c r="Q494" s="87"/>
      <c r="R494" s="70">
        <f t="shared" si="160"/>
        <v>0</v>
      </c>
      <c r="S494" s="87"/>
      <c r="T494" s="237"/>
      <c r="U494" s="12"/>
    </row>
    <row r="495" spans="1:21" ht="15.75" customHeight="1" thickBot="1" x14ac:dyDescent="0.25">
      <c r="A495" s="254"/>
      <c r="B495" s="242"/>
      <c r="C495" s="95"/>
      <c r="D495" s="10"/>
      <c r="E495" s="10"/>
      <c r="F495" s="10" t="str">
        <f t="shared" si="157"/>
        <v/>
      </c>
      <c r="G495" s="10"/>
      <c r="H495" s="10"/>
      <c r="I495" s="10" t="str">
        <f t="shared" si="158"/>
        <v/>
      </c>
      <c r="J495" s="10" t="str">
        <f t="shared" si="159"/>
        <v/>
      </c>
      <c r="K495" s="10" t="str">
        <f t="shared" si="154"/>
        <v/>
      </c>
      <c r="L495" s="10" t="str">
        <f t="shared" si="155"/>
        <v/>
      </c>
      <c r="M495" s="74" t="str">
        <f t="shared" si="156"/>
        <v/>
      </c>
      <c r="N495" s="247"/>
      <c r="O495" s="12"/>
      <c r="P495" s="69"/>
      <c r="Q495" s="87"/>
      <c r="R495" s="70">
        <f t="shared" si="160"/>
        <v>0</v>
      </c>
      <c r="S495" s="87"/>
      <c r="T495" s="76" t="s">
        <v>31</v>
      </c>
      <c r="U495" s="12"/>
    </row>
    <row r="496" spans="1:21" ht="16.5" customHeight="1" x14ac:dyDescent="0.2">
      <c r="A496" s="254"/>
      <c r="B496" s="242"/>
      <c r="C496" s="96"/>
      <c r="D496" s="65"/>
      <c r="E496" s="65"/>
      <c r="F496" s="65" t="str">
        <f t="shared" si="157"/>
        <v/>
      </c>
      <c r="G496" s="65"/>
      <c r="H496" s="65"/>
      <c r="I496" s="65" t="str">
        <f t="shared" si="158"/>
        <v/>
      </c>
      <c r="J496" s="65" t="str">
        <f t="shared" si="159"/>
        <v/>
      </c>
      <c r="K496" s="65" t="str">
        <f t="shared" si="154"/>
        <v/>
      </c>
      <c r="L496" s="65" t="str">
        <f t="shared" si="155"/>
        <v/>
      </c>
      <c r="M496" s="77" t="str">
        <f t="shared" si="156"/>
        <v/>
      </c>
      <c r="N496" s="247"/>
      <c r="O496" s="12"/>
      <c r="P496" s="69"/>
      <c r="Q496" s="87"/>
      <c r="R496" s="70">
        <f t="shared" si="160"/>
        <v>0</v>
      </c>
      <c r="S496" s="87"/>
      <c r="T496" s="249">
        <f>IF(AND(NOT(N489=0)),T489/N489,0)</f>
        <v>0</v>
      </c>
      <c r="U496" s="12"/>
    </row>
    <row r="497" spans="1:21" x14ac:dyDescent="0.2">
      <c r="A497" s="254"/>
      <c r="B497" s="242"/>
      <c r="C497" s="95"/>
      <c r="D497" s="10"/>
      <c r="E497" s="10"/>
      <c r="F497" s="10" t="str">
        <f t="shared" si="157"/>
        <v/>
      </c>
      <c r="G497" s="10"/>
      <c r="H497" s="10"/>
      <c r="I497" s="10" t="str">
        <f t="shared" si="158"/>
        <v/>
      </c>
      <c r="J497" s="10" t="str">
        <f t="shared" si="159"/>
        <v/>
      </c>
      <c r="K497" s="10" t="str">
        <f t="shared" si="154"/>
        <v/>
      </c>
      <c r="L497" s="10" t="str">
        <f t="shared" si="155"/>
        <v/>
      </c>
      <c r="M497" s="75" t="str">
        <f t="shared" si="156"/>
        <v/>
      </c>
      <c r="N497" s="247"/>
      <c r="O497" s="12"/>
      <c r="P497" s="69"/>
      <c r="Q497" s="87"/>
      <c r="R497" s="70">
        <f t="shared" si="160"/>
        <v>0</v>
      </c>
      <c r="S497" s="87"/>
      <c r="T497" s="250"/>
      <c r="U497" s="12"/>
    </row>
    <row r="498" spans="1:21" ht="15.75" thickBot="1" x14ac:dyDescent="0.25">
      <c r="A498" s="255"/>
      <c r="B498" s="243"/>
      <c r="C498" s="97"/>
      <c r="D498" s="80"/>
      <c r="E498" s="80"/>
      <c r="F498" s="80" t="str">
        <f t="shared" si="157"/>
        <v/>
      </c>
      <c r="G498" s="80"/>
      <c r="H498" s="80"/>
      <c r="I498" s="80" t="str">
        <f t="shared" si="158"/>
        <v/>
      </c>
      <c r="J498" s="80" t="str">
        <f t="shared" si="159"/>
        <v/>
      </c>
      <c r="K498" s="80" t="str">
        <f t="shared" si="154"/>
        <v/>
      </c>
      <c r="L498" s="80" t="str">
        <f t="shared" si="155"/>
        <v/>
      </c>
      <c r="M498" s="83" t="str">
        <f t="shared" si="156"/>
        <v/>
      </c>
      <c r="N498" s="248"/>
      <c r="O498" s="12"/>
      <c r="P498" s="84"/>
      <c r="Q498" s="12"/>
      <c r="R498" s="85">
        <f>IF(OR(P498="",L498="NO BET"),0,IF(AND(K498=P498),IF(AND(K498="T2"),ROUNDUP(H498*M498*0.95,2)-M498,ROUNDUP(G498*M498*0.95,2)-M498),-M498))</f>
        <v>0</v>
      </c>
      <c r="S498" s="12"/>
      <c r="T498" s="251"/>
      <c r="U498" s="12"/>
    </row>
    <row r="499" spans="1:21" x14ac:dyDescent="0.2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3"/>
      <c r="S499" s="12"/>
      <c r="T499" s="14"/>
      <c r="U499" s="12"/>
    </row>
    <row r="500" spans="1:21" ht="15.75" customHeight="1" x14ac:dyDescent="0.2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S500" s="12"/>
      <c r="T500" s="14"/>
      <c r="U500" s="12"/>
    </row>
    <row r="501" spans="1:21" ht="15.75" customHeight="1" thickBot="1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3"/>
      <c r="S501" s="12"/>
      <c r="T501" s="14"/>
      <c r="U501" s="12"/>
    </row>
    <row r="502" spans="1:21" ht="22.5" customHeight="1" thickBot="1" x14ac:dyDescent="0.3">
      <c r="A502" s="102" t="s">
        <v>6</v>
      </c>
      <c r="B502" s="241" t="s">
        <v>22</v>
      </c>
      <c r="C502" s="51"/>
      <c r="D502" s="51" t="s">
        <v>9</v>
      </c>
      <c r="E502" s="51" t="s">
        <v>10</v>
      </c>
      <c r="F502" s="51" t="s">
        <v>11</v>
      </c>
      <c r="G502" s="51" t="s">
        <v>12</v>
      </c>
      <c r="H502" s="51" t="s">
        <v>13</v>
      </c>
      <c r="I502" s="51" t="s">
        <v>14</v>
      </c>
      <c r="J502" s="51" t="s">
        <v>15</v>
      </c>
      <c r="K502" s="51" t="s">
        <v>33</v>
      </c>
      <c r="L502" s="51" t="s">
        <v>16</v>
      </c>
      <c r="M502" s="51" t="s">
        <v>38</v>
      </c>
      <c r="N502" s="52" t="s">
        <v>17</v>
      </c>
      <c r="O502" s="88"/>
      <c r="P502" s="53" t="s">
        <v>18</v>
      </c>
      <c r="Q502" s="87"/>
      <c r="R502" s="54" t="s">
        <v>34</v>
      </c>
      <c r="S502" s="87"/>
      <c r="T502" s="56" t="s">
        <v>29</v>
      </c>
      <c r="U502" s="12"/>
    </row>
    <row r="503" spans="1:21" ht="15.75" customHeight="1" x14ac:dyDescent="0.2">
      <c r="A503" s="103"/>
      <c r="B503" s="242"/>
      <c r="C503" s="57">
        <v>0.72</v>
      </c>
      <c r="D503" s="58" t="s">
        <v>76</v>
      </c>
      <c r="E503" s="58" t="s">
        <v>51</v>
      </c>
      <c r="F503" s="58">
        <f>IF(AND(C503=""),"",1-C503)</f>
        <v>0.28000000000000003</v>
      </c>
      <c r="G503" s="58">
        <v>1.36</v>
      </c>
      <c r="H503" s="58">
        <v>3</v>
      </c>
      <c r="I503" s="58">
        <f>IF(AND(C503=""),"",G503*C503)</f>
        <v>0.97920000000000007</v>
      </c>
      <c r="J503" s="58">
        <f>IF(AND(C503=""),"",H503*F503)</f>
        <v>0.84000000000000008</v>
      </c>
      <c r="K503" s="58" t="str">
        <f t="shared" ref="K503:K512" si="161">IF(AND(I503=""),"",IF(AND(I503&gt;J503),"T1","T2"))</f>
        <v>T1</v>
      </c>
      <c r="L503" s="58" t="str">
        <f t="shared" ref="L503:L512" si="162">IF(AND(K503=""),"",IF(AND((J503*0.95-1)&lt;0,(I503*0.95-1)&lt;0),"NO BET", IF(AND(K503="T1"),I503*0.95 - 1,J503*0.95 - 1)))</f>
        <v>NO BET</v>
      </c>
      <c r="M503" s="61" t="str">
        <f t="shared" ref="M503:M512" si="163">IF(L503="","",IF(L503&lt;0.5,K$2*M$2,IF(L503&lt;0.75,K$2*M$3,IF(L503&lt;1,K$2*M$4,IF(L503&lt;1.25,K$2*M$5,IF(L503&lt;1.5,K$2*M$6,IF(L503&lt;2,K$2*M$7,IF(L503&lt;2.5,K$2*M$8,IF(L503="NO BET","NO BET",K$2*M$9)))))))))</f>
        <v>NO BET</v>
      </c>
      <c r="N503" s="246">
        <f>SUMIF(L503:L512,"&gt;0")</f>
        <v>0.77640999999999982</v>
      </c>
      <c r="O503" s="88"/>
      <c r="P503" s="62" t="s">
        <v>40</v>
      </c>
      <c r="Q503" s="88"/>
      <c r="R503" s="63">
        <f>IF(OR(P503="",L503="NO BET"),0,IF(AND(K503=P503),IF(AND(K503="T2"),ROUNDUP(H503*M503*0.95,2)-M503,ROUNDUP(G503*M503*0.95,2)-M503),-M503))</f>
        <v>0</v>
      </c>
      <c r="S503" s="87"/>
      <c r="T503" s="237">
        <f>SUM(R503:R512)</f>
        <v>185.95</v>
      </c>
      <c r="U503" s="12"/>
    </row>
    <row r="504" spans="1:21" ht="15.75" customHeight="1" x14ac:dyDescent="0.2">
      <c r="A504" s="254" t="s">
        <v>7</v>
      </c>
      <c r="B504" s="242"/>
      <c r="C504" s="64">
        <v>0.45</v>
      </c>
      <c r="D504" s="65" t="s">
        <v>50</v>
      </c>
      <c r="E504" s="65" t="s">
        <v>75</v>
      </c>
      <c r="F504" s="65">
        <f t="shared" ref="F504:F512" si="164">IF(AND(C504=""),"",1-C504)</f>
        <v>0.55000000000000004</v>
      </c>
      <c r="G504" s="65">
        <v>1.9</v>
      </c>
      <c r="H504" s="65">
        <v>1.8</v>
      </c>
      <c r="I504" s="65">
        <f t="shared" ref="I504:I512" si="165">IF(AND(C504=""),"",G504*C504)</f>
        <v>0.85499999999999998</v>
      </c>
      <c r="J504" s="65">
        <f t="shared" ref="J504:J512" si="166">IF(AND(C504=""),"",H504*F504)</f>
        <v>0.9900000000000001</v>
      </c>
      <c r="K504" s="65" t="str">
        <f t="shared" si="161"/>
        <v>T2</v>
      </c>
      <c r="L504" s="65" t="str">
        <f t="shared" si="162"/>
        <v>NO BET</v>
      </c>
      <c r="M504" s="68" t="str">
        <f t="shared" si="163"/>
        <v>NO BET</v>
      </c>
      <c r="N504" s="247"/>
      <c r="O504" s="12"/>
      <c r="P504" s="69" t="s">
        <v>41</v>
      </c>
      <c r="Q504" s="87"/>
      <c r="R504" s="70">
        <f t="shared" ref="R504:R511" si="167">IF(OR(P504="",L504="NO BET"),0,IF(AND(K504=P504),IF(AND(K504="T2"),ROUNDUP(H504*M504*0.95,2)-M504,ROUNDUP(G504*M504*0.95,2)-M504),-M504))</f>
        <v>0</v>
      </c>
      <c r="S504" s="87"/>
      <c r="T504" s="237"/>
      <c r="U504" s="12"/>
    </row>
    <row r="505" spans="1:21" ht="15.75" customHeight="1" x14ac:dyDescent="0.2">
      <c r="A505" s="254"/>
      <c r="B505" s="242"/>
      <c r="C505" s="71">
        <v>0.55000000000000004</v>
      </c>
      <c r="D505" s="10" t="s">
        <v>68</v>
      </c>
      <c r="E505" s="10" t="s">
        <v>53</v>
      </c>
      <c r="F505" s="10">
        <f>IF(AND(C505=""),"",1-C505)</f>
        <v>0.44999999999999996</v>
      </c>
      <c r="G505" s="10">
        <v>2.62</v>
      </c>
      <c r="H505" s="10">
        <v>1.44</v>
      </c>
      <c r="I505" s="10">
        <f>IF(AND(C505=""),"",G505*C505)</f>
        <v>1.4410000000000003</v>
      </c>
      <c r="J505" s="10">
        <f>IF(AND(C505=""),"",H505*F505)</f>
        <v>0.64799999999999991</v>
      </c>
      <c r="K505" s="10" t="str">
        <f t="shared" si="161"/>
        <v>T1</v>
      </c>
      <c r="L505" s="10">
        <f t="shared" si="162"/>
        <v>0.36895000000000011</v>
      </c>
      <c r="M505" s="74">
        <f t="shared" si="163"/>
        <v>56.25</v>
      </c>
      <c r="N505" s="247"/>
      <c r="O505" s="88"/>
      <c r="P505" s="69" t="s">
        <v>41</v>
      </c>
      <c r="Q505" s="87"/>
      <c r="R505" s="70">
        <f t="shared" si="167"/>
        <v>83.759999999999991</v>
      </c>
      <c r="S505" s="87"/>
      <c r="T505" s="237"/>
      <c r="U505" s="12"/>
    </row>
    <row r="506" spans="1:21" ht="15.75" customHeight="1" x14ac:dyDescent="0.2">
      <c r="A506" s="254"/>
      <c r="B506" s="242"/>
      <c r="C506" s="64">
        <v>0.7</v>
      </c>
      <c r="D506" s="65">
        <v>100</v>
      </c>
      <c r="E506" s="65" t="s">
        <v>54</v>
      </c>
      <c r="F506" s="65">
        <f t="shared" si="164"/>
        <v>0.30000000000000004</v>
      </c>
      <c r="G506" s="65">
        <v>1.4</v>
      </c>
      <c r="H506" s="65">
        <v>2.75</v>
      </c>
      <c r="I506" s="65">
        <f t="shared" si="165"/>
        <v>0.97999999999999987</v>
      </c>
      <c r="J506" s="65">
        <f t="shared" si="166"/>
        <v>0.82500000000000018</v>
      </c>
      <c r="K506" s="65" t="str">
        <f t="shared" si="161"/>
        <v>T1</v>
      </c>
      <c r="L506" s="65" t="str">
        <f t="shared" si="162"/>
        <v>NO BET</v>
      </c>
      <c r="M506" s="68" t="str">
        <f t="shared" si="163"/>
        <v>NO BET</v>
      </c>
      <c r="N506" s="247"/>
      <c r="O506" s="92"/>
      <c r="P506" s="69" t="s">
        <v>40</v>
      </c>
      <c r="Q506" s="87"/>
      <c r="R506" s="70">
        <f t="shared" si="167"/>
        <v>0</v>
      </c>
      <c r="S506" s="87"/>
      <c r="T506" s="237"/>
      <c r="U506" s="12"/>
    </row>
    <row r="507" spans="1:21" ht="15.75" customHeight="1" x14ac:dyDescent="0.2">
      <c r="A507" s="254"/>
      <c r="B507" s="242"/>
      <c r="C507" s="71">
        <v>0.86</v>
      </c>
      <c r="D507" s="10" t="s">
        <v>56</v>
      </c>
      <c r="E507" s="10" t="s">
        <v>58</v>
      </c>
      <c r="F507" s="10">
        <f t="shared" si="164"/>
        <v>0.14000000000000001</v>
      </c>
      <c r="G507" s="10">
        <v>1.22</v>
      </c>
      <c r="H507" s="10">
        <v>4</v>
      </c>
      <c r="I507" s="10">
        <f t="shared" si="165"/>
        <v>1.0491999999999999</v>
      </c>
      <c r="J507" s="10">
        <f t="shared" si="166"/>
        <v>0.56000000000000005</v>
      </c>
      <c r="K507" s="10" t="str">
        <f t="shared" si="161"/>
        <v>T1</v>
      </c>
      <c r="L507" s="10" t="str">
        <f t="shared" si="162"/>
        <v>NO BET</v>
      </c>
      <c r="M507" s="75" t="str">
        <f t="shared" si="163"/>
        <v>NO BET</v>
      </c>
      <c r="N507" s="247"/>
      <c r="O507" s="92"/>
      <c r="P507" s="69" t="s">
        <v>41</v>
      </c>
      <c r="Q507" s="87"/>
      <c r="R507" s="70">
        <f t="shared" si="167"/>
        <v>0</v>
      </c>
      <c r="S507" s="87"/>
      <c r="T507" s="237"/>
      <c r="U507" s="12"/>
    </row>
    <row r="508" spans="1:21" ht="15.75" customHeight="1" x14ac:dyDescent="0.2">
      <c r="A508" s="254"/>
      <c r="B508" s="242"/>
      <c r="C508" s="64">
        <v>0.21</v>
      </c>
      <c r="D508" s="65" t="s">
        <v>54</v>
      </c>
      <c r="E508" s="65" t="s">
        <v>50</v>
      </c>
      <c r="F508" s="65">
        <f t="shared" si="164"/>
        <v>0.79</v>
      </c>
      <c r="G508" s="65">
        <v>3.25</v>
      </c>
      <c r="H508" s="65">
        <v>1.33</v>
      </c>
      <c r="I508" s="65">
        <f t="shared" si="165"/>
        <v>0.6825</v>
      </c>
      <c r="J508" s="65">
        <f t="shared" si="166"/>
        <v>1.0507000000000002</v>
      </c>
      <c r="K508" s="65" t="str">
        <f t="shared" si="161"/>
        <v>T2</v>
      </c>
      <c r="L508" s="65" t="str">
        <f t="shared" si="162"/>
        <v>NO BET</v>
      </c>
      <c r="M508" s="68" t="str">
        <f t="shared" si="163"/>
        <v>NO BET</v>
      </c>
      <c r="N508" s="247"/>
      <c r="O508" s="92"/>
      <c r="P508" s="69" t="s">
        <v>40</v>
      </c>
      <c r="Q508" s="87"/>
      <c r="R508" s="70">
        <f t="shared" si="167"/>
        <v>0</v>
      </c>
      <c r="S508" s="87"/>
      <c r="T508" s="237"/>
      <c r="U508" s="12"/>
    </row>
    <row r="509" spans="1:21" ht="15.75" customHeight="1" thickBot="1" x14ac:dyDescent="0.25">
      <c r="A509" s="254"/>
      <c r="B509" s="242"/>
      <c r="C509" s="71">
        <v>0.35</v>
      </c>
      <c r="D509" s="10" t="s">
        <v>58</v>
      </c>
      <c r="E509" s="10">
        <v>100</v>
      </c>
      <c r="F509" s="10">
        <f>IF(AND(C509=""),"",1-C509)</f>
        <v>0.65</v>
      </c>
      <c r="G509" s="10">
        <v>3.5</v>
      </c>
      <c r="H509" s="10">
        <v>1.28</v>
      </c>
      <c r="I509" s="10">
        <f>IF(AND(C509=""),"",G509*C509)</f>
        <v>1.2249999999999999</v>
      </c>
      <c r="J509" s="10">
        <f>IF(AND(C509=""),"",H509*F509)</f>
        <v>0.83200000000000007</v>
      </c>
      <c r="K509" s="10" t="str">
        <f t="shared" si="161"/>
        <v>T1</v>
      </c>
      <c r="L509" s="10">
        <f t="shared" si="162"/>
        <v>0.16374999999999984</v>
      </c>
      <c r="M509" s="74">
        <f t="shared" si="163"/>
        <v>56.25</v>
      </c>
      <c r="N509" s="247"/>
      <c r="O509" s="12"/>
      <c r="P509" s="69" t="s">
        <v>41</v>
      </c>
      <c r="Q509" s="87"/>
      <c r="R509" s="70">
        <f t="shared" si="167"/>
        <v>130.79</v>
      </c>
      <c r="S509" s="87"/>
      <c r="T509" s="76" t="s">
        <v>31</v>
      </c>
      <c r="U509" s="12"/>
    </row>
    <row r="510" spans="1:21" ht="16.5" customHeight="1" x14ac:dyDescent="0.2">
      <c r="A510" s="254"/>
      <c r="B510" s="242"/>
      <c r="C510" s="64">
        <v>0.74</v>
      </c>
      <c r="D510" s="65" t="s">
        <v>76</v>
      </c>
      <c r="E510" s="65" t="s">
        <v>53</v>
      </c>
      <c r="F510" s="65">
        <f t="shared" si="164"/>
        <v>0.26</v>
      </c>
      <c r="G510" s="65">
        <v>1.57</v>
      </c>
      <c r="H510" s="65">
        <v>2.25</v>
      </c>
      <c r="I510" s="65">
        <f t="shared" si="165"/>
        <v>1.1617999999999999</v>
      </c>
      <c r="J510" s="65">
        <f t="shared" si="166"/>
        <v>0.58499999999999996</v>
      </c>
      <c r="K510" s="65" t="str">
        <f t="shared" si="161"/>
        <v>T1</v>
      </c>
      <c r="L510" s="65">
        <f t="shared" si="162"/>
        <v>0.10370999999999997</v>
      </c>
      <c r="M510" s="77">
        <f t="shared" si="163"/>
        <v>56.25</v>
      </c>
      <c r="N510" s="247"/>
      <c r="O510" s="12"/>
      <c r="P510" s="69" t="s">
        <v>41</v>
      </c>
      <c r="Q510" s="87"/>
      <c r="R510" s="70">
        <f t="shared" si="167"/>
        <v>27.650000000000006</v>
      </c>
      <c r="S510" s="87"/>
      <c r="T510" s="249">
        <f>IF(AND(NOT(N503=0)),T503/N503,0)</f>
        <v>239.49974884403863</v>
      </c>
      <c r="U510" s="12"/>
    </row>
    <row r="511" spans="1:21" ht="15.75" customHeight="1" x14ac:dyDescent="0.2">
      <c r="A511" s="254"/>
      <c r="B511" s="242"/>
      <c r="C511" s="71">
        <v>0.48</v>
      </c>
      <c r="D511" s="10" t="s">
        <v>75</v>
      </c>
      <c r="E511" s="10" t="s">
        <v>56</v>
      </c>
      <c r="F511" s="10">
        <f t="shared" si="164"/>
        <v>0.52</v>
      </c>
      <c r="G511" s="10">
        <v>1.8</v>
      </c>
      <c r="H511" s="10">
        <v>1.9</v>
      </c>
      <c r="I511" s="10">
        <f t="shared" si="165"/>
        <v>0.86399999999999999</v>
      </c>
      <c r="J511" s="10">
        <f t="shared" si="166"/>
        <v>0.98799999999999999</v>
      </c>
      <c r="K511" s="10" t="str">
        <f t="shared" si="161"/>
        <v>T2</v>
      </c>
      <c r="L511" s="10" t="str">
        <f t="shared" si="162"/>
        <v>NO BET</v>
      </c>
      <c r="M511" s="75" t="str">
        <f t="shared" si="163"/>
        <v>NO BET</v>
      </c>
      <c r="N511" s="247"/>
      <c r="O511" s="12"/>
      <c r="P511" s="69" t="s">
        <v>40</v>
      </c>
      <c r="Q511" s="87"/>
      <c r="R511" s="70">
        <f t="shared" si="167"/>
        <v>0</v>
      </c>
      <c r="S511" s="87"/>
      <c r="T511" s="250"/>
      <c r="U511" s="12"/>
    </row>
    <row r="512" spans="1:21" ht="15.75" customHeight="1" thickBot="1" x14ac:dyDescent="0.25">
      <c r="A512" s="255"/>
      <c r="B512" s="243"/>
      <c r="C512" s="93">
        <v>0.48</v>
      </c>
      <c r="D512" s="80" t="s">
        <v>68</v>
      </c>
      <c r="E512" s="80" t="s">
        <v>51</v>
      </c>
      <c r="F512" s="80">
        <f t="shared" si="164"/>
        <v>0.52</v>
      </c>
      <c r="G512" s="80">
        <v>2.5</v>
      </c>
      <c r="H512" s="80">
        <v>1.5</v>
      </c>
      <c r="I512" s="80">
        <f t="shared" si="165"/>
        <v>1.2</v>
      </c>
      <c r="J512" s="80">
        <f t="shared" si="166"/>
        <v>0.78</v>
      </c>
      <c r="K512" s="80" t="str">
        <f t="shared" si="161"/>
        <v>T1</v>
      </c>
      <c r="L512" s="80">
        <f t="shared" si="162"/>
        <v>0.1399999999999999</v>
      </c>
      <c r="M512" s="83">
        <f t="shared" si="163"/>
        <v>56.25</v>
      </c>
      <c r="N512" s="248"/>
      <c r="O512" s="12"/>
      <c r="P512" s="84" t="s">
        <v>40</v>
      </c>
      <c r="Q512" s="12"/>
      <c r="R512" s="85">
        <f>IF(OR(P512="",L512="NO BET"),0,IF(AND(K512=P512),IF(AND(K512="T2"),ROUNDUP(H512*M512*0.95,2)-M512,ROUNDUP(G512*M512*0.95,2)-M512),-M512))</f>
        <v>-56.25</v>
      </c>
      <c r="S512" s="12"/>
      <c r="T512" s="251"/>
      <c r="U512" s="12"/>
    </row>
    <row r="513" spans="1:21" ht="15.75" customHeight="1" x14ac:dyDescent="0.2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3"/>
      <c r="S513" s="12"/>
      <c r="T513" s="14"/>
      <c r="U513" s="12"/>
    </row>
    <row r="514" spans="1:21" ht="15.75" customHeight="1" x14ac:dyDescent="0.2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3"/>
      <c r="S514" s="12"/>
      <c r="T514" s="14"/>
      <c r="U514" s="12"/>
    </row>
    <row r="515" spans="1:21" ht="15.75" thickBot="1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3"/>
      <c r="S515" s="12"/>
      <c r="T515" s="14"/>
      <c r="U515" s="12"/>
    </row>
    <row r="516" spans="1:21" ht="22.5" customHeight="1" thickBot="1" x14ac:dyDescent="0.3">
      <c r="A516" s="102" t="s">
        <v>6</v>
      </c>
      <c r="B516" s="241" t="s">
        <v>23</v>
      </c>
      <c r="C516" s="51"/>
      <c r="D516" s="51" t="s">
        <v>9</v>
      </c>
      <c r="E516" s="51" t="s">
        <v>10</v>
      </c>
      <c r="F516" s="51" t="s">
        <v>11</v>
      </c>
      <c r="G516" s="51" t="s">
        <v>12</v>
      </c>
      <c r="H516" s="51" t="s">
        <v>13</v>
      </c>
      <c r="I516" s="51" t="s">
        <v>14</v>
      </c>
      <c r="J516" s="51" t="s">
        <v>15</v>
      </c>
      <c r="K516" s="51" t="s">
        <v>33</v>
      </c>
      <c r="L516" s="51" t="s">
        <v>16</v>
      </c>
      <c r="M516" s="51" t="s">
        <v>38</v>
      </c>
      <c r="N516" s="52" t="s">
        <v>17</v>
      </c>
      <c r="O516" s="88"/>
      <c r="P516" s="53" t="s">
        <v>18</v>
      </c>
      <c r="Q516" s="87"/>
      <c r="R516" s="54" t="s">
        <v>34</v>
      </c>
      <c r="S516" s="87"/>
      <c r="T516" s="56" t="s">
        <v>29</v>
      </c>
      <c r="U516" s="12"/>
    </row>
    <row r="517" spans="1:21" ht="15.75" customHeight="1" x14ac:dyDescent="0.2">
      <c r="A517" s="103"/>
      <c r="B517" s="242"/>
      <c r="C517" s="57">
        <v>0.56000000000000005</v>
      </c>
      <c r="D517" s="58" t="s">
        <v>68</v>
      </c>
      <c r="E517" s="58" t="s">
        <v>58</v>
      </c>
      <c r="F517" s="58">
        <f>IF(AND(C517=""),"",1-C517)</f>
        <v>0.43999999999999995</v>
      </c>
      <c r="G517" s="58">
        <v>1.66</v>
      </c>
      <c r="H517" s="58">
        <v>2.1</v>
      </c>
      <c r="I517" s="58">
        <f>IF(AND(C517=""),"",G517*C517)</f>
        <v>0.92960000000000009</v>
      </c>
      <c r="J517" s="58">
        <f>IF(AND(C517=""),"",H517*F517)</f>
        <v>0.92399999999999993</v>
      </c>
      <c r="K517" s="58" t="str">
        <f t="shared" ref="K517:K526" si="168">IF(AND(I517=""),"",IF(AND(I517&gt;J517),"T1","T2"))</f>
        <v>T1</v>
      </c>
      <c r="L517" s="58" t="str">
        <f t="shared" ref="L517:L526" si="169">IF(AND(K517=""),"",IF(AND((J517*0.95-1)&lt;0,(I517*0.95-1)&lt;0),"NO BET", IF(AND(K517="T1"),I517*0.95 - 1,J517*0.95 - 1)))</f>
        <v>NO BET</v>
      </c>
      <c r="M517" s="61" t="str">
        <f t="shared" ref="M517:M526" si="170">IF(L517="","",IF(L517&lt;0.5,K$2*M$2,IF(L517&lt;0.75,K$2*M$3,IF(L517&lt;1,K$2*M$4,IF(L517&lt;1.25,K$2*M$5,IF(L517&lt;1.5,K$2*M$6,IF(L517&lt;2,K$2*M$7,IF(L517&lt;2.5,K$2*M$8,IF(L517="NO BET","NO BET",K$2*M$9)))))))))</f>
        <v>NO BET</v>
      </c>
      <c r="N517" s="246">
        <f>SUMIF(L517:L526,"&gt;0")</f>
        <v>4.6174999999999855E-2</v>
      </c>
      <c r="O517" s="88"/>
      <c r="P517" s="62" t="s">
        <v>41</v>
      </c>
      <c r="Q517" s="88"/>
      <c r="R517" s="63">
        <f>IF(OR(P517="",L517="NO BET"),0,IF(AND(K517=P517),IF(AND(K517="T2"),ROUNDUP(H517*M517*0.95,2)-M517,ROUNDUP(G517*M517*0.95,2)-M517),-M517))</f>
        <v>0</v>
      </c>
      <c r="S517" s="87"/>
      <c r="T517" s="237">
        <f>SUM(R517:R526)</f>
        <v>119.83</v>
      </c>
      <c r="U517" s="12"/>
    </row>
    <row r="518" spans="1:21" ht="15.75" customHeight="1" x14ac:dyDescent="0.2">
      <c r="A518" s="254" t="s">
        <v>7</v>
      </c>
      <c r="B518" s="242"/>
      <c r="C518" s="64">
        <v>0.63</v>
      </c>
      <c r="D518" s="65" t="s">
        <v>50</v>
      </c>
      <c r="E518" s="65" t="s">
        <v>76</v>
      </c>
      <c r="F518" s="65">
        <f t="shared" ref="F518:F526" si="171">IF(AND(C518=""),"",1-C518)</f>
        <v>0.37</v>
      </c>
      <c r="G518" s="65">
        <v>1.66</v>
      </c>
      <c r="H518" s="65">
        <v>2.1</v>
      </c>
      <c r="I518" s="65">
        <f t="shared" ref="I518:I526" si="172">IF(AND(C518=""),"",G518*C518)</f>
        <v>1.0458000000000001</v>
      </c>
      <c r="J518" s="65">
        <f t="shared" ref="J518:J526" si="173">IF(AND(C518=""),"",H518*F518)</f>
        <v>0.77700000000000002</v>
      </c>
      <c r="K518" s="65" t="str">
        <f t="shared" si="168"/>
        <v>T1</v>
      </c>
      <c r="L518" s="65" t="str">
        <f t="shared" si="169"/>
        <v>NO BET</v>
      </c>
      <c r="M518" s="68" t="str">
        <f t="shared" si="170"/>
        <v>NO BET</v>
      </c>
      <c r="N518" s="247"/>
      <c r="O518" s="12"/>
      <c r="P518" s="69" t="s">
        <v>41</v>
      </c>
      <c r="Q518" s="87"/>
      <c r="R518" s="70">
        <f t="shared" ref="R518:R525" si="174">IF(OR(P518="",L518="NO BET"),0,IF(AND(K518=P518),IF(AND(K518="T2"),ROUNDUP(H518*M518*0.95,2)-M518,ROUNDUP(G518*M518*0.95,2)-M518),-M518))</f>
        <v>0</v>
      </c>
      <c r="S518" s="87"/>
      <c r="T518" s="237"/>
      <c r="U518" s="12"/>
    </row>
    <row r="519" spans="1:21" ht="15.75" customHeight="1" x14ac:dyDescent="0.2">
      <c r="A519" s="254"/>
      <c r="B519" s="242"/>
      <c r="C519" s="71">
        <v>0.49</v>
      </c>
      <c r="D519" s="10" t="s">
        <v>51</v>
      </c>
      <c r="E519" s="10" t="s">
        <v>54</v>
      </c>
      <c r="F519" s="10">
        <f t="shared" si="171"/>
        <v>0.51</v>
      </c>
      <c r="G519" s="10">
        <v>1.83</v>
      </c>
      <c r="H519" s="10">
        <v>1.83</v>
      </c>
      <c r="I519" s="10">
        <f t="shared" si="172"/>
        <v>0.89670000000000005</v>
      </c>
      <c r="J519" s="10">
        <f t="shared" si="173"/>
        <v>0.93330000000000002</v>
      </c>
      <c r="K519" s="10" t="str">
        <f t="shared" si="168"/>
        <v>T2</v>
      </c>
      <c r="L519" s="10" t="str">
        <f t="shared" si="169"/>
        <v>NO BET</v>
      </c>
      <c r="M519" s="74" t="str">
        <f t="shared" si="170"/>
        <v>NO BET</v>
      </c>
      <c r="N519" s="247"/>
      <c r="O519" s="88"/>
      <c r="P519" s="69" t="s">
        <v>41</v>
      </c>
      <c r="Q519" s="87"/>
      <c r="R519" s="70">
        <f t="shared" si="174"/>
        <v>0</v>
      </c>
      <c r="S519" s="87"/>
      <c r="T519" s="237"/>
      <c r="U519" s="12"/>
    </row>
    <row r="520" spans="1:21" ht="15.75" customHeight="1" x14ac:dyDescent="0.2">
      <c r="A520" s="254"/>
      <c r="B520" s="242"/>
      <c r="C520" s="64">
        <v>0.34</v>
      </c>
      <c r="D520" s="65">
        <v>100</v>
      </c>
      <c r="E520" s="65" t="s">
        <v>56</v>
      </c>
      <c r="F520" s="65">
        <f t="shared" si="171"/>
        <v>0.65999999999999992</v>
      </c>
      <c r="G520" s="65">
        <v>2.75</v>
      </c>
      <c r="H520" s="65">
        <v>1.4</v>
      </c>
      <c r="I520" s="65">
        <f t="shared" si="172"/>
        <v>0.93500000000000005</v>
      </c>
      <c r="J520" s="65">
        <f t="shared" si="173"/>
        <v>0.92399999999999982</v>
      </c>
      <c r="K520" s="65" t="str">
        <f t="shared" si="168"/>
        <v>T1</v>
      </c>
      <c r="L520" s="65" t="str">
        <f t="shared" si="169"/>
        <v>NO BET</v>
      </c>
      <c r="M520" s="68" t="str">
        <f t="shared" si="170"/>
        <v>NO BET</v>
      </c>
      <c r="N520" s="247"/>
      <c r="O520" s="92"/>
      <c r="P520" s="69" t="s">
        <v>40</v>
      </c>
      <c r="Q520" s="87"/>
      <c r="R520" s="70">
        <f t="shared" si="174"/>
        <v>0</v>
      </c>
      <c r="S520" s="87"/>
      <c r="T520" s="237"/>
      <c r="U520" s="12"/>
    </row>
    <row r="521" spans="1:21" ht="15.75" customHeight="1" x14ac:dyDescent="0.2">
      <c r="A521" s="254"/>
      <c r="B521" s="242"/>
      <c r="C521" s="71">
        <v>0.69</v>
      </c>
      <c r="D521" s="10" t="s">
        <v>75</v>
      </c>
      <c r="E521" s="10" t="s">
        <v>53</v>
      </c>
      <c r="F521" s="10">
        <f t="shared" si="171"/>
        <v>0.31000000000000005</v>
      </c>
      <c r="G521" s="10">
        <v>1.44</v>
      </c>
      <c r="H521" s="10">
        <v>2.62</v>
      </c>
      <c r="I521" s="10">
        <f t="shared" si="172"/>
        <v>0.99359999999999993</v>
      </c>
      <c r="J521" s="10">
        <f t="shared" si="173"/>
        <v>0.81220000000000014</v>
      </c>
      <c r="K521" s="10" t="str">
        <f t="shared" si="168"/>
        <v>T1</v>
      </c>
      <c r="L521" s="10" t="str">
        <f t="shared" si="169"/>
        <v>NO BET</v>
      </c>
      <c r="M521" s="75" t="str">
        <f t="shared" si="170"/>
        <v>NO BET</v>
      </c>
      <c r="N521" s="247"/>
      <c r="O521" s="92"/>
      <c r="P521" s="69" t="s">
        <v>41</v>
      </c>
      <c r="Q521" s="87"/>
      <c r="R521" s="70">
        <f t="shared" si="174"/>
        <v>0</v>
      </c>
      <c r="S521" s="87"/>
      <c r="T521" s="237"/>
      <c r="U521" s="12"/>
    </row>
    <row r="522" spans="1:21" ht="15.75" customHeight="1" x14ac:dyDescent="0.2">
      <c r="A522" s="254"/>
      <c r="B522" s="242"/>
      <c r="C522" s="64">
        <v>0.32</v>
      </c>
      <c r="D522" s="65" t="s">
        <v>52</v>
      </c>
      <c r="E522" s="65" t="s">
        <v>76</v>
      </c>
      <c r="F522" s="65">
        <f t="shared" si="171"/>
        <v>0.67999999999999994</v>
      </c>
      <c r="G522" s="65">
        <v>2.62</v>
      </c>
      <c r="H522" s="65">
        <v>1.44</v>
      </c>
      <c r="I522" s="65">
        <f t="shared" si="172"/>
        <v>0.83840000000000003</v>
      </c>
      <c r="J522" s="65">
        <f t="shared" si="173"/>
        <v>0.97919999999999985</v>
      </c>
      <c r="K522" s="65" t="str">
        <f t="shared" si="168"/>
        <v>T2</v>
      </c>
      <c r="L522" s="65" t="str">
        <f t="shared" si="169"/>
        <v>NO BET</v>
      </c>
      <c r="M522" s="68" t="str">
        <f t="shared" si="170"/>
        <v>NO BET</v>
      </c>
      <c r="N522" s="247"/>
      <c r="O522" s="92"/>
      <c r="P522" s="69" t="s">
        <v>41</v>
      </c>
      <c r="Q522" s="87"/>
      <c r="R522" s="70">
        <f t="shared" si="174"/>
        <v>0</v>
      </c>
      <c r="S522" s="87"/>
      <c r="T522" s="237"/>
      <c r="U522" s="12"/>
    </row>
    <row r="523" spans="1:21" ht="15.75" customHeight="1" thickBot="1" x14ac:dyDescent="0.25">
      <c r="A523" s="254"/>
      <c r="B523" s="242"/>
      <c r="C523" s="71">
        <v>0.56000000000000005</v>
      </c>
      <c r="D523" s="10">
        <v>100</v>
      </c>
      <c r="E523" s="10" t="s">
        <v>53</v>
      </c>
      <c r="F523" s="10">
        <f t="shared" si="171"/>
        <v>0.43999999999999995</v>
      </c>
      <c r="G523" s="10">
        <v>1.9</v>
      </c>
      <c r="H523" s="10">
        <v>1.8</v>
      </c>
      <c r="I523" s="10">
        <f t="shared" si="172"/>
        <v>1.0640000000000001</v>
      </c>
      <c r="J523" s="10">
        <f t="shared" si="173"/>
        <v>0.79199999999999993</v>
      </c>
      <c r="K523" s="10" t="str">
        <f t="shared" si="168"/>
        <v>T1</v>
      </c>
      <c r="L523" s="10">
        <f t="shared" si="169"/>
        <v>1.0799999999999921E-2</v>
      </c>
      <c r="M523" s="74">
        <f t="shared" si="170"/>
        <v>56.25</v>
      </c>
      <c r="N523" s="247"/>
      <c r="O523" s="12"/>
      <c r="P523" s="69" t="s">
        <v>41</v>
      </c>
      <c r="Q523" s="87"/>
      <c r="R523" s="70">
        <f t="shared" si="174"/>
        <v>45.290000000000006</v>
      </c>
      <c r="S523" s="87"/>
      <c r="T523" s="76" t="s">
        <v>31</v>
      </c>
      <c r="U523" s="12"/>
    </row>
    <row r="524" spans="1:21" ht="16.5" customHeight="1" x14ac:dyDescent="0.2">
      <c r="A524" s="254"/>
      <c r="B524" s="242"/>
      <c r="C524" s="64">
        <v>0.53</v>
      </c>
      <c r="D524" s="65" t="s">
        <v>54</v>
      </c>
      <c r="E524" s="65" t="s">
        <v>68</v>
      </c>
      <c r="F524" s="65">
        <f t="shared" si="171"/>
        <v>0.47</v>
      </c>
      <c r="G524" s="65">
        <v>1.57</v>
      </c>
      <c r="H524" s="65">
        <v>2.25</v>
      </c>
      <c r="I524" s="65">
        <f t="shared" si="172"/>
        <v>0.83210000000000006</v>
      </c>
      <c r="J524" s="65">
        <f t="shared" si="173"/>
        <v>1.0574999999999999</v>
      </c>
      <c r="K524" s="65" t="str">
        <f t="shared" si="168"/>
        <v>T2</v>
      </c>
      <c r="L524" s="65">
        <f t="shared" si="169"/>
        <v>4.6249999999998792E-3</v>
      </c>
      <c r="M524" s="77">
        <f t="shared" si="170"/>
        <v>56.25</v>
      </c>
      <c r="N524" s="247"/>
      <c r="O524" s="12"/>
      <c r="P524" s="69" t="s">
        <v>41</v>
      </c>
      <c r="Q524" s="87"/>
      <c r="R524" s="70">
        <f t="shared" si="174"/>
        <v>-56.25</v>
      </c>
      <c r="S524" s="87"/>
      <c r="T524" s="249">
        <f>IF(AND(NOT(N517=0)),T517/N517,0)</f>
        <v>2595.1272333513889</v>
      </c>
      <c r="U524" s="12"/>
    </row>
    <row r="525" spans="1:21" ht="15.75" customHeight="1" x14ac:dyDescent="0.2">
      <c r="A525" s="254"/>
      <c r="B525" s="242"/>
      <c r="C525" s="71">
        <v>0.48</v>
      </c>
      <c r="D525" s="10" t="s">
        <v>56</v>
      </c>
      <c r="E525" s="10" t="s">
        <v>50</v>
      </c>
      <c r="F525" s="10">
        <f t="shared" si="171"/>
        <v>0.52</v>
      </c>
      <c r="G525" s="10">
        <v>2</v>
      </c>
      <c r="H525" s="10">
        <v>1.72</v>
      </c>
      <c r="I525" s="10">
        <f t="shared" si="172"/>
        <v>0.96</v>
      </c>
      <c r="J525" s="10">
        <f t="shared" si="173"/>
        <v>0.89439999999999997</v>
      </c>
      <c r="K525" s="10" t="str">
        <f t="shared" si="168"/>
        <v>T1</v>
      </c>
      <c r="L525" s="10" t="str">
        <f t="shared" si="169"/>
        <v>NO BET</v>
      </c>
      <c r="M525" s="75" t="str">
        <f t="shared" si="170"/>
        <v>NO BET</v>
      </c>
      <c r="N525" s="247"/>
      <c r="O525" s="12"/>
      <c r="P525" s="69" t="s">
        <v>41</v>
      </c>
      <c r="Q525" s="87"/>
      <c r="R525" s="70">
        <f t="shared" si="174"/>
        <v>0</v>
      </c>
      <c r="S525" s="87"/>
      <c r="T525" s="250"/>
      <c r="U525" s="12"/>
    </row>
    <row r="526" spans="1:21" ht="15.75" customHeight="1" thickBot="1" x14ac:dyDescent="0.25">
      <c r="A526" s="255"/>
      <c r="B526" s="243"/>
      <c r="C526" s="93">
        <v>0.69</v>
      </c>
      <c r="D526" s="80" t="s">
        <v>75</v>
      </c>
      <c r="E526" s="80" t="s">
        <v>58</v>
      </c>
      <c r="F526" s="80">
        <f t="shared" si="171"/>
        <v>0.31000000000000005</v>
      </c>
      <c r="G526" s="80">
        <v>1.28</v>
      </c>
      <c r="H526" s="80">
        <v>3.5</v>
      </c>
      <c r="I526" s="80">
        <f t="shared" si="172"/>
        <v>0.88319999999999999</v>
      </c>
      <c r="J526" s="80">
        <f t="shared" si="173"/>
        <v>1.0850000000000002</v>
      </c>
      <c r="K526" s="80" t="str">
        <f t="shared" si="168"/>
        <v>T2</v>
      </c>
      <c r="L526" s="80">
        <f t="shared" si="169"/>
        <v>3.0750000000000055E-2</v>
      </c>
      <c r="M526" s="83">
        <f t="shared" si="170"/>
        <v>56.25</v>
      </c>
      <c r="N526" s="248"/>
      <c r="O526" s="12"/>
      <c r="P526" s="84" t="s">
        <v>40</v>
      </c>
      <c r="Q526" s="12"/>
      <c r="R526" s="85">
        <f>IF(OR(P526="",L526="NO BET"),0,IF(AND(K526=P526),IF(AND(K526="T2"),ROUNDUP(H526*M526*0.95,2)-M526,ROUNDUP(G526*M526*0.95,2)-M526),-M526))</f>
        <v>130.79</v>
      </c>
      <c r="S526" s="12"/>
      <c r="T526" s="251"/>
      <c r="U526" s="12"/>
    </row>
    <row r="527" spans="1:21" ht="15.75" customHeight="1" x14ac:dyDescent="0.2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3"/>
      <c r="S527" s="12"/>
      <c r="T527" s="14"/>
      <c r="U527" s="12"/>
    </row>
    <row r="528" spans="1:21" ht="15.75" customHeight="1" x14ac:dyDescent="0.2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3"/>
      <c r="S528" s="12"/>
      <c r="T528" s="14"/>
      <c r="U528" s="12"/>
    </row>
    <row r="529" spans="1:21" ht="15.75" customHeight="1" thickBot="1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3"/>
      <c r="S529" s="12"/>
      <c r="T529" s="14"/>
      <c r="U529" s="12"/>
    </row>
    <row r="530" spans="1:21" ht="22.5" customHeight="1" thickBot="1" x14ac:dyDescent="0.3">
      <c r="A530" s="102" t="s">
        <v>6</v>
      </c>
      <c r="B530" s="241" t="s">
        <v>24</v>
      </c>
      <c r="C530" s="51"/>
      <c r="D530" s="51" t="s">
        <v>9</v>
      </c>
      <c r="E530" s="51" t="s">
        <v>10</v>
      </c>
      <c r="F530" s="51" t="s">
        <v>11</v>
      </c>
      <c r="G530" s="51" t="s">
        <v>12</v>
      </c>
      <c r="H530" s="51" t="s">
        <v>13</v>
      </c>
      <c r="I530" s="51" t="s">
        <v>14</v>
      </c>
      <c r="J530" s="51" t="s">
        <v>15</v>
      </c>
      <c r="K530" s="51" t="s">
        <v>33</v>
      </c>
      <c r="L530" s="51" t="s">
        <v>16</v>
      </c>
      <c r="M530" s="51" t="s">
        <v>38</v>
      </c>
      <c r="N530" s="52" t="s">
        <v>17</v>
      </c>
      <c r="O530" s="88"/>
      <c r="P530" s="53" t="s">
        <v>18</v>
      </c>
      <c r="Q530" s="87"/>
      <c r="R530" s="54" t="s">
        <v>34</v>
      </c>
      <c r="S530" s="87"/>
      <c r="T530" s="56" t="s">
        <v>29</v>
      </c>
      <c r="U530" s="12"/>
    </row>
    <row r="531" spans="1:21" ht="15.75" customHeight="1" x14ac:dyDescent="0.2">
      <c r="A531" s="103"/>
      <c r="B531" s="242"/>
      <c r="C531" s="57">
        <v>0.44</v>
      </c>
      <c r="D531" s="58">
        <v>100</v>
      </c>
      <c r="E531" s="58" t="s">
        <v>50</v>
      </c>
      <c r="F531" s="58">
        <f>IF(AND(C531=""),"",1-C531)</f>
        <v>0.56000000000000005</v>
      </c>
      <c r="G531" s="58">
        <v>2.75</v>
      </c>
      <c r="H531" s="58">
        <v>1.4</v>
      </c>
      <c r="I531" s="58">
        <f>IF(AND(C531=""),"",G531*C531)</f>
        <v>1.21</v>
      </c>
      <c r="J531" s="58">
        <f>IF(AND(C531=""),"",H531*F531)</f>
        <v>0.78400000000000003</v>
      </c>
      <c r="K531" s="58" t="str">
        <f t="shared" ref="K531:K540" si="175">IF(AND(I531=""),"",IF(AND(I531&gt;J531),"T1","T2"))</f>
        <v>T1</v>
      </c>
      <c r="L531" s="58">
        <f t="shared" ref="L531:L540" si="176">IF(AND(K531=""),"",IF(AND((J531*0.95-1)&lt;0,(I531*0.95-1)&lt;0),"NO BET", IF(AND(K531="T1"),I531*0.95 - 1,J531*0.95 - 1)))</f>
        <v>0.14949999999999997</v>
      </c>
      <c r="M531" s="61">
        <f t="shared" ref="M531:M540" si="177">IF(L531="","",IF(L531&lt;0.5,K$2*M$2,IF(L531&lt;0.75,K$2*M$3,IF(L531&lt;1,K$2*M$4,IF(L531&lt;1.25,K$2*M$5,IF(L531&lt;1.5,K$2*M$6,IF(L531&lt;2,K$2*M$7,IF(L531&lt;2.5,K$2*M$8,IF(L531="NO BET","NO BET",K$2*M$9)))))))))</f>
        <v>56.25</v>
      </c>
      <c r="N531" s="246">
        <f>SUMIF(L531:L540,"&gt;0")</f>
        <v>0.93930499999999983</v>
      </c>
      <c r="O531" s="88"/>
      <c r="P531" s="62" t="s">
        <v>41</v>
      </c>
      <c r="Q531" s="88"/>
      <c r="R531" s="63">
        <f>IF(OR(P531="",L531="NO BET"),0,IF(AND(K531=P531),IF(AND(K531="T2"),ROUNDUP(H531*M531*0.95,2)-M531,ROUNDUP(G531*M531*0.95,2)-M531),-M531))</f>
        <v>90.70999999999998</v>
      </c>
      <c r="S531" s="87"/>
      <c r="T531" s="237">
        <f>SUM(R531:R540)</f>
        <v>49.549999999999983</v>
      </c>
      <c r="U531" s="12"/>
    </row>
    <row r="532" spans="1:21" ht="15.75" customHeight="1" x14ac:dyDescent="0.2">
      <c r="A532" s="254" t="s">
        <v>7</v>
      </c>
      <c r="B532" s="242"/>
      <c r="C532" s="64">
        <v>0.38</v>
      </c>
      <c r="D532" s="65" t="s">
        <v>53</v>
      </c>
      <c r="E532" s="65" t="s">
        <v>51</v>
      </c>
      <c r="F532" s="65">
        <f t="shared" ref="F532:F540" si="178">IF(AND(C532=""),"",1-C532)</f>
        <v>0.62</v>
      </c>
      <c r="G532" s="65">
        <v>2</v>
      </c>
      <c r="H532" s="65">
        <v>1.72</v>
      </c>
      <c r="I532" s="65">
        <f t="shared" ref="I532:I540" si="179">IF(AND(C532=""),"",G532*C532)</f>
        <v>0.76</v>
      </c>
      <c r="J532" s="65">
        <f t="shared" ref="J532:J540" si="180">IF(AND(C532=""),"",H532*F532)</f>
        <v>1.0664</v>
      </c>
      <c r="K532" s="65" t="str">
        <f t="shared" si="175"/>
        <v>T2</v>
      </c>
      <c r="L532" s="65">
        <f t="shared" si="176"/>
        <v>1.3079999999999981E-2</v>
      </c>
      <c r="M532" s="68">
        <f t="shared" si="177"/>
        <v>56.25</v>
      </c>
      <c r="N532" s="247"/>
      <c r="O532" s="12"/>
      <c r="P532" s="69" t="s">
        <v>40</v>
      </c>
      <c r="Q532" s="87"/>
      <c r="R532" s="70">
        <f t="shared" ref="R532:R539" si="181">IF(OR(P532="",L532="NO BET"),0,IF(AND(K532=P532),IF(AND(K532="T2"),ROUNDUP(H532*M532*0.95,2)-M532,ROUNDUP(G532*M532*0.95,2)-M532),-M532))</f>
        <v>35.67</v>
      </c>
      <c r="S532" s="87"/>
      <c r="T532" s="237"/>
      <c r="U532" s="12"/>
    </row>
    <row r="533" spans="1:21" ht="15.75" customHeight="1" x14ac:dyDescent="0.2">
      <c r="A533" s="254"/>
      <c r="B533" s="242"/>
      <c r="C533" s="71">
        <v>0.42</v>
      </c>
      <c r="D533" s="10" t="s">
        <v>76</v>
      </c>
      <c r="E533" s="10" t="s">
        <v>56</v>
      </c>
      <c r="F533" s="10">
        <f t="shared" si="178"/>
        <v>0.58000000000000007</v>
      </c>
      <c r="G533" s="10">
        <v>2.5</v>
      </c>
      <c r="H533" s="10">
        <v>1.5</v>
      </c>
      <c r="I533" s="10">
        <f t="shared" si="179"/>
        <v>1.05</v>
      </c>
      <c r="J533" s="10">
        <f t="shared" si="180"/>
        <v>0.87000000000000011</v>
      </c>
      <c r="K533" s="10" t="str">
        <f t="shared" si="175"/>
        <v>T1</v>
      </c>
      <c r="L533" s="10" t="str">
        <f t="shared" si="176"/>
        <v>NO BET</v>
      </c>
      <c r="M533" s="74" t="str">
        <f t="shared" si="177"/>
        <v>NO BET</v>
      </c>
      <c r="N533" s="247"/>
      <c r="O533" s="88"/>
      <c r="P533" s="69" t="s">
        <v>41</v>
      </c>
      <c r="Q533" s="87"/>
      <c r="R533" s="70">
        <f t="shared" si="181"/>
        <v>0</v>
      </c>
      <c r="S533" s="87"/>
      <c r="T533" s="237"/>
      <c r="U533" s="12"/>
    </row>
    <row r="534" spans="1:21" ht="15.75" customHeight="1" x14ac:dyDescent="0.2">
      <c r="A534" s="254"/>
      <c r="B534" s="242"/>
      <c r="C534" s="64">
        <v>0.56999999999999995</v>
      </c>
      <c r="D534" s="65" t="s">
        <v>58</v>
      </c>
      <c r="E534" s="65" t="s">
        <v>68</v>
      </c>
      <c r="F534" s="65">
        <f t="shared" si="178"/>
        <v>0.43000000000000005</v>
      </c>
      <c r="G534" s="65">
        <v>2.25</v>
      </c>
      <c r="H534" s="65">
        <v>1.57</v>
      </c>
      <c r="I534" s="65">
        <f t="shared" si="179"/>
        <v>1.2825</v>
      </c>
      <c r="J534" s="65">
        <f t="shared" si="180"/>
        <v>0.67510000000000014</v>
      </c>
      <c r="K534" s="65" t="str">
        <f t="shared" si="175"/>
        <v>T1</v>
      </c>
      <c r="L534" s="65">
        <f t="shared" si="176"/>
        <v>0.21837499999999999</v>
      </c>
      <c r="M534" s="68">
        <f t="shared" si="177"/>
        <v>56.25</v>
      </c>
      <c r="N534" s="247"/>
      <c r="O534" s="92"/>
      <c r="P534" s="69" t="s">
        <v>40</v>
      </c>
      <c r="Q534" s="87"/>
      <c r="R534" s="70">
        <f t="shared" si="181"/>
        <v>-56.25</v>
      </c>
      <c r="S534" s="87"/>
      <c r="T534" s="237"/>
      <c r="U534" s="12"/>
    </row>
    <row r="535" spans="1:21" ht="15.75" customHeight="1" x14ac:dyDescent="0.2">
      <c r="A535" s="254"/>
      <c r="B535" s="242"/>
      <c r="C535" s="71">
        <v>0.67</v>
      </c>
      <c r="D535" s="10" t="s">
        <v>75</v>
      </c>
      <c r="E535" s="10" t="s">
        <v>54</v>
      </c>
      <c r="F535" s="10">
        <f t="shared" si="178"/>
        <v>0.32999999999999996</v>
      </c>
      <c r="G535" s="10">
        <v>1.36</v>
      </c>
      <c r="H535" s="10">
        <v>3</v>
      </c>
      <c r="I535" s="10">
        <f t="shared" si="179"/>
        <v>0.91120000000000012</v>
      </c>
      <c r="J535" s="10">
        <f t="shared" si="180"/>
        <v>0.98999999999999988</v>
      </c>
      <c r="K535" s="10" t="str">
        <f t="shared" si="175"/>
        <v>T2</v>
      </c>
      <c r="L535" s="10" t="str">
        <f t="shared" si="176"/>
        <v>NO BET</v>
      </c>
      <c r="M535" s="75" t="str">
        <f t="shared" si="177"/>
        <v>NO BET</v>
      </c>
      <c r="N535" s="247"/>
      <c r="O535" s="92"/>
      <c r="P535" s="69" t="s">
        <v>41</v>
      </c>
      <c r="Q535" s="87"/>
      <c r="R535" s="70">
        <f t="shared" si="181"/>
        <v>0</v>
      </c>
      <c r="S535" s="87"/>
      <c r="T535" s="237"/>
      <c r="U535" s="12"/>
    </row>
    <row r="536" spans="1:21" ht="15.75" customHeight="1" x14ac:dyDescent="0.2">
      <c r="A536" s="254"/>
      <c r="B536" s="242"/>
      <c r="C536" s="64">
        <v>0.63</v>
      </c>
      <c r="D536" s="65" t="s">
        <v>68</v>
      </c>
      <c r="E536" s="65" t="s">
        <v>76</v>
      </c>
      <c r="F536" s="65">
        <f t="shared" si="178"/>
        <v>0.37</v>
      </c>
      <c r="G536" s="65">
        <v>2.5</v>
      </c>
      <c r="H536" s="65">
        <v>1.5</v>
      </c>
      <c r="I536" s="65">
        <f t="shared" si="179"/>
        <v>1.575</v>
      </c>
      <c r="J536" s="65">
        <f t="shared" si="180"/>
        <v>0.55499999999999994</v>
      </c>
      <c r="K536" s="65" t="str">
        <f t="shared" si="175"/>
        <v>T1</v>
      </c>
      <c r="L536" s="65">
        <f t="shared" si="176"/>
        <v>0.49624999999999986</v>
      </c>
      <c r="M536" s="68">
        <f t="shared" si="177"/>
        <v>56.25</v>
      </c>
      <c r="N536" s="247"/>
      <c r="O536" s="92"/>
      <c r="P536" s="69" t="s">
        <v>40</v>
      </c>
      <c r="Q536" s="87"/>
      <c r="R536" s="70">
        <f t="shared" si="181"/>
        <v>-56.25</v>
      </c>
      <c r="S536" s="87"/>
      <c r="T536" s="237"/>
      <c r="U536" s="12"/>
    </row>
    <row r="537" spans="1:21" ht="16.5" thickBot="1" x14ac:dyDescent="0.25">
      <c r="A537" s="254"/>
      <c r="B537" s="242"/>
      <c r="C537" s="71">
        <v>0.5</v>
      </c>
      <c r="D537" s="10" t="s">
        <v>54</v>
      </c>
      <c r="E537" s="10">
        <v>100</v>
      </c>
      <c r="F537" s="10">
        <f t="shared" si="178"/>
        <v>0.5</v>
      </c>
      <c r="G537" s="10">
        <v>2.1</v>
      </c>
      <c r="H537" s="10">
        <v>1.66</v>
      </c>
      <c r="I537" s="10">
        <f t="shared" si="179"/>
        <v>1.05</v>
      </c>
      <c r="J537" s="10">
        <f t="shared" si="180"/>
        <v>0.83</v>
      </c>
      <c r="K537" s="10" t="str">
        <f t="shared" si="175"/>
        <v>T1</v>
      </c>
      <c r="L537" s="10" t="str">
        <f t="shared" si="176"/>
        <v>NO BET</v>
      </c>
      <c r="M537" s="74" t="str">
        <f t="shared" si="177"/>
        <v>NO BET</v>
      </c>
      <c r="N537" s="247"/>
      <c r="O537" s="12"/>
      <c r="P537" s="69" t="s">
        <v>40</v>
      </c>
      <c r="Q537" s="87"/>
      <c r="R537" s="70">
        <f t="shared" si="181"/>
        <v>0</v>
      </c>
      <c r="S537" s="87"/>
      <c r="T537" s="76" t="s">
        <v>31</v>
      </c>
      <c r="U537" s="12"/>
    </row>
    <row r="538" spans="1:21" x14ac:dyDescent="0.2">
      <c r="A538" s="254"/>
      <c r="B538" s="242"/>
      <c r="C538" s="64">
        <v>0.65</v>
      </c>
      <c r="D538" s="65" t="s">
        <v>56</v>
      </c>
      <c r="E538" s="65" t="s">
        <v>75</v>
      </c>
      <c r="F538" s="65">
        <f t="shared" si="178"/>
        <v>0.35</v>
      </c>
      <c r="G538" s="65">
        <v>1.72</v>
      </c>
      <c r="H538" s="65">
        <v>2</v>
      </c>
      <c r="I538" s="65">
        <f t="shared" si="179"/>
        <v>1.1180000000000001</v>
      </c>
      <c r="J538" s="65">
        <f t="shared" si="180"/>
        <v>0.7</v>
      </c>
      <c r="K538" s="65" t="str">
        <f t="shared" si="175"/>
        <v>T1</v>
      </c>
      <c r="L538" s="65">
        <f t="shared" si="176"/>
        <v>6.2100000000000044E-2</v>
      </c>
      <c r="M538" s="77">
        <f t="shared" si="177"/>
        <v>56.25</v>
      </c>
      <c r="N538" s="247"/>
      <c r="O538" s="12"/>
      <c r="P538" s="69" t="s">
        <v>41</v>
      </c>
      <c r="Q538" s="87"/>
      <c r="R538" s="70">
        <f t="shared" si="181"/>
        <v>35.67</v>
      </c>
      <c r="S538" s="87"/>
      <c r="T538" s="249">
        <f>IF(AND(NOT(N531=0)),T531/N531,0)</f>
        <v>52.751768594865347</v>
      </c>
      <c r="U538" s="12"/>
    </row>
    <row r="539" spans="1:21" ht="15.75" customHeight="1" x14ac:dyDescent="0.2">
      <c r="A539" s="254"/>
      <c r="B539" s="242"/>
      <c r="C539" s="71">
        <v>0.62</v>
      </c>
      <c r="D539" s="10" t="s">
        <v>53</v>
      </c>
      <c r="E539" s="10" t="s">
        <v>58</v>
      </c>
      <c r="F539" s="10">
        <f t="shared" si="178"/>
        <v>0.38</v>
      </c>
      <c r="G539" s="10">
        <v>1.44</v>
      </c>
      <c r="H539" s="10">
        <v>2.62</v>
      </c>
      <c r="I539" s="10">
        <f t="shared" si="179"/>
        <v>0.89279999999999993</v>
      </c>
      <c r="J539" s="10">
        <f t="shared" si="180"/>
        <v>0.99560000000000004</v>
      </c>
      <c r="K539" s="10" t="str">
        <f t="shared" si="175"/>
        <v>T2</v>
      </c>
      <c r="L539" s="10" t="str">
        <f t="shared" si="176"/>
        <v>NO BET</v>
      </c>
      <c r="M539" s="75" t="str">
        <f t="shared" si="177"/>
        <v>NO BET</v>
      </c>
      <c r="N539" s="247"/>
      <c r="O539" s="12"/>
      <c r="P539" s="69" t="s">
        <v>40</v>
      </c>
      <c r="Q539" s="87"/>
      <c r="R539" s="70">
        <f t="shared" si="181"/>
        <v>0</v>
      </c>
      <c r="S539" s="87"/>
      <c r="T539" s="250"/>
      <c r="U539" s="12"/>
    </row>
    <row r="540" spans="1:21" ht="15.75" customHeight="1" thickBot="1" x14ac:dyDescent="0.25">
      <c r="A540" s="255"/>
      <c r="B540" s="243"/>
      <c r="C540" s="93">
        <v>0.6</v>
      </c>
      <c r="D540" s="80" t="s">
        <v>50</v>
      </c>
      <c r="E540" s="80" t="s">
        <v>51</v>
      </c>
      <c r="F540" s="80">
        <f t="shared" si="178"/>
        <v>0.4</v>
      </c>
      <c r="G540" s="80">
        <v>1.5</v>
      </c>
      <c r="H540" s="80">
        <v>2.5</v>
      </c>
      <c r="I540" s="80">
        <f t="shared" si="179"/>
        <v>0.89999999999999991</v>
      </c>
      <c r="J540" s="80">
        <f t="shared" si="180"/>
        <v>1</v>
      </c>
      <c r="K540" s="80" t="str">
        <f t="shared" si="175"/>
        <v>T2</v>
      </c>
      <c r="L540" s="80" t="str">
        <f t="shared" si="176"/>
        <v>NO BET</v>
      </c>
      <c r="M540" s="83" t="str">
        <f t="shared" si="177"/>
        <v>NO BET</v>
      </c>
      <c r="N540" s="248"/>
      <c r="O540" s="12"/>
      <c r="P540" s="84" t="s">
        <v>41</v>
      </c>
      <c r="Q540" s="12"/>
      <c r="R540" s="85">
        <f>IF(OR(P540="",L540="NO BET"),0,IF(AND(K540=P540),IF(AND(K540="T2"),ROUNDUP(H540*M540*0.95,2)-M540,ROUNDUP(G540*M540*0.95,2)-M540),-M540))</f>
        <v>0</v>
      </c>
      <c r="S540" s="12"/>
      <c r="T540" s="251"/>
      <c r="U540" s="12"/>
    </row>
    <row r="541" spans="1:21" ht="15.75" customHeight="1" x14ac:dyDescent="0.2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3"/>
      <c r="S541" s="12"/>
      <c r="T541" s="14"/>
      <c r="U541" s="12"/>
    </row>
    <row r="542" spans="1:21" ht="15.75" customHeight="1" x14ac:dyDescent="0.2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3"/>
      <c r="S542" s="12"/>
      <c r="T542" s="14"/>
      <c r="U542" s="12"/>
    </row>
    <row r="543" spans="1:21" ht="15.75" customHeight="1" thickBot="1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3"/>
      <c r="S543" s="12"/>
      <c r="T543" s="14"/>
      <c r="U543" s="12"/>
    </row>
    <row r="544" spans="1:21" ht="22.5" customHeight="1" thickBot="1" x14ac:dyDescent="0.3">
      <c r="A544" s="102" t="s">
        <v>6</v>
      </c>
      <c r="B544" s="241" t="s">
        <v>25</v>
      </c>
      <c r="C544" s="51"/>
      <c r="D544" s="51" t="s">
        <v>9</v>
      </c>
      <c r="E544" s="51" t="s">
        <v>10</v>
      </c>
      <c r="F544" s="51" t="s">
        <v>11</v>
      </c>
      <c r="G544" s="51" t="s">
        <v>12</v>
      </c>
      <c r="H544" s="51" t="s">
        <v>13</v>
      </c>
      <c r="I544" s="51" t="s">
        <v>14</v>
      </c>
      <c r="J544" s="51" t="s">
        <v>15</v>
      </c>
      <c r="K544" s="51" t="s">
        <v>33</v>
      </c>
      <c r="L544" s="51" t="s">
        <v>16</v>
      </c>
      <c r="M544" s="51" t="s">
        <v>38</v>
      </c>
      <c r="N544" s="52" t="s">
        <v>17</v>
      </c>
      <c r="O544" s="88"/>
      <c r="P544" s="53" t="s">
        <v>18</v>
      </c>
      <c r="Q544" s="87"/>
      <c r="R544" s="54" t="s">
        <v>34</v>
      </c>
      <c r="S544" s="87"/>
      <c r="T544" s="56" t="s">
        <v>29</v>
      </c>
      <c r="U544" s="12"/>
    </row>
    <row r="545" spans="1:21" ht="15.75" customHeight="1" x14ac:dyDescent="0.2">
      <c r="A545" s="103"/>
      <c r="B545" s="242"/>
      <c r="C545" s="57">
        <v>0.61</v>
      </c>
      <c r="D545" s="58" t="s">
        <v>75</v>
      </c>
      <c r="E545" s="58">
        <v>100</v>
      </c>
      <c r="F545" s="58">
        <f>IF(AND(C545=""),"",1-C545)</f>
        <v>0.39</v>
      </c>
      <c r="G545" s="58">
        <v>1.5</v>
      </c>
      <c r="H545" s="58">
        <v>2.5</v>
      </c>
      <c r="I545" s="58">
        <f>IF(AND(C545=""),"",G545*C545)</f>
        <v>0.91500000000000004</v>
      </c>
      <c r="J545" s="58">
        <f>IF(AND(C545=""),"",H545*F545)</f>
        <v>0.97500000000000009</v>
      </c>
      <c r="K545" s="58" t="str">
        <f t="shared" ref="K545:K554" si="182">IF(AND(I545=""),"",IF(AND(I545&gt;J545),"T1","T2"))</f>
        <v>T2</v>
      </c>
      <c r="L545" s="58" t="str">
        <f t="shared" ref="L545:L554" si="183">IF(AND(K545=""),"",IF(AND((J545*0.95-1)&lt;0,(I545*0.95-1)&lt;0),"NO BET", IF(AND(K545="T1"),I545*0.95 - 1,J545*0.95 - 1)))</f>
        <v>NO BET</v>
      </c>
      <c r="M545" s="61" t="str">
        <f t="shared" ref="M545:M554" si="184">IF(L545="","",IF(L545&lt;0.5,K$2*M$2,IF(L545&lt;0.75,K$2*M$3,IF(L545&lt;1,K$2*M$4,IF(L545&lt;1.25,K$2*M$5,IF(L545&lt;1.5,K$2*M$6,IF(L545&lt;2,K$2*M$7,IF(L545&lt;2.5,K$2*M$8,IF(L545="NO BET","NO BET",K$2*M$9)))))))))</f>
        <v>NO BET</v>
      </c>
      <c r="N545" s="246">
        <f>SUMIF(L545:L554,"&gt;0")</f>
        <v>1.2618949999999995</v>
      </c>
      <c r="O545" s="88"/>
      <c r="P545" s="62" t="s">
        <v>41</v>
      </c>
      <c r="Q545" s="88"/>
      <c r="R545" s="63">
        <f>IF(OR(P545="",L545="NO BET"),0,IF(AND(K545=P545),IF(AND(K545="T2"),ROUNDUP(H545*M545*0.95,2)-M545,ROUNDUP(G545*M545*0.95,2)-M545),-M545))</f>
        <v>0</v>
      </c>
      <c r="S545" s="87"/>
      <c r="T545" s="237">
        <f>SUM(R545:R554)</f>
        <v>398.30999999999995</v>
      </c>
      <c r="U545" s="12"/>
    </row>
    <row r="546" spans="1:21" ht="15.75" customHeight="1" x14ac:dyDescent="0.2">
      <c r="A546" s="254" t="s">
        <v>7</v>
      </c>
      <c r="B546" s="242"/>
      <c r="C546" s="64">
        <v>0.7</v>
      </c>
      <c r="D546" s="65" t="s">
        <v>76</v>
      </c>
      <c r="E546" s="65" t="s">
        <v>54</v>
      </c>
      <c r="F546" s="65">
        <f t="shared" ref="F546:F554" si="185">IF(AND(C546=""),"",1-C546)</f>
        <v>0.30000000000000004</v>
      </c>
      <c r="G546" s="65">
        <v>1.44</v>
      </c>
      <c r="H546" s="65">
        <v>2.62</v>
      </c>
      <c r="I546" s="65">
        <f t="shared" ref="I546:I554" si="186">IF(AND(C546=""),"",G546*C546)</f>
        <v>1.008</v>
      </c>
      <c r="J546" s="65">
        <f t="shared" ref="J546:J554" si="187">IF(AND(C546=""),"",H546*F546)</f>
        <v>0.78600000000000014</v>
      </c>
      <c r="K546" s="65" t="str">
        <f t="shared" si="182"/>
        <v>T1</v>
      </c>
      <c r="L546" s="65" t="str">
        <f t="shared" si="183"/>
        <v>NO BET</v>
      </c>
      <c r="M546" s="68" t="str">
        <f t="shared" si="184"/>
        <v>NO BET</v>
      </c>
      <c r="N546" s="247"/>
      <c r="O546" s="12"/>
      <c r="P546" s="69" t="s">
        <v>41</v>
      </c>
      <c r="Q546" s="87"/>
      <c r="R546" s="70">
        <f t="shared" ref="R546:R553" si="188">IF(OR(P546="",L546="NO BET"),0,IF(AND(K546=P546),IF(AND(K546="T2"),ROUNDUP(H546*M546*0.95,2)-M546,ROUNDUP(G546*M546*0.95,2)-M546),-M546))</f>
        <v>0</v>
      </c>
      <c r="S546" s="87"/>
      <c r="T546" s="237"/>
      <c r="U546" s="12"/>
    </row>
    <row r="547" spans="1:21" ht="15.75" customHeight="1" x14ac:dyDescent="0.2">
      <c r="A547" s="254"/>
      <c r="B547" s="242"/>
      <c r="C547" s="71">
        <v>0.66</v>
      </c>
      <c r="D547" s="10" t="s">
        <v>50</v>
      </c>
      <c r="E547" s="10" t="s">
        <v>53</v>
      </c>
      <c r="F547" s="10">
        <f t="shared" si="185"/>
        <v>0.33999999999999997</v>
      </c>
      <c r="G547" s="10">
        <v>1.33</v>
      </c>
      <c r="H547" s="10">
        <v>3.25</v>
      </c>
      <c r="I547" s="10">
        <f t="shared" si="186"/>
        <v>0.87780000000000014</v>
      </c>
      <c r="J547" s="10">
        <f t="shared" si="187"/>
        <v>1.105</v>
      </c>
      <c r="K547" s="10" t="str">
        <f t="shared" si="182"/>
        <v>T2</v>
      </c>
      <c r="L547" s="10">
        <f t="shared" si="183"/>
        <v>4.9749999999999961E-2</v>
      </c>
      <c r="M547" s="74">
        <f t="shared" si="184"/>
        <v>56.25</v>
      </c>
      <c r="N547" s="247"/>
      <c r="O547" s="88"/>
      <c r="P547" s="69" t="s">
        <v>40</v>
      </c>
      <c r="Q547" s="87"/>
      <c r="R547" s="70">
        <f t="shared" si="188"/>
        <v>117.42999999999998</v>
      </c>
      <c r="S547" s="87"/>
      <c r="T547" s="237"/>
      <c r="U547" s="12"/>
    </row>
    <row r="548" spans="1:21" ht="15.75" customHeight="1" x14ac:dyDescent="0.2">
      <c r="A548" s="254"/>
      <c r="B548" s="242"/>
      <c r="C548" s="64">
        <v>0.4</v>
      </c>
      <c r="D548" s="65" t="s">
        <v>58</v>
      </c>
      <c r="E548" s="65" t="s">
        <v>56</v>
      </c>
      <c r="F548" s="65">
        <f t="shared" si="185"/>
        <v>0.6</v>
      </c>
      <c r="G548" s="65">
        <v>4.5</v>
      </c>
      <c r="H548" s="65">
        <v>1.1599999999999999</v>
      </c>
      <c r="I548" s="65">
        <f t="shared" si="186"/>
        <v>1.8</v>
      </c>
      <c r="J548" s="65">
        <f t="shared" si="187"/>
        <v>0.69599999999999995</v>
      </c>
      <c r="K548" s="65" t="str">
        <f t="shared" si="182"/>
        <v>T1</v>
      </c>
      <c r="L548" s="65">
        <f t="shared" si="183"/>
        <v>0.71</v>
      </c>
      <c r="M548" s="68">
        <f t="shared" si="184"/>
        <v>75</v>
      </c>
      <c r="N548" s="247"/>
      <c r="O548" s="92"/>
      <c r="P548" s="69" t="s">
        <v>41</v>
      </c>
      <c r="Q548" s="87"/>
      <c r="R548" s="70">
        <f t="shared" si="188"/>
        <v>245.63</v>
      </c>
      <c r="S548" s="87"/>
      <c r="T548" s="237"/>
      <c r="U548" s="12"/>
    </row>
    <row r="549" spans="1:21" ht="15.75" customHeight="1" x14ac:dyDescent="0.2">
      <c r="A549" s="254"/>
      <c r="B549" s="242"/>
      <c r="C549" s="71">
        <v>0.62</v>
      </c>
      <c r="D549" s="10" t="s">
        <v>51</v>
      </c>
      <c r="E549" s="10" t="s">
        <v>68</v>
      </c>
      <c r="F549" s="10">
        <f t="shared" si="185"/>
        <v>0.38</v>
      </c>
      <c r="G549" s="10">
        <v>1.5</v>
      </c>
      <c r="H549" s="10">
        <v>2.5</v>
      </c>
      <c r="I549" s="10">
        <f t="shared" si="186"/>
        <v>0.92999999999999994</v>
      </c>
      <c r="J549" s="10">
        <f t="shared" si="187"/>
        <v>0.95</v>
      </c>
      <c r="K549" s="10" t="str">
        <f t="shared" si="182"/>
        <v>T2</v>
      </c>
      <c r="L549" s="10" t="str">
        <f t="shared" si="183"/>
        <v>NO BET</v>
      </c>
      <c r="M549" s="75" t="str">
        <f t="shared" si="184"/>
        <v>NO BET</v>
      </c>
      <c r="N549" s="247"/>
      <c r="O549" s="92"/>
      <c r="P549" s="69" t="s">
        <v>41</v>
      </c>
      <c r="Q549" s="87"/>
      <c r="R549" s="70">
        <f t="shared" si="188"/>
        <v>0</v>
      </c>
      <c r="S549" s="87"/>
      <c r="T549" s="237"/>
      <c r="U549" s="12"/>
    </row>
    <row r="550" spans="1:21" ht="15.75" customHeight="1" x14ac:dyDescent="0.2">
      <c r="A550" s="254"/>
      <c r="B550" s="242"/>
      <c r="C550" s="64">
        <v>0.43</v>
      </c>
      <c r="D550" s="65" t="s">
        <v>53</v>
      </c>
      <c r="E550" s="65" t="s">
        <v>75</v>
      </c>
      <c r="F550" s="65">
        <f t="shared" si="185"/>
        <v>0.57000000000000006</v>
      </c>
      <c r="G550" s="65">
        <v>2.62</v>
      </c>
      <c r="H550" s="65">
        <v>1.44</v>
      </c>
      <c r="I550" s="65">
        <f t="shared" si="186"/>
        <v>1.1266</v>
      </c>
      <c r="J550" s="65">
        <f t="shared" si="187"/>
        <v>0.82080000000000009</v>
      </c>
      <c r="K550" s="65" t="str">
        <f t="shared" si="182"/>
        <v>T1</v>
      </c>
      <c r="L550" s="65">
        <f t="shared" si="183"/>
        <v>7.0270000000000055E-2</v>
      </c>
      <c r="M550" s="68">
        <f t="shared" si="184"/>
        <v>56.25</v>
      </c>
      <c r="N550" s="247"/>
      <c r="O550" s="92"/>
      <c r="P550" s="69" t="s">
        <v>41</v>
      </c>
      <c r="Q550" s="87"/>
      <c r="R550" s="70">
        <f t="shared" si="188"/>
        <v>83.759999999999991</v>
      </c>
      <c r="S550" s="87"/>
      <c r="T550" s="237"/>
      <c r="U550" s="12"/>
    </row>
    <row r="551" spans="1:21" ht="16.5" thickBot="1" x14ac:dyDescent="0.25">
      <c r="A551" s="254"/>
      <c r="B551" s="242"/>
      <c r="C551" s="71">
        <v>0.41</v>
      </c>
      <c r="D551" s="10" t="s">
        <v>68</v>
      </c>
      <c r="E551" s="10" t="s">
        <v>56</v>
      </c>
      <c r="F551" s="10">
        <f t="shared" si="185"/>
        <v>0.59000000000000008</v>
      </c>
      <c r="G551" s="10">
        <v>2.75</v>
      </c>
      <c r="H551" s="10">
        <v>1.4</v>
      </c>
      <c r="I551" s="10">
        <f t="shared" si="186"/>
        <v>1.1274999999999999</v>
      </c>
      <c r="J551" s="10">
        <f t="shared" si="187"/>
        <v>0.82600000000000007</v>
      </c>
      <c r="K551" s="10" t="str">
        <f t="shared" si="182"/>
        <v>T1</v>
      </c>
      <c r="L551" s="10">
        <f t="shared" si="183"/>
        <v>7.1124999999999883E-2</v>
      </c>
      <c r="M551" s="74">
        <f t="shared" si="184"/>
        <v>56.25</v>
      </c>
      <c r="N551" s="247"/>
      <c r="O551" s="12"/>
      <c r="P551" s="69" t="s">
        <v>40</v>
      </c>
      <c r="Q551" s="87"/>
      <c r="R551" s="70">
        <f t="shared" si="188"/>
        <v>-56.25</v>
      </c>
      <c r="S551" s="87"/>
      <c r="T551" s="76" t="s">
        <v>31</v>
      </c>
      <c r="U551" s="12"/>
    </row>
    <row r="552" spans="1:21" x14ac:dyDescent="0.2">
      <c r="A552" s="254"/>
      <c r="B552" s="242"/>
      <c r="C552" s="64">
        <v>0.5</v>
      </c>
      <c r="D552" s="65">
        <v>100</v>
      </c>
      <c r="E552" s="65" t="s">
        <v>76</v>
      </c>
      <c r="F552" s="65">
        <f t="shared" si="185"/>
        <v>0.5</v>
      </c>
      <c r="G552" s="65">
        <v>2.25</v>
      </c>
      <c r="H552" s="65">
        <v>1.57</v>
      </c>
      <c r="I552" s="65">
        <f t="shared" si="186"/>
        <v>1.125</v>
      </c>
      <c r="J552" s="65">
        <f t="shared" si="187"/>
        <v>0.78500000000000003</v>
      </c>
      <c r="K552" s="65" t="str">
        <f t="shared" si="182"/>
        <v>T1</v>
      </c>
      <c r="L552" s="65">
        <f t="shared" si="183"/>
        <v>6.8749999999999867E-2</v>
      </c>
      <c r="M552" s="77">
        <f t="shared" si="184"/>
        <v>56.25</v>
      </c>
      <c r="N552" s="247"/>
      <c r="O552" s="12"/>
      <c r="P552" s="69" t="s">
        <v>41</v>
      </c>
      <c r="Q552" s="87"/>
      <c r="R552" s="70">
        <f t="shared" si="188"/>
        <v>63.990000000000009</v>
      </c>
      <c r="S552" s="87"/>
      <c r="T552" s="249">
        <f>IF(AND(NOT(N545=0)),T545/N545,0)</f>
        <v>315.64432856933428</v>
      </c>
      <c r="U552" s="12"/>
    </row>
    <row r="553" spans="1:21" x14ac:dyDescent="0.2">
      <c r="A553" s="254"/>
      <c r="B553" s="242"/>
      <c r="C553" s="71">
        <v>0.66</v>
      </c>
      <c r="D553" s="10" t="s">
        <v>50</v>
      </c>
      <c r="E553" s="10" t="s">
        <v>58</v>
      </c>
      <c r="F553" s="10">
        <f t="shared" si="185"/>
        <v>0.33999999999999997</v>
      </c>
      <c r="G553" s="10">
        <v>1.22</v>
      </c>
      <c r="H553" s="10">
        <v>4</v>
      </c>
      <c r="I553" s="10">
        <f t="shared" si="186"/>
        <v>0.80520000000000003</v>
      </c>
      <c r="J553" s="10">
        <f t="shared" si="187"/>
        <v>1.3599999999999999</v>
      </c>
      <c r="K553" s="10" t="str">
        <f t="shared" si="182"/>
        <v>T2</v>
      </c>
      <c r="L553" s="10">
        <f t="shared" si="183"/>
        <v>0.29199999999999982</v>
      </c>
      <c r="M553" s="75">
        <f t="shared" si="184"/>
        <v>56.25</v>
      </c>
      <c r="N553" s="247"/>
      <c r="O553" s="12"/>
      <c r="P553" s="69" t="s">
        <v>41</v>
      </c>
      <c r="Q553" s="87"/>
      <c r="R553" s="70">
        <f t="shared" si="188"/>
        <v>-56.25</v>
      </c>
      <c r="S553" s="87"/>
      <c r="T553" s="250"/>
      <c r="U553" s="12"/>
    </row>
    <row r="554" spans="1:21" ht="15.75" thickBot="1" x14ac:dyDescent="0.25">
      <c r="A554" s="255"/>
      <c r="B554" s="243"/>
      <c r="C554" s="93">
        <v>0.38</v>
      </c>
      <c r="D554" s="80" t="s">
        <v>54</v>
      </c>
      <c r="E554" s="80" t="s">
        <v>51</v>
      </c>
      <c r="F554" s="80">
        <f t="shared" si="185"/>
        <v>0.62</v>
      </c>
      <c r="G554" s="80">
        <v>2.25</v>
      </c>
      <c r="H554" s="80">
        <v>1.57</v>
      </c>
      <c r="I554" s="80">
        <f t="shared" si="186"/>
        <v>0.85499999999999998</v>
      </c>
      <c r="J554" s="80">
        <f t="shared" si="187"/>
        <v>0.97340000000000004</v>
      </c>
      <c r="K554" s="80" t="str">
        <f t="shared" si="182"/>
        <v>T2</v>
      </c>
      <c r="L554" s="80" t="str">
        <f t="shared" si="183"/>
        <v>NO BET</v>
      </c>
      <c r="M554" s="83" t="str">
        <f t="shared" si="184"/>
        <v>NO BET</v>
      </c>
      <c r="N554" s="248"/>
      <c r="O554" s="12"/>
      <c r="P554" s="84" t="s">
        <v>40</v>
      </c>
      <c r="Q554" s="12"/>
      <c r="R554" s="85">
        <f>IF(OR(P554="",L554="NO BET"),0,IF(AND(K554=P554),IF(AND(K554="T2"),ROUNDUP(H554*M554*0.95,2)-M554,ROUNDUP(G554*M554*0.95,2)-M554),-M554))</f>
        <v>0</v>
      </c>
      <c r="S554" s="12"/>
      <c r="T554" s="251"/>
      <c r="U554" s="12"/>
    </row>
    <row r="555" spans="1:21" x14ac:dyDescent="0.2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3"/>
      <c r="S555" s="12"/>
      <c r="T555" s="14"/>
      <c r="U555" s="12"/>
    </row>
    <row r="556" spans="1:21" x14ac:dyDescent="0.2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3"/>
      <c r="S556" s="12"/>
      <c r="T556" s="14"/>
      <c r="U556" s="12"/>
    </row>
    <row r="557" spans="1:21" ht="15.75" customHeight="1" thickBot="1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3"/>
      <c r="S557" s="12"/>
      <c r="T557" s="14"/>
      <c r="U557" s="12"/>
    </row>
    <row r="558" spans="1:21" ht="22.5" customHeight="1" thickBot="1" x14ac:dyDescent="0.3">
      <c r="A558" s="102" t="s">
        <v>6</v>
      </c>
      <c r="B558" s="241" t="s">
        <v>26</v>
      </c>
      <c r="C558" s="51"/>
      <c r="D558" s="51" t="s">
        <v>9</v>
      </c>
      <c r="E558" s="51" t="s">
        <v>10</v>
      </c>
      <c r="F558" s="51" t="s">
        <v>11</v>
      </c>
      <c r="G558" s="51" t="s">
        <v>12</v>
      </c>
      <c r="H558" s="51" t="s">
        <v>13</v>
      </c>
      <c r="I558" s="51" t="s">
        <v>14</v>
      </c>
      <c r="J558" s="51" t="s">
        <v>15</v>
      </c>
      <c r="K558" s="51" t="s">
        <v>33</v>
      </c>
      <c r="L558" s="51" t="s">
        <v>16</v>
      </c>
      <c r="M558" s="51" t="s">
        <v>38</v>
      </c>
      <c r="N558" s="52" t="s">
        <v>17</v>
      </c>
      <c r="O558" s="88"/>
      <c r="P558" s="53" t="s">
        <v>18</v>
      </c>
      <c r="Q558" s="87"/>
      <c r="R558" s="54" t="s">
        <v>34</v>
      </c>
      <c r="S558" s="87"/>
      <c r="T558" s="56" t="s">
        <v>29</v>
      </c>
      <c r="U558" s="12"/>
    </row>
    <row r="559" spans="1:21" ht="15.75" customHeight="1" x14ac:dyDescent="0.2">
      <c r="A559" s="103"/>
      <c r="B559" s="242"/>
      <c r="C559" s="57">
        <v>0.51</v>
      </c>
      <c r="D559" s="58" t="s">
        <v>51</v>
      </c>
      <c r="E559" s="58" t="s">
        <v>56</v>
      </c>
      <c r="F559" s="58">
        <f>IF(AND(C559=""),"",1-C559)</f>
        <v>0.49</v>
      </c>
      <c r="G559" s="58">
        <v>2.25</v>
      </c>
      <c r="H559" s="58">
        <v>1.57</v>
      </c>
      <c r="I559" s="58">
        <f>IF(AND(C559=""),"",G559*C559)</f>
        <v>1.1475</v>
      </c>
      <c r="J559" s="58">
        <f>IF(AND(C559=""),"",H559*F559)</f>
        <v>0.76929999999999998</v>
      </c>
      <c r="K559" s="58" t="str">
        <f t="shared" ref="K559:K568" si="189">IF(AND(I559=""),"",IF(AND(I559&gt;J559),"T1","T2"))</f>
        <v>T1</v>
      </c>
      <c r="L559" s="58">
        <f t="shared" ref="L559:L568" si="190">IF(AND(K559=""),"",IF(AND((J559*0.95-1)&lt;0,(I559*0.95-1)&lt;0),"NO BET", IF(AND(K559="T1"),I559*0.95 - 1,J559*0.95 - 1)))</f>
        <v>9.0125000000000011E-2</v>
      </c>
      <c r="M559" s="61">
        <f t="shared" ref="M559:M568" si="191">IF(L559="","",IF(L559&lt;0.5,K$2*M$2,IF(L559&lt;0.75,K$2*M$3,IF(L559&lt;1,K$2*M$4,IF(L559&lt;1.25,K$2*M$5,IF(L559&lt;1.5,K$2*M$6,IF(L559&lt;2,K$2*M$7,IF(L559&lt;2.5,K$2*M$8,IF(L559="NO BET","NO BET",K$2*M$9)))))))))</f>
        <v>56.25</v>
      </c>
      <c r="N559" s="246">
        <f>SUMIF(L559:L568,"&gt;0")</f>
        <v>1.60494</v>
      </c>
      <c r="O559" s="88"/>
      <c r="P559" s="62" t="s">
        <v>41</v>
      </c>
      <c r="Q559" s="88"/>
      <c r="R559" s="63">
        <f>IF(OR(P559="",L559="NO BET"),0,IF(AND(K559=P559),IF(AND(K559="T2"),ROUNDUP(H559*M559*0.95,2)-M559,ROUNDUP(G559*M559*0.95,2)-M559),-M559))</f>
        <v>63.990000000000009</v>
      </c>
      <c r="S559" s="87"/>
      <c r="T559" s="237">
        <f>SUM(R559:R568)</f>
        <v>-53.779999999999973</v>
      </c>
      <c r="U559" s="12"/>
    </row>
    <row r="560" spans="1:21" ht="15.75" customHeight="1" x14ac:dyDescent="0.2">
      <c r="A560" s="254" t="s">
        <v>7</v>
      </c>
      <c r="B560" s="242"/>
      <c r="C560" s="64">
        <v>0.67</v>
      </c>
      <c r="D560" s="65" t="s">
        <v>54</v>
      </c>
      <c r="E560" s="65" t="s">
        <v>53</v>
      </c>
      <c r="F560" s="65">
        <f t="shared" ref="F560:F568" si="192">IF(AND(C560=""),"",1-C560)</f>
        <v>0.32999999999999996</v>
      </c>
      <c r="G560" s="65">
        <v>2.1</v>
      </c>
      <c r="H560" s="65">
        <v>1.66</v>
      </c>
      <c r="I560" s="65">
        <f t="shared" ref="I560:I568" si="193">IF(AND(C560=""),"",G560*C560)</f>
        <v>1.4070000000000003</v>
      </c>
      <c r="J560" s="65">
        <f t="shared" ref="J560:J568" si="194">IF(AND(C560=""),"",H560*F560)</f>
        <v>0.54779999999999995</v>
      </c>
      <c r="K560" s="65" t="str">
        <f t="shared" si="189"/>
        <v>T1</v>
      </c>
      <c r="L560" s="65">
        <f t="shared" si="190"/>
        <v>0.33665000000000012</v>
      </c>
      <c r="M560" s="68">
        <f t="shared" si="191"/>
        <v>56.25</v>
      </c>
      <c r="N560" s="247"/>
      <c r="O560" s="12"/>
      <c r="P560" s="69" t="s">
        <v>40</v>
      </c>
      <c r="Q560" s="87"/>
      <c r="R560" s="70">
        <f t="shared" ref="R560:R567" si="195">IF(OR(P560="",L560="NO BET"),0,IF(AND(K560=P560),IF(AND(K560="T2"),ROUNDUP(H560*M560*0.95,2)-M560,ROUNDUP(G560*M560*0.95,2)-M560),-M560))</f>
        <v>-56.25</v>
      </c>
      <c r="S560" s="87"/>
      <c r="T560" s="237"/>
      <c r="U560" s="12"/>
    </row>
    <row r="561" spans="1:21" ht="15.75" customHeight="1" x14ac:dyDescent="0.2">
      <c r="A561" s="254"/>
      <c r="B561" s="242"/>
      <c r="C561" s="71">
        <v>0.27</v>
      </c>
      <c r="D561" s="10" t="s">
        <v>68</v>
      </c>
      <c r="E561" s="10" t="s">
        <v>50</v>
      </c>
      <c r="F561" s="10">
        <f t="shared" si="192"/>
        <v>0.73</v>
      </c>
      <c r="G561" s="10">
        <v>2.75</v>
      </c>
      <c r="H561" s="10">
        <v>1.4</v>
      </c>
      <c r="I561" s="10">
        <f t="shared" si="193"/>
        <v>0.74250000000000005</v>
      </c>
      <c r="J561" s="10">
        <f t="shared" si="194"/>
        <v>1.022</v>
      </c>
      <c r="K561" s="10" t="str">
        <f t="shared" si="189"/>
        <v>T2</v>
      </c>
      <c r="L561" s="10" t="str">
        <f t="shared" si="190"/>
        <v>NO BET</v>
      </c>
      <c r="M561" s="74" t="str">
        <f t="shared" si="191"/>
        <v>NO BET</v>
      </c>
      <c r="N561" s="247"/>
      <c r="O561" s="88"/>
      <c r="P561" s="69" t="s">
        <v>40</v>
      </c>
      <c r="Q561" s="87"/>
      <c r="R561" s="70">
        <f t="shared" si="195"/>
        <v>0</v>
      </c>
      <c r="S561" s="87"/>
      <c r="T561" s="237"/>
      <c r="U561" s="12"/>
    </row>
    <row r="562" spans="1:21" ht="15.75" customHeight="1" x14ac:dyDescent="0.2">
      <c r="A562" s="254"/>
      <c r="B562" s="242"/>
      <c r="C562" s="64">
        <v>0.75</v>
      </c>
      <c r="D562" s="65" t="s">
        <v>76</v>
      </c>
      <c r="E562" s="65" t="s">
        <v>75</v>
      </c>
      <c r="F562" s="65">
        <f t="shared" si="192"/>
        <v>0.25</v>
      </c>
      <c r="G562" s="65">
        <v>1.8</v>
      </c>
      <c r="H562" s="65">
        <v>1.9</v>
      </c>
      <c r="I562" s="65">
        <f t="shared" si="193"/>
        <v>1.35</v>
      </c>
      <c r="J562" s="65">
        <f t="shared" si="194"/>
        <v>0.47499999999999998</v>
      </c>
      <c r="K562" s="65" t="str">
        <f t="shared" si="189"/>
        <v>T1</v>
      </c>
      <c r="L562" s="65">
        <f t="shared" si="190"/>
        <v>0.28249999999999997</v>
      </c>
      <c r="M562" s="68">
        <f t="shared" si="191"/>
        <v>56.25</v>
      </c>
      <c r="N562" s="247"/>
      <c r="O562" s="92"/>
      <c r="P562" s="69" t="s">
        <v>41</v>
      </c>
      <c r="Q562" s="87"/>
      <c r="R562" s="70">
        <f t="shared" si="195"/>
        <v>39.940000000000012</v>
      </c>
      <c r="S562" s="87"/>
      <c r="T562" s="237"/>
      <c r="U562" s="12"/>
    </row>
    <row r="563" spans="1:21" ht="15.75" customHeight="1" x14ac:dyDescent="0.2">
      <c r="A563" s="254"/>
      <c r="B563" s="242"/>
      <c r="C563" s="71">
        <v>0.56999999999999995</v>
      </c>
      <c r="D563" s="10">
        <v>100</v>
      </c>
      <c r="E563" s="10" t="s">
        <v>58</v>
      </c>
      <c r="F563" s="10">
        <f t="shared" si="192"/>
        <v>0.43000000000000005</v>
      </c>
      <c r="G563" s="10">
        <v>1.57</v>
      </c>
      <c r="H563" s="10">
        <v>2.25</v>
      </c>
      <c r="I563" s="10">
        <f t="shared" si="193"/>
        <v>0.89489999999999992</v>
      </c>
      <c r="J563" s="10">
        <f t="shared" si="194"/>
        <v>0.96750000000000014</v>
      </c>
      <c r="K563" s="10" t="str">
        <f t="shared" si="189"/>
        <v>T2</v>
      </c>
      <c r="L563" s="10" t="str">
        <f t="shared" si="190"/>
        <v>NO BET</v>
      </c>
      <c r="M563" s="75" t="str">
        <f t="shared" si="191"/>
        <v>NO BET</v>
      </c>
      <c r="N563" s="247"/>
      <c r="O563" s="92"/>
      <c r="P563" s="69" t="s">
        <v>41</v>
      </c>
      <c r="Q563" s="87"/>
      <c r="R563" s="70">
        <f t="shared" si="195"/>
        <v>0</v>
      </c>
      <c r="S563" s="87"/>
      <c r="T563" s="237"/>
      <c r="U563" s="12"/>
    </row>
    <row r="564" spans="1:21" ht="15.75" customHeight="1" x14ac:dyDescent="0.2">
      <c r="A564" s="254"/>
      <c r="B564" s="242"/>
      <c r="C564" s="64">
        <v>0.9</v>
      </c>
      <c r="D564" s="65" t="s">
        <v>56</v>
      </c>
      <c r="E564" s="65" t="s">
        <v>53</v>
      </c>
      <c r="F564" s="65">
        <f t="shared" si="192"/>
        <v>9.9999999999999978E-2</v>
      </c>
      <c r="G564" s="65">
        <v>1.5</v>
      </c>
      <c r="H564" s="65">
        <v>2.5</v>
      </c>
      <c r="I564" s="65">
        <f t="shared" si="193"/>
        <v>1.35</v>
      </c>
      <c r="J564" s="65">
        <f t="shared" si="194"/>
        <v>0.24999999999999994</v>
      </c>
      <c r="K564" s="65" t="str">
        <f t="shared" si="189"/>
        <v>T1</v>
      </c>
      <c r="L564" s="65">
        <f t="shared" si="190"/>
        <v>0.28249999999999997</v>
      </c>
      <c r="M564" s="68">
        <f t="shared" si="191"/>
        <v>56.25</v>
      </c>
      <c r="N564" s="247"/>
      <c r="O564" s="92"/>
      <c r="P564" s="69" t="s">
        <v>40</v>
      </c>
      <c r="Q564" s="87"/>
      <c r="R564" s="70">
        <f t="shared" si="195"/>
        <v>-56.25</v>
      </c>
      <c r="S564" s="87"/>
      <c r="T564" s="237"/>
      <c r="U564" s="12"/>
    </row>
    <row r="565" spans="1:21" ht="15.75" customHeight="1" thickBot="1" x14ac:dyDescent="0.25">
      <c r="A565" s="254"/>
      <c r="B565" s="242"/>
      <c r="C565" s="71">
        <v>0.51</v>
      </c>
      <c r="D565" s="10" t="s">
        <v>54</v>
      </c>
      <c r="E565" s="10" t="s">
        <v>58</v>
      </c>
      <c r="F565" s="10">
        <f t="shared" si="192"/>
        <v>0.49</v>
      </c>
      <c r="G565" s="10">
        <v>1.72</v>
      </c>
      <c r="H565" s="10">
        <v>2</v>
      </c>
      <c r="I565" s="10">
        <f t="shared" si="193"/>
        <v>0.87719999999999998</v>
      </c>
      <c r="J565" s="10">
        <f t="shared" si="194"/>
        <v>0.98</v>
      </c>
      <c r="K565" s="10" t="str">
        <f t="shared" si="189"/>
        <v>T2</v>
      </c>
      <c r="L565" s="10" t="str">
        <f t="shared" si="190"/>
        <v>NO BET</v>
      </c>
      <c r="M565" s="74" t="str">
        <f t="shared" si="191"/>
        <v>NO BET</v>
      </c>
      <c r="N565" s="247"/>
      <c r="O565" s="12"/>
      <c r="P565" s="69" t="s">
        <v>41</v>
      </c>
      <c r="Q565" s="87"/>
      <c r="R565" s="70">
        <f t="shared" si="195"/>
        <v>0</v>
      </c>
      <c r="S565" s="87"/>
      <c r="T565" s="76" t="s">
        <v>31</v>
      </c>
      <c r="U565" s="12"/>
    </row>
    <row r="566" spans="1:21" ht="16.5" customHeight="1" x14ac:dyDescent="0.2">
      <c r="A566" s="254"/>
      <c r="B566" s="242"/>
      <c r="C566" s="64">
        <v>0.76</v>
      </c>
      <c r="D566" s="65" t="s">
        <v>51</v>
      </c>
      <c r="E566" s="65" t="s">
        <v>75</v>
      </c>
      <c r="F566" s="65">
        <f t="shared" si="192"/>
        <v>0.24</v>
      </c>
      <c r="G566" s="65">
        <v>2.2000000000000002</v>
      </c>
      <c r="H566" s="65">
        <v>1.61</v>
      </c>
      <c r="I566" s="65">
        <f t="shared" si="193"/>
        <v>1.6720000000000002</v>
      </c>
      <c r="J566" s="65">
        <f t="shared" si="194"/>
        <v>0.38640000000000002</v>
      </c>
      <c r="K566" s="65" t="str">
        <f t="shared" si="189"/>
        <v>T1</v>
      </c>
      <c r="L566" s="65">
        <f t="shared" si="190"/>
        <v>0.58840000000000003</v>
      </c>
      <c r="M566" s="77">
        <f t="shared" si="191"/>
        <v>75</v>
      </c>
      <c r="N566" s="247"/>
      <c r="O566" s="12"/>
      <c r="P566" s="69" t="s">
        <v>40</v>
      </c>
      <c r="Q566" s="87"/>
      <c r="R566" s="70">
        <f t="shared" si="195"/>
        <v>-75</v>
      </c>
      <c r="S566" s="87"/>
      <c r="T566" s="249">
        <f>IF(AND(NOT(N559=0)),T559/N559,0)</f>
        <v>-33.50904083641754</v>
      </c>
      <c r="U566" s="12"/>
    </row>
    <row r="567" spans="1:21" x14ac:dyDescent="0.2">
      <c r="A567" s="254"/>
      <c r="B567" s="242"/>
      <c r="C567" s="71">
        <v>0.46</v>
      </c>
      <c r="D567" s="10" t="s">
        <v>76</v>
      </c>
      <c r="E567" s="10" t="s">
        <v>50</v>
      </c>
      <c r="F567" s="10">
        <f t="shared" si="192"/>
        <v>0.54</v>
      </c>
      <c r="G567" s="10">
        <v>1.83</v>
      </c>
      <c r="H567" s="10">
        <v>1.83</v>
      </c>
      <c r="I567" s="10">
        <f t="shared" si="193"/>
        <v>0.8418000000000001</v>
      </c>
      <c r="J567" s="10">
        <f t="shared" si="194"/>
        <v>0.98820000000000008</v>
      </c>
      <c r="K567" s="10" t="str">
        <f t="shared" si="189"/>
        <v>T2</v>
      </c>
      <c r="L567" s="10" t="str">
        <f t="shared" si="190"/>
        <v>NO BET</v>
      </c>
      <c r="M567" s="75" t="str">
        <f t="shared" si="191"/>
        <v>NO BET</v>
      </c>
      <c r="N567" s="247"/>
      <c r="O567" s="12"/>
      <c r="P567" s="69" t="s">
        <v>41</v>
      </c>
      <c r="Q567" s="87"/>
      <c r="R567" s="70">
        <f t="shared" si="195"/>
        <v>0</v>
      </c>
      <c r="S567" s="87"/>
      <c r="T567" s="250"/>
      <c r="U567" s="12"/>
    </row>
    <row r="568" spans="1:21" ht="15.75" thickBot="1" x14ac:dyDescent="0.25">
      <c r="A568" s="255"/>
      <c r="B568" s="243"/>
      <c r="C568" s="93">
        <v>0.33</v>
      </c>
      <c r="D568" s="80" t="s">
        <v>68</v>
      </c>
      <c r="E568" s="80">
        <v>100</v>
      </c>
      <c r="F568" s="80">
        <f t="shared" si="192"/>
        <v>0.66999999999999993</v>
      </c>
      <c r="G568" s="80">
        <v>2.2000000000000002</v>
      </c>
      <c r="H568" s="80">
        <v>1.61</v>
      </c>
      <c r="I568" s="80">
        <f t="shared" si="193"/>
        <v>0.72600000000000009</v>
      </c>
      <c r="J568" s="80">
        <f t="shared" si="194"/>
        <v>1.0787</v>
      </c>
      <c r="K568" s="80" t="str">
        <f t="shared" si="189"/>
        <v>T2</v>
      </c>
      <c r="L568" s="80">
        <f t="shared" si="190"/>
        <v>2.4764999999999926E-2</v>
      </c>
      <c r="M568" s="83">
        <f t="shared" si="191"/>
        <v>56.25</v>
      </c>
      <c r="N568" s="248"/>
      <c r="O568" s="12"/>
      <c r="P568" s="84" t="s">
        <v>40</v>
      </c>
      <c r="Q568" s="12"/>
      <c r="R568" s="85">
        <f>IF(OR(P568="",L568="NO BET"),0,IF(AND(K568=P568),IF(AND(K568="T2"),ROUNDUP(H568*M568*0.95,2)-M568,ROUNDUP(G568*M568*0.95,2)-M568),-M568))</f>
        <v>29.790000000000006</v>
      </c>
      <c r="S568" s="12"/>
      <c r="T568" s="251"/>
      <c r="U568" s="12"/>
    </row>
    <row r="569" spans="1:21" x14ac:dyDescent="0.2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3"/>
      <c r="S569" s="12"/>
      <c r="T569" s="14"/>
      <c r="U569" s="12"/>
    </row>
    <row r="570" spans="1:21" x14ac:dyDescent="0.2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3"/>
      <c r="S570" s="12"/>
      <c r="T570" s="14"/>
      <c r="U570" s="12"/>
    </row>
    <row r="571" spans="1:21" ht="15.75" thickBot="1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3"/>
      <c r="S571" s="12"/>
      <c r="T571" s="14"/>
      <c r="U571" s="12"/>
    </row>
    <row r="572" spans="1:21" ht="22.5" customHeight="1" thickBot="1" x14ac:dyDescent="0.3">
      <c r="A572" s="102" t="s">
        <v>6</v>
      </c>
      <c r="B572" s="241" t="s">
        <v>27</v>
      </c>
      <c r="C572" s="51"/>
      <c r="D572" s="51" t="s">
        <v>9</v>
      </c>
      <c r="E572" s="51" t="s">
        <v>10</v>
      </c>
      <c r="F572" s="51" t="s">
        <v>11</v>
      </c>
      <c r="G572" s="51" t="s">
        <v>12</v>
      </c>
      <c r="H572" s="51" t="s">
        <v>13</v>
      </c>
      <c r="I572" s="51" t="s">
        <v>14</v>
      </c>
      <c r="J572" s="51" t="s">
        <v>15</v>
      </c>
      <c r="K572" s="51" t="s">
        <v>33</v>
      </c>
      <c r="L572" s="51" t="s">
        <v>16</v>
      </c>
      <c r="M572" s="51" t="s">
        <v>38</v>
      </c>
      <c r="N572" s="52" t="s">
        <v>17</v>
      </c>
      <c r="O572" s="88"/>
      <c r="P572" s="53" t="s">
        <v>18</v>
      </c>
      <c r="Q572" s="87"/>
      <c r="R572" s="54" t="s">
        <v>34</v>
      </c>
      <c r="S572" s="87"/>
      <c r="T572" s="56" t="s">
        <v>29</v>
      </c>
      <c r="U572" s="12"/>
    </row>
    <row r="573" spans="1:21" ht="15.75" customHeight="1" x14ac:dyDescent="0.2">
      <c r="A573" s="103"/>
      <c r="B573" s="242"/>
      <c r="C573" s="57">
        <v>0.49</v>
      </c>
      <c r="D573" s="58">
        <v>100</v>
      </c>
      <c r="E573" s="58" t="s">
        <v>51</v>
      </c>
      <c r="F573" s="58">
        <f>IF(AND(C573=""),"",1-C573)</f>
        <v>0.51</v>
      </c>
      <c r="G573" s="58">
        <v>2</v>
      </c>
      <c r="H573" s="58">
        <v>1.72</v>
      </c>
      <c r="I573" s="58">
        <f>IF(AND(C573=""),"",G573*C573)</f>
        <v>0.98</v>
      </c>
      <c r="J573" s="58">
        <f>IF(AND(C573=""),"",H573*F573)</f>
        <v>0.87719999999999998</v>
      </c>
      <c r="K573" s="58" t="str">
        <f t="shared" ref="K573:K582" si="196">IF(AND(I573=""),"",IF(AND(I573&gt;J573),"T1","T2"))</f>
        <v>T1</v>
      </c>
      <c r="L573" s="58" t="str">
        <f t="shared" ref="L573:L582" si="197">IF(AND(K573=""),"",IF(AND((J573*0.95-1)&lt;0,(I573*0.95-1)&lt;0),"NO BET", IF(AND(K573="T1"),I573*0.95 - 1,J573*0.95 - 1)))</f>
        <v>NO BET</v>
      </c>
      <c r="M573" s="61" t="str">
        <f t="shared" ref="M573:M582" si="198">IF(L573="","",IF(L573&lt;0.5,K$2*M$2,IF(L573&lt;0.75,K$2*M$3,IF(L573&lt;1,K$2*M$4,IF(L573&lt;1.25,K$2*M$5,IF(L573&lt;1.5,K$2*M$6,IF(L573&lt;2,K$2*M$7,IF(L573&lt;2.5,K$2*M$8,IF(L573="NO BET","NO BET",K$2*M$9)))))))))</f>
        <v>NO BET</v>
      </c>
      <c r="N573" s="246">
        <f>SUMIF(L573:L582,"&gt;0")</f>
        <v>1.7454150000000002</v>
      </c>
      <c r="O573" s="88"/>
      <c r="P573" s="62" t="s">
        <v>41</v>
      </c>
      <c r="Q573" s="88"/>
      <c r="R573" s="63">
        <f>IF(OR(P573="",L573="NO BET"),0,IF(AND(K573=P573),IF(AND(K573="T2"),ROUNDUP(H573*M573*0.95,2)-M573,ROUNDUP(G573*M573*0.95,2)-M573),-M573))</f>
        <v>0</v>
      </c>
      <c r="S573" s="87"/>
      <c r="T573" s="237">
        <f>SUM(R573:R582)</f>
        <v>-206.22</v>
      </c>
      <c r="U573" s="12"/>
    </row>
    <row r="574" spans="1:21" ht="15.75" customHeight="1" x14ac:dyDescent="0.2">
      <c r="A574" s="254" t="s">
        <v>7</v>
      </c>
      <c r="B574" s="242"/>
      <c r="C574" s="64">
        <v>0.31</v>
      </c>
      <c r="D574" s="65" t="s">
        <v>54</v>
      </c>
      <c r="E574" s="65" t="s">
        <v>56</v>
      </c>
      <c r="F574" s="65">
        <f t="shared" ref="F574:F582" si="199">IF(AND(C574=""),"",1-C574)</f>
        <v>0.69</v>
      </c>
      <c r="G574" s="65">
        <v>3</v>
      </c>
      <c r="H574" s="65">
        <v>1.36</v>
      </c>
      <c r="I574" s="65">
        <f t="shared" ref="I574:I582" si="200">IF(AND(C574=""),"",G574*C574)</f>
        <v>0.92999999999999994</v>
      </c>
      <c r="J574" s="65">
        <f t="shared" ref="J574:J582" si="201">IF(AND(C574=""),"",H574*F574)</f>
        <v>0.93840000000000001</v>
      </c>
      <c r="K574" s="65" t="str">
        <f t="shared" si="196"/>
        <v>T2</v>
      </c>
      <c r="L574" s="65" t="str">
        <f t="shared" si="197"/>
        <v>NO BET</v>
      </c>
      <c r="M574" s="68" t="str">
        <f t="shared" si="198"/>
        <v>NO BET</v>
      </c>
      <c r="N574" s="247"/>
      <c r="O574" s="12"/>
      <c r="P574" s="69" t="s">
        <v>40</v>
      </c>
      <c r="Q574" s="87"/>
      <c r="R574" s="70">
        <f t="shared" ref="R574:R581" si="202">IF(OR(P574="",L574="NO BET"),0,IF(AND(K574=P574),IF(AND(K574="T2"),ROUNDUP(H574*M574*0.95,2)-M574,ROUNDUP(G574*M574*0.95,2)-M574),-M574))</f>
        <v>0</v>
      </c>
      <c r="S574" s="87"/>
      <c r="T574" s="237"/>
      <c r="U574" s="12"/>
    </row>
    <row r="575" spans="1:21" ht="15.75" customHeight="1" x14ac:dyDescent="0.2">
      <c r="A575" s="254"/>
      <c r="B575" s="242"/>
      <c r="C575" s="71">
        <v>0.23</v>
      </c>
      <c r="D575" s="10" t="s">
        <v>75</v>
      </c>
      <c r="E575" s="10" t="s">
        <v>50</v>
      </c>
      <c r="F575" s="10">
        <f t="shared" si="199"/>
        <v>0.77</v>
      </c>
      <c r="G575" s="10">
        <v>2.37</v>
      </c>
      <c r="H575" s="10">
        <v>1.53</v>
      </c>
      <c r="I575" s="10">
        <f t="shared" si="200"/>
        <v>0.54510000000000003</v>
      </c>
      <c r="J575" s="10">
        <f t="shared" si="201"/>
        <v>1.1781000000000001</v>
      </c>
      <c r="K575" s="10" t="str">
        <f t="shared" si="196"/>
        <v>T2</v>
      </c>
      <c r="L575" s="10">
        <f t="shared" si="197"/>
        <v>0.11919500000000016</v>
      </c>
      <c r="M575" s="74">
        <f t="shared" si="198"/>
        <v>56.25</v>
      </c>
      <c r="N575" s="247"/>
      <c r="O575" s="88"/>
      <c r="P575" s="69" t="s">
        <v>41</v>
      </c>
      <c r="Q575" s="87"/>
      <c r="R575" s="70">
        <f t="shared" si="202"/>
        <v>-56.25</v>
      </c>
      <c r="S575" s="87"/>
      <c r="T575" s="237"/>
      <c r="U575" s="12"/>
    </row>
    <row r="576" spans="1:21" ht="15.75" customHeight="1" x14ac:dyDescent="0.2">
      <c r="A576" s="254"/>
      <c r="B576" s="242"/>
      <c r="C576" s="64">
        <v>0.51</v>
      </c>
      <c r="D576" s="65" t="s">
        <v>58</v>
      </c>
      <c r="E576" s="65" t="s">
        <v>76</v>
      </c>
      <c r="F576" s="65">
        <f t="shared" si="199"/>
        <v>0.49</v>
      </c>
      <c r="G576" s="65">
        <v>3.25</v>
      </c>
      <c r="H576" s="65">
        <v>1.33</v>
      </c>
      <c r="I576" s="65">
        <f t="shared" si="200"/>
        <v>1.6575</v>
      </c>
      <c r="J576" s="65">
        <f t="shared" si="201"/>
        <v>0.65170000000000006</v>
      </c>
      <c r="K576" s="65" t="str">
        <f t="shared" si="196"/>
        <v>T1</v>
      </c>
      <c r="L576" s="65">
        <f t="shared" si="197"/>
        <v>0.57462499999999994</v>
      </c>
      <c r="M576" s="68">
        <f t="shared" si="198"/>
        <v>75</v>
      </c>
      <c r="N576" s="247"/>
      <c r="O576" s="92"/>
      <c r="P576" s="69" t="s">
        <v>40</v>
      </c>
      <c r="Q576" s="87"/>
      <c r="R576" s="70">
        <f t="shared" si="202"/>
        <v>-75</v>
      </c>
      <c r="S576" s="87"/>
      <c r="T576" s="237"/>
      <c r="U576" s="12"/>
    </row>
    <row r="577" spans="1:21" ht="15.75" customHeight="1" x14ac:dyDescent="0.2">
      <c r="A577" s="254"/>
      <c r="B577" s="242"/>
      <c r="C577" s="71">
        <v>0.55000000000000004</v>
      </c>
      <c r="D577" s="10" t="s">
        <v>53</v>
      </c>
      <c r="E577" s="10" t="s">
        <v>68</v>
      </c>
      <c r="F577" s="10">
        <f t="shared" si="199"/>
        <v>0.44999999999999996</v>
      </c>
      <c r="G577" s="10">
        <v>1.5</v>
      </c>
      <c r="H577" s="10">
        <v>2.5</v>
      </c>
      <c r="I577" s="10">
        <f t="shared" si="200"/>
        <v>0.82500000000000007</v>
      </c>
      <c r="J577" s="10">
        <f t="shared" si="201"/>
        <v>1.125</v>
      </c>
      <c r="K577" s="10" t="str">
        <f t="shared" si="196"/>
        <v>T2</v>
      </c>
      <c r="L577" s="10">
        <f t="shared" si="197"/>
        <v>6.8749999999999867E-2</v>
      </c>
      <c r="M577" s="75">
        <f t="shared" si="198"/>
        <v>56.25</v>
      </c>
      <c r="N577" s="247"/>
      <c r="O577" s="92"/>
      <c r="P577" s="69" t="s">
        <v>40</v>
      </c>
      <c r="Q577" s="87"/>
      <c r="R577" s="70">
        <f t="shared" si="202"/>
        <v>77.349999999999994</v>
      </c>
      <c r="S577" s="87"/>
      <c r="T577" s="237"/>
      <c r="U577" s="12"/>
    </row>
    <row r="578" spans="1:21" ht="15.75" customHeight="1" x14ac:dyDescent="0.2">
      <c r="A578" s="254"/>
      <c r="B578" s="242"/>
      <c r="C578" s="64">
        <v>0.9</v>
      </c>
      <c r="D578" s="65" t="s">
        <v>50</v>
      </c>
      <c r="E578" s="65" t="s">
        <v>54</v>
      </c>
      <c r="F578" s="65">
        <f t="shared" si="199"/>
        <v>9.9999999999999978E-2</v>
      </c>
      <c r="G578" s="65">
        <v>1.36</v>
      </c>
      <c r="H578" s="65">
        <v>3</v>
      </c>
      <c r="I578" s="65">
        <f t="shared" si="200"/>
        <v>1.2240000000000002</v>
      </c>
      <c r="J578" s="65">
        <f t="shared" si="201"/>
        <v>0.29999999999999993</v>
      </c>
      <c r="K578" s="65" t="str">
        <f t="shared" si="196"/>
        <v>T1</v>
      </c>
      <c r="L578" s="65">
        <f t="shared" si="197"/>
        <v>0.16280000000000006</v>
      </c>
      <c r="M578" s="68">
        <f t="shared" si="198"/>
        <v>56.25</v>
      </c>
      <c r="N578" s="247"/>
      <c r="O578" s="92"/>
      <c r="P578" s="69" t="s">
        <v>40</v>
      </c>
      <c r="Q578" s="87"/>
      <c r="R578" s="70">
        <f t="shared" si="202"/>
        <v>-56.25</v>
      </c>
      <c r="S578" s="87"/>
      <c r="T578" s="237"/>
      <c r="U578" s="12"/>
    </row>
    <row r="579" spans="1:21" ht="16.5" thickBot="1" x14ac:dyDescent="0.25">
      <c r="A579" s="254"/>
      <c r="B579" s="242"/>
      <c r="C579" s="71">
        <v>0.24</v>
      </c>
      <c r="D579" s="10" t="s">
        <v>58</v>
      </c>
      <c r="E579" s="10" t="s">
        <v>51</v>
      </c>
      <c r="F579" s="10">
        <f t="shared" si="199"/>
        <v>0.76</v>
      </c>
      <c r="G579" s="10">
        <v>3.75</v>
      </c>
      <c r="H579" s="10">
        <v>1.25</v>
      </c>
      <c r="I579" s="10">
        <f t="shared" si="200"/>
        <v>0.89999999999999991</v>
      </c>
      <c r="J579" s="10">
        <f t="shared" si="201"/>
        <v>0.95</v>
      </c>
      <c r="K579" s="10" t="str">
        <f t="shared" si="196"/>
        <v>T2</v>
      </c>
      <c r="L579" s="10" t="str">
        <f t="shared" si="197"/>
        <v>NO BET</v>
      </c>
      <c r="M579" s="74" t="str">
        <f t="shared" si="198"/>
        <v>NO BET</v>
      </c>
      <c r="N579" s="247"/>
      <c r="O579" s="12"/>
      <c r="P579" s="69" t="s">
        <v>40</v>
      </c>
      <c r="Q579" s="87"/>
      <c r="R579" s="70">
        <f t="shared" si="202"/>
        <v>0</v>
      </c>
      <c r="S579" s="87"/>
      <c r="T579" s="76" t="s">
        <v>31</v>
      </c>
      <c r="U579" s="12"/>
    </row>
    <row r="580" spans="1:21" ht="16.5" customHeight="1" x14ac:dyDescent="0.2">
      <c r="A580" s="254"/>
      <c r="B580" s="242"/>
      <c r="C580" s="64">
        <v>0.71</v>
      </c>
      <c r="D580" s="65" t="s">
        <v>53</v>
      </c>
      <c r="E580" s="65" t="s">
        <v>76</v>
      </c>
      <c r="F580" s="65">
        <f t="shared" si="199"/>
        <v>0.29000000000000004</v>
      </c>
      <c r="G580" s="65">
        <v>2</v>
      </c>
      <c r="H580" s="65">
        <v>1.72</v>
      </c>
      <c r="I580" s="65">
        <f t="shared" si="200"/>
        <v>1.42</v>
      </c>
      <c r="J580" s="65">
        <f t="shared" si="201"/>
        <v>0.49880000000000008</v>
      </c>
      <c r="K580" s="65" t="str">
        <f t="shared" si="196"/>
        <v>T1</v>
      </c>
      <c r="L580" s="65">
        <f t="shared" si="197"/>
        <v>0.34899999999999998</v>
      </c>
      <c r="M580" s="77">
        <f t="shared" si="198"/>
        <v>56.25</v>
      </c>
      <c r="N580" s="247"/>
      <c r="O580" s="12"/>
      <c r="P580" s="69" t="s">
        <v>40</v>
      </c>
      <c r="Q580" s="87"/>
      <c r="R580" s="70">
        <f t="shared" si="202"/>
        <v>-56.25</v>
      </c>
      <c r="S580" s="87"/>
      <c r="T580" s="249">
        <f>IF(AND(NOT(N573=0)),T573/N573,0)</f>
        <v>-118.14955182578355</v>
      </c>
      <c r="U580" s="12"/>
    </row>
    <row r="581" spans="1:21" ht="15.75" customHeight="1" x14ac:dyDescent="0.2">
      <c r="A581" s="254"/>
      <c r="B581" s="242"/>
      <c r="C581" s="71">
        <v>0.83</v>
      </c>
      <c r="D581" s="10" t="s">
        <v>56</v>
      </c>
      <c r="E581" s="10">
        <v>100</v>
      </c>
      <c r="F581" s="10">
        <f t="shared" si="199"/>
        <v>0.17000000000000004</v>
      </c>
      <c r="G581" s="10">
        <v>1.61</v>
      </c>
      <c r="H581" s="10">
        <v>2.2000000000000002</v>
      </c>
      <c r="I581" s="10">
        <f t="shared" si="200"/>
        <v>1.3363</v>
      </c>
      <c r="J581" s="10">
        <f t="shared" si="201"/>
        <v>0.37400000000000011</v>
      </c>
      <c r="K581" s="10" t="str">
        <f t="shared" si="196"/>
        <v>T1</v>
      </c>
      <c r="L581" s="10">
        <f t="shared" si="197"/>
        <v>0.26948499999999997</v>
      </c>
      <c r="M581" s="75">
        <f t="shared" si="198"/>
        <v>56.25</v>
      </c>
      <c r="N581" s="247"/>
      <c r="O581" s="12"/>
      <c r="P581" s="69" t="s">
        <v>40</v>
      </c>
      <c r="Q581" s="87"/>
      <c r="R581" s="70">
        <f t="shared" si="202"/>
        <v>-56.25</v>
      </c>
      <c r="S581" s="87"/>
      <c r="T581" s="250"/>
      <c r="U581" s="12"/>
    </row>
    <row r="582" spans="1:21" ht="15.75" customHeight="1" thickBot="1" x14ac:dyDescent="0.25">
      <c r="A582" s="255"/>
      <c r="B582" s="243"/>
      <c r="C582" s="93">
        <v>0.93</v>
      </c>
      <c r="D582" s="80" t="s">
        <v>75</v>
      </c>
      <c r="E582" s="80" t="s">
        <v>68</v>
      </c>
      <c r="F582" s="80">
        <f t="shared" si="199"/>
        <v>6.9999999999999951E-2</v>
      </c>
      <c r="G582" s="80">
        <v>1.36</v>
      </c>
      <c r="H582" s="80">
        <v>3</v>
      </c>
      <c r="I582" s="80">
        <f t="shared" si="200"/>
        <v>1.2648000000000001</v>
      </c>
      <c r="J582" s="80">
        <f t="shared" si="201"/>
        <v>0.20999999999999985</v>
      </c>
      <c r="K582" s="80" t="str">
        <f t="shared" si="196"/>
        <v>T1</v>
      </c>
      <c r="L582" s="80">
        <f t="shared" si="197"/>
        <v>0.20156000000000018</v>
      </c>
      <c r="M582" s="83">
        <f t="shared" si="198"/>
        <v>56.25</v>
      </c>
      <c r="N582" s="248"/>
      <c r="O582" s="12"/>
      <c r="P582" s="84" t="s">
        <v>41</v>
      </c>
      <c r="Q582" s="12"/>
      <c r="R582" s="85">
        <f>IF(OR(P582="",L582="NO BET"),0,IF(AND(K582=P582),IF(AND(K582="T2"),ROUNDUP(H582*M582*0.95,2)-M582,ROUNDUP(G582*M582*0.95,2)-M582),-M582))</f>
        <v>16.430000000000007</v>
      </c>
      <c r="S582" s="12"/>
      <c r="T582" s="251"/>
      <c r="U582" s="12"/>
    </row>
    <row r="583" spans="1:21" ht="15.75" customHeight="1" x14ac:dyDescent="0.2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3"/>
      <c r="S583" s="12"/>
      <c r="T583" s="14"/>
      <c r="U583" s="12"/>
    </row>
    <row r="584" spans="1:21" ht="15.75" customHeight="1" x14ac:dyDescent="0.2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3"/>
      <c r="S584" s="12"/>
      <c r="T584" s="14"/>
      <c r="U584" s="12"/>
    </row>
    <row r="585" spans="1:21" ht="15.75" thickBot="1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3"/>
      <c r="S585" s="12"/>
      <c r="T585" s="14"/>
      <c r="U585" s="12"/>
    </row>
    <row r="586" spans="1:21" ht="22.5" customHeight="1" thickBot="1" x14ac:dyDescent="0.3">
      <c r="A586" s="102" t="s">
        <v>6</v>
      </c>
      <c r="B586" s="241" t="s">
        <v>28</v>
      </c>
      <c r="C586" s="51"/>
      <c r="D586" s="51" t="s">
        <v>9</v>
      </c>
      <c r="E586" s="51" t="s">
        <v>10</v>
      </c>
      <c r="F586" s="51" t="s">
        <v>11</v>
      </c>
      <c r="G586" s="51" t="s">
        <v>12</v>
      </c>
      <c r="H586" s="51" t="s">
        <v>13</v>
      </c>
      <c r="I586" s="51" t="s">
        <v>14</v>
      </c>
      <c r="J586" s="51" t="s">
        <v>15</v>
      </c>
      <c r="K586" s="51" t="s">
        <v>33</v>
      </c>
      <c r="L586" s="51" t="s">
        <v>16</v>
      </c>
      <c r="M586" s="51" t="s">
        <v>38</v>
      </c>
      <c r="N586" s="52" t="s">
        <v>17</v>
      </c>
      <c r="O586" s="88"/>
      <c r="P586" s="53" t="s">
        <v>18</v>
      </c>
      <c r="Q586" s="87"/>
      <c r="R586" s="54" t="s">
        <v>34</v>
      </c>
      <c r="S586" s="87"/>
      <c r="T586" s="56" t="s">
        <v>29</v>
      </c>
      <c r="U586" s="12"/>
    </row>
    <row r="587" spans="1:21" ht="15.75" customHeight="1" x14ac:dyDescent="0.2">
      <c r="A587" s="103"/>
      <c r="B587" s="242"/>
      <c r="C587" s="98"/>
      <c r="D587" s="58"/>
      <c r="E587" s="58"/>
      <c r="F587" s="58" t="str">
        <f>IF(AND(C587=""),"",1-C587)</f>
        <v/>
      </c>
      <c r="G587" s="58"/>
      <c r="H587" s="58"/>
      <c r="I587" s="58" t="str">
        <f>IF(AND(C587=""),"",G587*C587)</f>
        <v/>
      </c>
      <c r="J587" s="58" t="str">
        <f>IF(AND(C587=""),"",H587*F587)</f>
        <v/>
      </c>
      <c r="K587" s="58" t="str">
        <f t="shared" ref="K587:K596" si="203">IF(AND(I587=""),"",IF(AND(I587&gt;J587),"T1","T2"))</f>
        <v/>
      </c>
      <c r="L587" s="58" t="str">
        <f t="shared" ref="L587:L596" si="204">IF(AND(K587=""),"",IF(AND((J587*0.95-1)&lt;0,(I587*0.95-1)&lt;0),"NO BET", IF(AND(K587="T1"),I587*0.95 - 1,J587*0.95 - 1)))</f>
        <v/>
      </c>
      <c r="M587" s="61" t="str">
        <f t="shared" ref="M587:M596" si="205">IF(L587="","",IF(L587&lt;0.5,K$2*M$2,IF(L587&lt;0.75,K$2*M$3,IF(L587&lt;1,K$2*M$4,IF(L587&lt;1.25,K$2*M$5,IF(L587&lt;1.5,K$2*M$6,IF(L587&lt;2,K$2*M$7,IF(L587&lt;2.5,K$2*M$8,IF(L587="NO BET","NO BET",K$2*M$9)))))))))</f>
        <v/>
      </c>
      <c r="N587" s="246">
        <f>SUMIF(L587:L596,"&gt;0")</f>
        <v>0</v>
      </c>
      <c r="O587" s="88"/>
      <c r="P587" s="62"/>
      <c r="Q587" s="88"/>
      <c r="R587" s="63">
        <f>IF(OR(P587="",L587="NO BET"),0,IF(AND(K587=P587),IF(AND(K587="T2"),ROUNDUP(H587*M587*0.95,2)-M587,ROUNDUP(G587*M587*0.95,2)-M587),-M587))</f>
        <v>0</v>
      </c>
      <c r="S587" s="87"/>
      <c r="T587" s="237">
        <f>SUM(R587:R596)</f>
        <v>0</v>
      </c>
      <c r="U587" s="12"/>
    </row>
    <row r="588" spans="1:21" ht="15.75" customHeight="1" x14ac:dyDescent="0.2">
      <c r="A588" s="254" t="s">
        <v>7</v>
      </c>
      <c r="B588" s="242"/>
      <c r="C588" s="96"/>
      <c r="D588" s="65"/>
      <c r="E588" s="65"/>
      <c r="F588" s="65" t="str">
        <f t="shared" ref="F588:F596" si="206">IF(AND(C588=""),"",1-C588)</f>
        <v/>
      </c>
      <c r="G588" s="65"/>
      <c r="H588" s="65"/>
      <c r="I588" s="65" t="str">
        <f t="shared" ref="I588:I596" si="207">IF(AND(C588=""),"",G588*C588)</f>
        <v/>
      </c>
      <c r="J588" s="65" t="str">
        <f t="shared" ref="J588:J596" si="208">IF(AND(C588=""),"",H588*F588)</f>
        <v/>
      </c>
      <c r="K588" s="65" t="str">
        <f t="shared" si="203"/>
        <v/>
      </c>
      <c r="L588" s="65" t="str">
        <f t="shared" si="204"/>
        <v/>
      </c>
      <c r="M588" s="68" t="str">
        <f t="shared" si="205"/>
        <v/>
      </c>
      <c r="N588" s="247"/>
      <c r="O588" s="12"/>
      <c r="P588" s="69"/>
      <c r="Q588" s="87"/>
      <c r="R588" s="70">
        <f t="shared" ref="R588:R595" si="209">IF(OR(P588="",L588="NO BET"),0,IF(AND(K588=P588),IF(AND(K588="T2"),ROUNDUP(H588*M588*0.95,2)-M588,ROUNDUP(G588*M588*0.95,2)-M588),-M588))</f>
        <v>0</v>
      </c>
      <c r="S588" s="87"/>
      <c r="T588" s="237"/>
      <c r="U588" s="12"/>
    </row>
    <row r="589" spans="1:21" ht="15.75" customHeight="1" x14ac:dyDescent="0.2">
      <c r="A589" s="254"/>
      <c r="B589" s="242"/>
      <c r="C589" s="95"/>
      <c r="D589" s="10"/>
      <c r="E589" s="10"/>
      <c r="F589" s="10" t="str">
        <f t="shared" si="206"/>
        <v/>
      </c>
      <c r="G589" s="10"/>
      <c r="H589" s="10"/>
      <c r="I589" s="10" t="str">
        <f t="shared" si="207"/>
        <v/>
      </c>
      <c r="J589" s="10" t="str">
        <f t="shared" si="208"/>
        <v/>
      </c>
      <c r="K589" s="10" t="str">
        <f t="shared" si="203"/>
        <v/>
      </c>
      <c r="L589" s="10" t="str">
        <f t="shared" si="204"/>
        <v/>
      </c>
      <c r="M589" s="74" t="str">
        <f t="shared" si="205"/>
        <v/>
      </c>
      <c r="N589" s="247"/>
      <c r="O589" s="88"/>
      <c r="P589" s="69"/>
      <c r="Q589" s="87"/>
      <c r="R589" s="70">
        <f t="shared" si="209"/>
        <v>0</v>
      </c>
      <c r="S589" s="87"/>
      <c r="T589" s="237"/>
      <c r="U589" s="12"/>
    </row>
    <row r="590" spans="1:21" ht="15.75" customHeight="1" x14ac:dyDescent="0.2">
      <c r="A590" s="254"/>
      <c r="B590" s="242"/>
      <c r="C590" s="96"/>
      <c r="D590" s="65"/>
      <c r="E590" s="65"/>
      <c r="F590" s="65" t="str">
        <f t="shared" si="206"/>
        <v/>
      </c>
      <c r="G590" s="65"/>
      <c r="H590" s="65"/>
      <c r="I590" s="65" t="str">
        <f t="shared" si="207"/>
        <v/>
      </c>
      <c r="J590" s="65" t="str">
        <f t="shared" si="208"/>
        <v/>
      </c>
      <c r="K590" s="65" t="str">
        <f t="shared" si="203"/>
        <v/>
      </c>
      <c r="L590" s="65" t="str">
        <f t="shared" si="204"/>
        <v/>
      </c>
      <c r="M590" s="68" t="str">
        <f t="shared" si="205"/>
        <v/>
      </c>
      <c r="N590" s="247"/>
      <c r="O590" s="92"/>
      <c r="P590" s="69"/>
      <c r="Q590" s="87"/>
      <c r="R590" s="70">
        <f t="shared" si="209"/>
        <v>0</v>
      </c>
      <c r="S590" s="87"/>
      <c r="T590" s="237"/>
      <c r="U590" s="12"/>
    </row>
    <row r="591" spans="1:21" ht="15.75" customHeight="1" x14ac:dyDescent="0.2">
      <c r="A591" s="254"/>
      <c r="B591" s="242"/>
      <c r="C591" s="95"/>
      <c r="D591" s="10"/>
      <c r="E591" s="10"/>
      <c r="F591" s="10" t="str">
        <f t="shared" si="206"/>
        <v/>
      </c>
      <c r="G591" s="10"/>
      <c r="H591" s="10"/>
      <c r="I591" s="10" t="str">
        <f t="shared" si="207"/>
        <v/>
      </c>
      <c r="J591" s="10" t="str">
        <f t="shared" si="208"/>
        <v/>
      </c>
      <c r="K591" s="10" t="str">
        <f t="shared" si="203"/>
        <v/>
      </c>
      <c r="L591" s="10" t="str">
        <f t="shared" si="204"/>
        <v/>
      </c>
      <c r="M591" s="75" t="str">
        <f t="shared" si="205"/>
        <v/>
      </c>
      <c r="N591" s="247"/>
      <c r="O591" s="92"/>
      <c r="P591" s="69"/>
      <c r="Q591" s="87"/>
      <c r="R591" s="70">
        <f t="shared" si="209"/>
        <v>0</v>
      </c>
      <c r="S591" s="87"/>
      <c r="T591" s="237"/>
      <c r="U591" s="12"/>
    </row>
    <row r="592" spans="1:21" ht="15.75" customHeight="1" x14ac:dyDescent="0.2">
      <c r="A592" s="254"/>
      <c r="B592" s="242"/>
      <c r="C592" s="96"/>
      <c r="D592" s="65"/>
      <c r="E592" s="65"/>
      <c r="F592" s="65" t="str">
        <f t="shared" si="206"/>
        <v/>
      </c>
      <c r="G592" s="65"/>
      <c r="H592" s="65"/>
      <c r="I592" s="65" t="str">
        <f t="shared" si="207"/>
        <v/>
      </c>
      <c r="J592" s="65" t="str">
        <f t="shared" si="208"/>
        <v/>
      </c>
      <c r="K592" s="65" t="str">
        <f t="shared" si="203"/>
        <v/>
      </c>
      <c r="L592" s="65" t="str">
        <f t="shared" si="204"/>
        <v/>
      </c>
      <c r="M592" s="68" t="str">
        <f t="shared" si="205"/>
        <v/>
      </c>
      <c r="N592" s="247"/>
      <c r="O592" s="92"/>
      <c r="P592" s="69"/>
      <c r="Q592" s="87"/>
      <c r="R592" s="70">
        <f t="shared" si="209"/>
        <v>0</v>
      </c>
      <c r="S592" s="87"/>
      <c r="T592" s="237"/>
      <c r="U592" s="12"/>
    </row>
    <row r="593" spans="1:21" ht="15.75" customHeight="1" thickBot="1" x14ac:dyDescent="0.25">
      <c r="A593" s="254"/>
      <c r="B593" s="242"/>
      <c r="C593" s="95"/>
      <c r="D593" s="10"/>
      <c r="E593" s="10"/>
      <c r="F593" s="10" t="str">
        <f t="shared" si="206"/>
        <v/>
      </c>
      <c r="G593" s="10"/>
      <c r="H593" s="10"/>
      <c r="I593" s="10" t="str">
        <f t="shared" si="207"/>
        <v/>
      </c>
      <c r="J593" s="10" t="str">
        <f t="shared" si="208"/>
        <v/>
      </c>
      <c r="K593" s="10" t="str">
        <f t="shared" si="203"/>
        <v/>
      </c>
      <c r="L593" s="10" t="str">
        <f t="shared" si="204"/>
        <v/>
      </c>
      <c r="M593" s="74" t="str">
        <f t="shared" si="205"/>
        <v/>
      </c>
      <c r="N593" s="247"/>
      <c r="O593" s="12"/>
      <c r="P593" s="69"/>
      <c r="Q593" s="87"/>
      <c r="R593" s="70">
        <f t="shared" si="209"/>
        <v>0</v>
      </c>
      <c r="S593" s="87"/>
      <c r="T593" s="76" t="s">
        <v>31</v>
      </c>
      <c r="U593" s="12"/>
    </row>
    <row r="594" spans="1:21" ht="16.5" customHeight="1" x14ac:dyDescent="0.2">
      <c r="A594" s="254"/>
      <c r="B594" s="242"/>
      <c r="C594" s="96"/>
      <c r="D594" s="65"/>
      <c r="E594" s="65"/>
      <c r="F594" s="65" t="str">
        <f t="shared" si="206"/>
        <v/>
      </c>
      <c r="G594" s="65"/>
      <c r="H594" s="65"/>
      <c r="I594" s="65" t="str">
        <f t="shared" si="207"/>
        <v/>
      </c>
      <c r="J594" s="65" t="str">
        <f t="shared" si="208"/>
        <v/>
      </c>
      <c r="K594" s="65" t="str">
        <f t="shared" si="203"/>
        <v/>
      </c>
      <c r="L594" s="65" t="str">
        <f t="shared" si="204"/>
        <v/>
      </c>
      <c r="M594" s="77" t="str">
        <f t="shared" si="205"/>
        <v/>
      </c>
      <c r="N594" s="247"/>
      <c r="O594" s="12"/>
      <c r="P594" s="69"/>
      <c r="Q594" s="87"/>
      <c r="R594" s="70">
        <f t="shared" si="209"/>
        <v>0</v>
      </c>
      <c r="S594" s="87"/>
      <c r="T594" s="249">
        <f>IF(AND(NOT(N587=0)),T587/N587,0)</f>
        <v>0</v>
      </c>
      <c r="U594" s="12"/>
    </row>
    <row r="595" spans="1:21" x14ac:dyDescent="0.2">
      <c r="A595" s="254"/>
      <c r="B595" s="242"/>
      <c r="C595" s="95"/>
      <c r="D595" s="10"/>
      <c r="E595" s="10"/>
      <c r="F595" s="10" t="str">
        <f t="shared" si="206"/>
        <v/>
      </c>
      <c r="G595" s="10"/>
      <c r="H595" s="10"/>
      <c r="I595" s="10" t="str">
        <f t="shared" si="207"/>
        <v/>
      </c>
      <c r="J595" s="10" t="str">
        <f t="shared" si="208"/>
        <v/>
      </c>
      <c r="K595" s="10" t="str">
        <f t="shared" si="203"/>
        <v/>
      </c>
      <c r="L595" s="10" t="str">
        <f t="shared" si="204"/>
        <v/>
      </c>
      <c r="M595" s="75" t="str">
        <f t="shared" si="205"/>
        <v/>
      </c>
      <c r="N595" s="247"/>
      <c r="O595" s="12"/>
      <c r="P595" s="69"/>
      <c r="Q595" s="87"/>
      <c r="R595" s="70">
        <f t="shared" si="209"/>
        <v>0</v>
      </c>
      <c r="S595" s="87"/>
      <c r="T595" s="250"/>
      <c r="U595" s="12"/>
    </row>
    <row r="596" spans="1:21" ht="15.75" customHeight="1" thickBot="1" x14ac:dyDescent="0.25">
      <c r="A596" s="255"/>
      <c r="B596" s="243"/>
      <c r="C596" s="97"/>
      <c r="D596" s="80"/>
      <c r="E596" s="80"/>
      <c r="F596" s="80" t="str">
        <f t="shared" si="206"/>
        <v/>
      </c>
      <c r="G596" s="80"/>
      <c r="H596" s="80"/>
      <c r="I596" s="80" t="str">
        <f t="shared" si="207"/>
        <v/>
      </c>
      <c r="J596" s="80" t="str">
        <f t="shared" si="208"/>
        <v/>
      </c>
      <c r="K596" s="80" t="str">
        <f t="shared" si="203"/>
        <v/>
      </c>
      <c r="L596" s="80" t="str">
        <f t="shared" si="204"/>
        <v/>
      </c>
      <c r="M596" s="83" t="str">
        <f t="shared" si="205"/>
        <v/>
      </c>
      <c r="N596" s="248"/>
      <c r="O596" s="12"/>
      <c r="P596" s="84"/>
      <c r="Q596" s="12"/>
      <c r="R596" s="85">
        <f>IF(OR(P596="",L596="NO BET"),0,IF(AND(K596=P596),IF(AND(K596="T2"),ROUNDUP(H596*M596*0.95,2)-M596,ROUNDUP(G596*M596*0.95,2)-M596),-M596))</f>
        <v>0</v>
      </c>
      <c r="S596" s="12"/>
      <c r="T596" s="251"/>
      <c r="U596" s="12"/>
    </row>
    <row r="597" spans="1:21" ht="15.75" customHeight="1" x14ac:dyDescent="0.2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87"/>
      <c r="P597" s="87"/>
      <c r="Q597" s="87"/>
      <c r="R597" s="109"/>
      <c r="S597" s="87"/>
      <c r="T597" s="110"/>
      <c r="U597" s="12"/>
    </row>
    <row r="598" spans="1:21" ht="15.75" customHeight="1" x14ac:dyDescent="0.2">
      <c r="A598" s="99"/>
      <c r="B598" s="99"/>
      <c r="C598" s="99"/>
      <c r="D598" s="99"/>
      <c r="E598" s="99"/>
      <c r="F598" s="99"/>
      <c r="G598" s="99"/>
      <c r="H598" s="99"/>
      <c r="I598" s="99"/>
      <c r="J598" s="99"/>
      <c r="K598" s="99"/>
      <c r="L598" s="99"/>
      <c r="M598" s="99"/>
      <c r="N598" s="99"/>
      <c r="O598" s="99"/>
      <c r="P598" s="99"/>
      <c r="Q598" s="99"/>
      <c r="R598" s="100"/>
      <c r="S598" s="99"/>
      <c r="T598" s="101"/>
      <c r="U598" s="12"/>
    </row>
    <row r="599" spans="1:21" x14ac:dyDescent="0.2">
      <c r="A599" s="99"/>
      <c r="B599" s="99"/>
      <c r="C599" s="99"/>
      <c r="D599" s="99"/>
      <c r="E599" s="99"/>
      <c r="F599" s="99"/>
      <c r="G599" s="99"/>
      <c r="H599" s="99"/>
      <c r="I599" s="99"/>
      <c r="J599" s="99"/>
      <c r="K599" s="99"/>
      <c r="L599" s="99"/>
      <c r="M599" s="99"/>
      <c r="N599" s="99"/>
      <c r="O599" s="99"/>
      <c r="P599" s="99"/>
      <c r="Q599" s="99"/>
      <c r="R599" s="100"/>
      <c r="S599" s="99"/>
      <c r="T599" s="101"/>
      <c r="U599" s="12"/>
    </row>
    <row r="600" spans="1:21" x14ac:dyDescent="0.2">
      <c r="A600" s="99"/>
      <c r="B600" s="99"/>
      <c r="C600" s="99"/>
      <c r="D600" s="99"/>
      <c r="E600" s="99"/>
      <c r="F600" s="99"/>
      <c r="G600" s="99"/>
      <c r="H600" s="99"/>
      <c r="I600" s="99"/>
      <c r="J600" s="99"/>
      <c r="K600" s="99"/>
      <c r="L600" s="99"/>
      <c r="M600" s="99"/>
      <c r="N600" s="99"/>
      <c r="O600" s="99"/>
      <c r="P600" s="99"/>
      <c r="Q600" s="99"/>
      <c r="R600" s="100"/>
      <c r="S600" s="99"/>
      <c r="T600" s="101"/>
      <c r="U600" s="12"/>
    </row>
    <row r="601" spans="1:21" x14ac:dyDescent="0.2">
      <c r="A601" s="99"/>
      <c r="B601" s="99"/>
      <c r="C601" s="99"/>
      <c r="D601" s="99"/>
      <c r="E601" s="99"/>
      <c r="F601" s="99"/>
      <c r="G601" s="99"/>
      <c r="H601" s="99"/>
      <c r="I601" s="99"/>
      <c r="J601" s="99"/>
      <c r="K601" s="99"/>
      <c r="L601" s="99"/>
      <c r="M601" s="99"/>
      <c r="N601" s="99"/>
      <c r="O601" s="99"/>
      <c r="P601" s="99"/>
      <c r="Q601" s="99"/>
      <c r="R601" s="100"/>
      <c r="S601" s="99"/>
      <c r="T601" s="101"/>
      <c r="U601" s="12"/>
    </row>
    <row r="602" spans="1:21" x14ac:dyDescent="0.2">
      <c r="A602" s="99"/>
      <c r="B602" s="99"/>
      <c r="C602" s="99"/>
      <c r="D602" s="99"/>
      <c r="E602" s="99"/>
      <c r="F602" s="99"/>
      <c r="G602" s="99"/>
      <c r="H602" s="99"/>
      <c r="I602" s="99"/>
      <c r="J602" s="99"/>
      <c r="K602" s="99"/>
      <c r="L602" s="99"/>
      <c r="M602" s="99"/>
      <c r="N602" s="99"/>
      <c r="O602" s="99"/>
      <c r="P602" s="99"/>
      <c r="Q602" s="99"/>
      <c r="R602" s="100"/>
      <c r="S602" s="99"/>
      <c r="T602" s="101"/>
      <c r="U602" s="12"/>
    </row>
    <row r="603" spans="1:21" ht="15.75" customHeight="1" x14ac:dyDescent="0.2">
      <c r="A603" s="99"/>
      <c r="B603" s="99"/>
      <c r="C603" s="99"/>
      <c r="D603" s="99"/>
      <c r="E603" s="99"/>
      <c r="F603" s="99"/>
      <c r="G603" s="99"/>
      <c r="H603" s="99"/>
      <c r="I603" s="99"/>
      <c r="J603" s="99"/>
      <c r="K603" s="99"/>
      <c r="L603" s="99"/>
      <c r="M603" s="99"/>
      <c r="N603" s="99"/>
      <c r="O603" s="99"/>
      <c r="P603" s="99"/>
      <c r="Q603" s="99"/>
      <c r="R603" s="100"/>
      <c r="S603" s="99"/>
      <c r="T603" s="101"/>
      <c r="U603" s="12"/>
    </row>
    <row r="604" spans="1:21" ht="15.75" customHeight="1" x14ac:dyDescent="0.2">
      <c r="A604" s="99"/>
      <c r="B604" s="99"/>
      <c r="C604" s="99"/>
      <c r="D604" s="99"/>
      <c r="E604" s="99"/>
      <c r="F604" s="99"/>
      <c r="G604" s="99"/>
      <c r="H604" s="99"/>
      <c r="I604" s="99"/>
      <c r="J604" s="99"/>
      <c r="K604" s="99"/>
      <c r="L604" s="99"/>
      <c r="M604" s="99"/>
      <c r="N604" s="99"/>
      <c r="O604" s="99"/>
      <c r="P604" s="99"/>
      <c r="Q604" s="99"/>
      <c r="R604" s="100"/>
      <c r="S604" s="99"/>
      <c r="T604" s="101"/>
      <c r="U604" s="12"/>
    </row>
    <row r="605" spans="1:21" ht="15.75" customHeight="1" x14ac:dyDescent="0.2">
      <c r="A605" s="99"/>
      <c r="B605" s="99"/>
      <c r="C605" s="99"/>
      <c r="D605" s="99"/>
      <c r="E605" s="99"/>
      <c r="F605" s="99"/>
      <c r="G605" s="99"/>
      <c r="H605" s="99"/>
      <c r="I605" s="99"/>
      <c r="J605" s="99"/>
      <c r="K605" s="99"/>
      <c r="L605" s="99"/>
      <c r="M605" s="99"/>
      <c r="N605" s="99"/>
      <c r="O605" s="99"/>
      <c r="P605" s="99"/>
      <c r="Q605" s="99"/>
      <c r="R605" s="100"/>
      <c r="S605" s="99"/>
      <c r="T605" s="101"/>
      <c r="U605" s="12"/>
    </row>
    <row r="606" spans="1:21" ht="15.75" customHeight="1" x14ac:dyDescent="0.2">
      <c r="A606" s="99"/>
      <c r="B606" s="99"/>
      <c r="C606" s="99"/>
      <c r="D606" s="99"/>
      <c r="E606" s="99"/>
      <c r="F606" s="99"/>
      <c r="G606" s="99"/>
      <c r="H606" s="99"/>
      <c r="I606" s="99"/>
      <c r="J606" s="99"/>
      <c r="K606" s="99"/>
      <c r="L606" s="99"/>
      <c r="M606" s="99"/>
      <c r="N606" s="99"/>
      <c r="O606" s="99"/>
      <c r="P606" s="99"/>
      <c r="Q606" s="99"/>
      <c r="R606" s="100"/>
      <c r="S606" s="99"/>
      <c r="T606" s="101"/>
      <c r="U606" s="12"/>
    </row>
    <row r="607" spans="1:21" ht="15.75" customHeight="1" x14ac:dyDescent="0.2">
      <c r="A607" s="99"/>
      <c r="B607" s="99"/>
      <c r="C607" s="99"/>
      <c r="D607" s="99"/>
      <c r="E607" s="99"/>
      <c r="F607" s="99"/>
      <c r="G607" s="99"/>
      <c r="H607" s="99"/>
      <c r="I607" s="99"/>
      <c r="J607" s="99"/>
      <c r="K607" s="99"/>
      <c r="L607" s="99"/>
      <c r="M607" s="99"/>
      <c r="N607" s="99"/>
      <c r="O607" s="99"/>
      <c r="P607" s="99"/>
      <c r="Q607" s="99"/>
      <c r="R607" s="100"/>
      <c r="S607" s="99"/>
      <c r="T607" s="101"/>
      <c r="U607" s="12"/>
    </row>
    <row r="608" spans="1:21" ht="15.75" customHeight="1" x14ac:dyDescent="0.2">
      <c r="A608" s="99"/>
      <c r="B608" s="99"/>
      <c r="C608" s="99"/>
      <c r="D608" s="99"/>
      <c r="E608" s="99"/>
      <c r="F608" s="99"/>
      <c r="G608" s="99"/>
      <c r="H608" s="99"/>
      <c r="I608" s="99"/>
      <c r="J608" s="99"/>
      <c r="K608" s="99"/>
      <c r="L608" s="99"/>
      <c r="M608" s="99"/>
      <c r="N608" s="99"/>
      <c r="O608" s="99"/>
      <c r="P608" s="99"/>
      <c r="Q608" s="99"/>
      <c r="R608" s="100"/>
      <c r="S608" s="99"/>
      <c r="T608" s="101"/>
      <c r="U608" s="12"/>
    </row>
    <row r="609" spans="1:21" x14ac:dyDescent="0.2">
      <c r="A609" s="99"/>
      <c r="B609" s="99"/>
      <c r="C609" s="99"/>
      <c r="D609" s="99"/>
      <c r="E609" s="99"/>
      <c r="F609" s="99"/>
      <c r="G609" s="99"/>
      <c r="H609" s="99"/>
      <c r="I609" s="99"/>
      <c r="J609" s="99"/>
      <c r="K609" s="99"/>
      <c r="L609" s="99"/>
      <c r="M609" s="99"/>
      <c r="N609" s="99"/>
      <c r="O609" s="99"/>
      <c r="P609" s="99"/>
      <c r="Q609" s="99"/>
      <c r="R609" s="100"/>
      <c r="S609" s="99"/>
      <c r="T609" s="101"/>
      <c r="U609" s="12"/>
    </row>
    <row r="610" spans="1:21" ht="15.75" customHeight="1" x14ac:dyDescent="0.2">
      <c r="A610" s="99"/>
      <c r="B610" s="99"/>
      <c r="C610" s="99"/>
      <c r="D610" s="99"/>
      <c r="E610" s="99"/>
      <c r="F610" s="99"/>
      <c r="G610" s="99"/>
      <c r="H610" s="99"/>
      <c r="I610" s="99"/>
      <c r="J610" s="99"/>
      <c r="K610" s="99"/>
      <c r="L610" s="99"/>
      <c r="M610" s="99"/>
      <c r="N610" s="99"/>
      <c r="O610" s="99"/>
      <c r="P610" s="99"/>
      <c r="Q610" s="99"/>
      <c r="R610" s="100"/>
      <c r="S610" s="99"/>
      <c r="T610" s="101"/>
      <c r="U610" s="12"/>
    </row>
    <row r="611" spans="1:21" ht="15.75" customHeight="1" x14ac:dyDescent="0.2">
      <c r="A611" s="99"/>
      <c r="B611" s="99"/>
      <c r="C611" s="99"/>
      <c r="D611" s="99"/>
      <c r="E611" s="99"/>
      <c r="F611" s="99"/>
      <c r="G611" s="99"/>
      <c r="H611" s="99"/>
      <c r="I611" s="99"/>
      <c r="J611" s="99"/>
      <c r="K611" s="99"/>
      <c r="L611" s="99"/>
      <c r="M611" s="99"/>
      <c r="N611" s="99"/>
      <c r="O611" s="99"/>
      <c r="P611" s="99"/>
      <c r="Q611" s="99"/>
      <c r="R611" s="100"/>
      <c r="S611" s="99"/>
      <c r="T611" s="101"/>
      <c r="U611" s="12"/>
    </row>
    <row r="612" spans="1:21" ht="15.75" customHeight="1" x14ac:dyDescent="0.2">
      <c r="A612" s="99"/>
      <c r="B612" s="99"/>
      <c r="C612" s="99"/>
      <c r="D612" s="99"/>
      <c r="E612" s="99"/>
      <c r="F612" s="99"/>
      <c r="G612" s="99"/>
      <c r="H612" s="99"/>
      <c r="I612" s="99"/>
      <c r="J612" s="99"/>
      <c r="K612" s="99"/>
      <c r="L612" s="99"/>
      <c r="M612" s="99"/>
      <c r="N612" s="99"/>
      <c r="O612" s="99"/>
      <c r="P612" s="99"/>
      <c r="Q612" s="99"/>
      <c r="R612" s="100"/>
      <c r="S612" s="99"/>
      <c r="T612" s="101"/>
      <c r="U612" s="12"/>
    </row>
    <row r="613" spans="1:21" x14ac:dyDescent="0.2">
      <c r="A613" s="99"/>
      <c r="B613" s="99"/>
      <c r="C613" s="99"/>
      <c r="D613" s="99"/>
      <c r="E613" s="99"/>
      <c r="F613" s="99"/>
      <c r="G613" s="99"/>
      <c r="H613" s="99"/>
      <c r="I613" s="99"/>
      <c r="J613" s="99"/>
      <c r="K613" s="99"/>
      <c r="L613" s="99"/>
      <c r="M613" s="99"/>
      <c r="N613" s="99"/>
      <c r="O613" s="99"/>
      <c r="P613" s="99"/>
      <c r="Q613" s="99"/>
      <c r="R613" s="100"/>
      <c r="S613" s="99"/>
      <c r="T613" s="101"/>
      <c r="U613" s="12"/>
    </row>
    <row r="614" spans="1:21" x14ac:dyDescent="0.2">
      <c r="A614" s="99"/>
      <c r="B614" s="99"/>
      <c r="C614" s="99"/>
      <c r="D614" s="99"/>
      <c r="E614" s="99"/>
      <c r="F614" s="99"/>
      <c r="G614" s="99"/>
      <c r="H614" s="99"/>
      <c r="I614" s="99"/>
      <c r="J614" s="99"/>
      <c r="K614" s="99"/>
      <c r="L614" s="99"/>
      <c r="M614" s="99"/>
      <c r="N614" s="99"/>
      <c r="O614" s="99"/>
      <c r="P614" s="99"/>
      <c r="Q614" s="99"/>
      <c r="R614" s="100"/>
      <c r="S614" s="99"/>
      <c r="T614" s="101"/>
      <c r="U614" s="12"/>
    </row>
    <row r="615" spans="1:21" ht="15.75" customHeight="1" thickBot="1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3"/>
      <c r="S615" s="12"/>
      <c r="T615" s="14"/>
      <c r="U615" s="12"/>
    </row>
    <row r="616" spans="1:21" ht="15.75" customHeight="1" thickBot="1" x14ac:dyDescent="0.3">
      <c r="A616" s="102" t="s">
        <v>6</v>
      </c>
      <c r="B616" s="241" t="s">
        <v>8</v>
      </c>
      <c r="C616" s="51"/>
      <c r="D616" s="51" t="s">
        <v>9</v>
      </c>
      <c r="E616" s="51" t="s">
        <v>10</v>
      </c>
      <c r="F616" s="51" t="s">
        <v>11</v>
      </c>
      <c r="G616" s="51" t="s">
        <v>12</v>
      </c>
      <c r="H616" s="51" t="s">
        <v>13</v>
      </c>
      <c r="I616" s="51" t="s">
        <v>14</v>
      </c>
      <c r="J616" s="51" t="s">
        <v>15</v>
      </c>
      <c r="K616" s="51" t="s">
        <v>33</v>
      </c>
      <c r="L616" s="51" t="s">
        <v>16</v>
      </c>
      <c r="M616" s="51"/>
      <c r="N616" s="52" t="s">
        <v>17</v>
      </c>
      <c r="O616" s="88"/>
      <c r="P616" s="53" t="s">
        <v>18</v>
      </c>
      <c r="Q616" s="87"/>
      <c r="R616" s="54" t="s">
        <v>34</v>
      </c>
      <c r="S616" s="87"/>
      <c r="T616" s="56" t="s">
        <v>29</v>
      </c>
      <c r="U616" s="12"/>
    </row>
    <row r="617" spans="1:21" ht="15.75" customHeight="1" x14ac:dyDescent="0.2">
      <c r="A617" s="103"/>
      <c r="B617" s="242"/>
      <c r="C617" s="98"/>
      <c r="D617" s="58"/>
      <c r="E617" s="58"/>
      <c r="F617" s="58" t="str">
        <f>IF(AND(C617=""),"",1-C617)</f>
        <v/>
      </c>
      <c r="G617" s="58"/>
      <c r="H617" s="58"/>
      <c r="I617" s="58" t="str">
        <f>IF(AND(C617=""),"",G617*C617)</f>
        <v/>
      </c>
      <c r="J617" s="58" t="str">
        <f>IF(AND(C617=""),"",H617*F617)</f>
        <v/>
      </c>
      <c r="K617" s="58" t="str">
        <f t="shared" ref="K617:K626" si="210">IF(AND(I617=""),"",IF(AND(I617&gt;J617),"T1","T2"))</f>
        <v/>
      </c>
      <c r="L617" s="61" t="str">
        <f t="shared" ref="L617:L626" si="211">IF(AND(K617=""),"",IF(AND((J617*0.95-1)&lt;0,(I617*0.95-1)&lt;0),"NO BET", IF(AND(K617="T1"),I617*0.95 - 1,J617*0.95 - 1)))</f>
        <v/>
      </c>
      <c r="M617" s="61"/>
      <c r="N617" s="246">
        <f>SUMIF(L617:L626,"&gt;0")</f>
        <v>0</v>
      </c>
      <c r="O617" s="88"/>
      <c r="P617" s="62"/>
      <c r="Q617" s="88"/>
      <c r="R617" s="63">
        <f>IF(OR(P617="",L617="NO BET"),0,IF(AND(K617=P617),IF(AND(K617="T2"),ROUNDUP(H617*0.95,2)-M617,ROUNDUP(G617*0.95,2)-M617),-M617))</f>
        <v>0</v>
      </c>
      <c r="S617" s="87"/>
      <c r="T617" s="237">
        <f>SUM(R617:R626)</f>
        <v>0</v>
      </c>
      <c r="U617" s="12"/>
    </row>
    <row r="618" spans="1:21" ht="15.75" customHeight="1" x14ac:dyDescent="0.2">
      <c r="A618" s="254" t="s">
        <v>35</v>
      </c>
      <c r="B618" s="242"/>
      <c r="C618" s="96"/>
      <c r="D618" s="65"/>
      <c r="E618" s="65"/>
      <c r="F618" s="65" t="str">
        <f t="shared" ref="F618:F626" si="212">IF(AND(C618=""),"",1-C618)</f>
        <v/>
      </c>
      <c r="G618" s="65"/>
      <c r="H618" s="65"/>
      <c r="I618" s="65" t="str">
        <f t="shared" ref="I618:I626" si="213">IF(AND(C618=""),"",G618*C618)</f>
        <v/>
      </c>
      <c r="J618" s="65" t="str">
        <f t="shared" ref="J618:J626" si="214">IF(AND(C618=""),"",H618*F618)</f>
        <v/>
      </c>
      <c r="K618" s="65" t="str">
        <f t="shared" si="210"/>
        <v/>
      </c>
      <c r="L618" s="68" t="str">
        <f t="shared" si="211"/>
        <v/>
      </c>
      <c r="M618" s="68"/>
      <c r="N618" s="247"/>
      <c r="O618" s="87"/>
      <c r="P618" s="69"/>
      <c r="Q618" s="87"/>
      <c r="R618" s="70">
        <f t="shared" ref="R618:R626" si="215">IF(OR(P618="",L618="NO BET"),0,IF(AND(K618=P618),IF(AND(K618="T2"),ROUNDUP(H618*M618*0.95,2)-1,ROUNDUP(G618*M618*0.95,2)-M618),-M618))</f>
        <v>0</v>
      </c>
      <c r="S618" s="87"/>
      <c r="T618" s="237"/>
      <c r="U618" s="12"/>
    </row>
    <row r="619" spans="1:21" ht="15.75" customHeight="1" x14ac:dyDescent="0.2">
      <c r="A619" s="254"/>
      <c r="B619" s="242"/>
      <c r="C619" s="95"/>
      <c r="D619" s="10"/>
      <c r="E619" s="10"/>
      <c r="F619" s="10" t="str">
        <f t="shared" si="212"/>
        <v/>
      </c>
      <c r="G619" s="10"/>
      <c r="H619" s="10"/>
      <c r="I619" s="10" t="str">
        <f t="shared" si="213"/>
        <v/>
      </c>
      <c r="J619" s="10" t="str">
        <f t="shared" si="214"/>
        <v/>
      </c>
      <c r="K619" s="10" t="str">
        <f t="shared" si="210"/>
        <v/>
      </c>
      <c r="L619" s="74" t="str">
        <f t="shared" si="211"/>
        <v/>
      </c>
      <c r="M619" s="74"/>
      <c r="N619" s="247"/>
      <c r="O619" s="88"/>
      <c r="P619" s="69"/>
      <c r="Q619" s="87"/>
      <c r="R619" s="70">
        <f t="shared" si="215"/>
        <v>0</v>
      </c>
      <c r="S619" s="87"/>
      <c r="T619" s="237"/>
      <c r="U619" s="12"/>
    </row>
    <row r="620" spans="1:21" ht="15.75" customHeight="1" x14ac:dyDescent="0.2">
      <c r="A620" s="254"/>
      <c r="B620" s="242"/>
      <c r="C620" s="96"/>
      <c r="D620" s="65"/>
      <c r="E620" s="65"/>
      <c r="F620" s="65" t="str">
        <f t="shared" si="212"/>
        <v/>
      </c>
      <c r="G620" s="65"/>
      <c r="H620" s="65"/>
      <c r="I620" s="65" t="str">
        <f t="shared" si="213"/>
        <v/>
      </c>
      <c r="J620" s="65" t="str">
        <f t="shared" si="214"/>
        <v/>
      </c>
      <c r="K620" s="65" t="str">
        <f t="shared" si="210"/>
        <v/>
      </c>
      <c r="L620" s="68" t="str">
        <f t="shared" si="211"/>
        <v/>
      </c>
      <c r="M620" s="68"/>
      <c r="N620" s="247"/>
      <c r="O620" s="92"/>
      <c r="P620" s="69"/>
      <c r="Q620" s="87"/>
      <c r="R620" s="70">
        <f t="shared" si="215"/>
        <v>0</v>
      </c>
      <c r="S620" s="87"/>
      <c r="T620" s="237"/>
      <c r="U620" s="12"/>
    </row>
    <row r="621" spans="1:21" ht="15.75" customHeight="1" x14ac:dyDescent="0.2">
      <c r="A621" s="254"/>
      <c r="B621" s="242"/>
      <c r="C621" s="95"/>
      <c r="D621" s="10"/>
      <c r="E621" s="10"/>
      <c r="F621" s="10" t="str">
        <f t="shared" si="212"/>
        <v/>
      </c>
      <c r="G621" s="10"/>
      <c r="H621" s="10"/>
      <c r="I621" s="10" t="str">
        <f t="shared" si="213"/>
        <v/>
      </c>
      <c r="J621" s="10" t="str">
        <f t="shared" si="214"/>
        <v/>
      </c>
      <c r="K621" s="10" t="str">
        <f t="shared" si="210"/>
        <v/>
      </c>
      <c r="L621" s="75" t="str">
        <f t="shared" si="211"/>
        <v/>
      </c>
      <c r="M621" s="75"/>
      <c r="N621" s="247"/>
      <c r="O621" s="92"/>
      <c r="P621" s="69"/>
      <c r="Q621" s="87"/>
      <c r="R621" s="70">
        <f t="shared" si="215"/>
        <v>0</v>
      </c>
      <c r="S621" s="87"/>
      <c r="T621" s="237"/>
      <c r="U621" s="12"/>
    </row>
    <row r="622" spans="1:21" ht="15.75" customHeight="1" x14ac:dyDescent="0.2">
      <c r="A622" s="254"/>
      <c r="B622" s="242"/>
      <c r="C622" s="96"/>
      <c r="D622" s="65"/>
      <c r="E622" s="65"/>
      <c r="F622" s="65" t="str">
        <f t="shared" si="212"/>
        <v/>
      </c>
      <c r="G622" s="65"/>
      <c r="H622" s="65"/>
      <c r="I622" s="65" t="str">
        <f t="shared" si="213"/>
        <v/>
      </c>
      <c r="J622" s="65" t="str">
        <f t="shared" si="214"/>
        <v/>
      </c>
      <c r="K622" s="65" t="str">
        <f t="shared" si="210"/>
        <v/>
      </c>
      <c r="L622" s="68" t="str">
        <f t="shared" si="211"/>
        <v/>
      </c>
      <c r="M622" s="68"/>
      <c r="N622" s="247"/>
      <c r="O622" s="92"/>
      <c r="P622" s="69"/>
      <c r="Q622" s="87"/>
      <c r="R622" s="70">
        <f t="shared" si="215"/>
        <v>0</v>
      </c>
      <c r="S622" s="87"/>
      <c r="T622" s="237"/>
      <c r="U622" s="12"/>
    </row>
    <row r="623" spans="1:21" ht="15.75" customHeight="1" thickBot="1" x14ac:dyDescent="0.25">
      <c r="A623" s="254"/>
      <c r="B623" s="242"/>
      <c r="C623" s="95"/>
      <c r="D623" s="10"/>
      <c r="E623" s="10"/>
      <c r="F623" s="10" t="str">
        <f t="shared" si="212"/>
        <v/>
      </c>
      <c r="G623" s="10"/>
      <c r="H623" s="10"/>
      <c r="I623" s="10" t="str">
        <f t="shared" si="213"/>
        <v/>
      </c>
      <c r="J623" s="10" t="str">
        <f t="shared" si="214"/>
        <v/>
      </c>
      <c r="K623" s="10" t="str">
        <f t="shared" si="210"/>
        <v/>
      </c>
      <c r="L623" s="74" t="str">
        <f t="shared" si="211"/>
        <v/>
      </c>
      <c r="M623" s="74"/>
      <c r="N623" s="247"/>
      <c r="O623" s="87"/>
      <c r="P623" s="69"/>
      <c r="Q623" s="87"/>
      <c r="R623" s="70">
        <f t="shared" si="215"/>
        <v>0</v>
      </c>
      <c r="S623" s="87"/>
      <c r="T623" s="76" t="s">
        <v>31</v>
      </c>
      <c r="U623" s="12"/>
    </row>
    <row r="624" spans="1:21" ht="15.75" customHeight="1" x14ac:dyDescent="0.2">
      <c r="A624" s="254"/>
      <c r="B624" s="242"/>
      <c r="C624" s="96"/>
      <c r="D624" s="65"/>
      <c r="E624" s="65"/>
      <c r="F624" s="65" t="str">
        <f t="shared" si="212"/>
        <v/>
      </c>
      <c r="G624" s="65"/>
      <c r="H624" s="65"/>
      <c r="I624" s="65" t="str">
        <f t="shared" si="213"/>
        <v/>
      </c>
      <c r="J624" s="65" t="str">
        <f t="shared" si="214"/>
        <v/>
      </c>
      <c r="K624" s="65" t="str">
        <f t="shared" si="210"/>
        <v/>
      </c>
      <c r="L624" s="77" t="str">
        <f t="shared" si="211"/>
        <v/>
      </c>
      <c r="M624" s="77"/>
      <c r="N624" s="247"/>
      <c r="O624" s="87"/>
      <c r="P624" s="69"/>
      <c r="Q624" s="87"/>
      <c r="R624" s="70">
        <f t="shared" si="215"/>
        <v>0</v>
      </c>
      <c r="S624" s="87"/>
      <c r="T624" s="249">
        <f>IF(AND(NOT(N617=0)),T617/N617,0)</f>
        <v>0</v>
      </c>
      <c r="U624" s="12"/>
    </row>
    <row r="625" spans="1:21" ht="15.75" customHeight="1" x14ac:dyDescent="0.2">
      <c r="A625" s="254"/>
      <c r="B625" s="242"/>
      <c r="C625" s="95"/>
      <c r="D625" s="10"/>
      <c r="E625" s="10"/>
      <c r="F625" s="10" t="str">
        <f t="shared" si="212"/>
        <v/>
      </c>
      <c r="G625" s="10"/>
      <c r="H625" s="10"/>
      <c r="I625" s="10" t="str">
        <f t="shared" si="213"/>
        <v/>
      </c>
      <c r="J625" s="10" t="str">
        <f t="shared" si="214"/>
        <v/>
      </c>
      <c r="K625" s="10" t="str">
        <f t="shared" si="210"/>
        <v/>
      </c>
      <c r="L625" s="75" t="str">
        <f t="shared" si="211"/>
        <v/>
      </c>
      <c r="M625" s="75"/>
      <c r="N625" s="247"/>
      <c r="O625" s="87"/>
      <c r="P625" s="69"/>
      <c r="Q625" s="87"/>
      <c r="R625" s="70">
        <f t="shared" si="215"/>
        <v>0</v>
      </c>
      <c r="S625" s="87"/>
      <c r="T625" s="250"/>
      <c r="U625" s="12"/>
    </row>
    <row r="626" spans="1:21" ht="15.75" customHeight="1" thickBot="1" x14ac:dyDescent="0.25">
      <c r="A626" s="255"/>
      <c r="B626" s="243"/>
      <c r="C626" s="97"/>
      <c r="D626" s="80"/>
      <c r="E626" s="80"/>
      <c r="F626" s="80" t="str">
        <f t="shared" si="212"/>
        <v/>
      </c>
      <c r="G626" s="80"/>
      <c r="H626" s="80"/>
      <c r="I626" s="80" t="str">
        <f t="shared" si="213"/>
        <v/>
      </c>
      <c r="J626" s="80" t="str">
        <f t="shared" si="214"/>
        <v/>
      </c>
      <c r="K626" s="80" t="str">
        <f t="shared" si="210"/>
        <v/>
      </c>
      <c r="L626" s="83" t="str">
        <f t="shared" si="211"/>
        <v/>
      </c>
      <c r="M626" s="83"/>
      <c r="N626" s="248"/>
      <c r="O626" s="87"/>
      <c r="P626" s="84"/>
      <c r="Q626" s="12"/>
      <c r="R626" s="85">
        <f t="shared" si="215"/>
        <v>0</v>
      </c>
      <c r="S626" s="12"/>
      <c r="T626" s="251"/>
      <c r="U626" s="12"/>
    </row>
    <row r="627" spans="1:21" ht="15.75" customHeight="1" x14ac:dyDescent="0.2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87"/>
      <c r="P627" s="87"/>
      <c r="Q627" s="87"/>
      <c r="R627" s="106"/>
      <c r="S627" s="87"/>
      <c r="T627" s="107"/>
      <c r="U627" s="12"/>
    </row>
    <row r="628" spans="1:21" ht="15.75" customHeight="1" x14ac:dyDescent="0.2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87"/>
      <c r="P628" s="87"/>
      <c r="Q628" s="87"/>
      <c r="R628" s="106"/>
      <c r="S628" s="87"/>
      <c r="T628" s="107"/>
      <c r="U628" s="12"/>
    </row>
    <row r="629" spans="1:21" ht="15.75" customHeight="1" thickBot="1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87"/>
      <c r="P629" s="87"/>
      <c r="Q629" s="87"/>
      <c r="R629" s="106"/>
      <c r="S629" s="87"/>
      <c r="T629" s="107"/>
      <c r="U629" s="12"/>
    </row>
    <row r="630" spans="1:21" ht="15.75" customHeight="1" thickBot="1" x14ac:dyDescent="0.3">
      <c r="A630" s="102" t="s">
        <v>6</v>
      </c>
      <c r="B630" s="275" t="s">
        <v>20</v>
      </c>
      <c r="C630" s="51"/>
      <c r="D630" s="51" t="s">
        <v>9</v>
      </c>
      <c r="E630" s="51" t="s">
        <v>10</v>
      </c>
      <c r="F630" s="51" t="s">
        <v>11</v>
      </c>
      <c r="G630" s="51" t="s">
        <v>12</v>
      </c>
      <c r="H630" s="51" t="s">
        <v>13</v>
      </c>
      <c r="I630" s="51" t="s">
        <v>14</v>
      </c>
      <c r="J630" s="51" t="s">
        <v>15</v>
      </c>
      <c r="K630" s="51" t="s">
        <v>33</v>
      </c>
      <c r="L630" s="51" t="s">
        <v>16</v>
      </c>
      <c r="M630" s="51"/>
      <c r="N630" s="52" t="s">
        <v>17</v>
      </c>
      <c r="O630" s="88"/>
      <c r="P630" s="53" t="s">
        <v>18</v>
      </c>
      <c r="Q630" s="87"/>
      <c r="R630" s="54" t="s">
        <v>34</v>
      </c>
      <c r="S630" s="87"/>
      <c r="T630" s="56" t="s">
        <v>29</v>
      </c>
      <c r="U630" s="12"/>
    </row>
    <row r="631" spans="1:21" ht="15.75" customHeight="1" x14ac:dyDescent="0.2">
      <c r="A631" s="103"/>
      <c r="B631" s="276"/>
      <c r="C631" s="98"/>
      <c r="D631" s="89"/>
      <c r="E631" s="89"/>
      <c r="F631" s="58" t="str">
        <f>IF(AND(C631=""),"",1-C631)</f>
        <v/>
      </c>
      <c r="G631" s="58"/>
      <c r="H631" s="58"/>
      <c r="I631" s="58" t="str">
        <f>IF(AND(C631=""),"",G631*C631)</f>
        <v/>
      </c>
      <c r="J631" s="58" t="str">
        <f>IF(AND(C631=""),"",H631*F631)</f>
        <v/>
      </c>
      <c r="K631" s="58" t="str">
        <f t="shared" ref="K631:K640" si="216">IF(AND(I631=""),"",IF(AND(I631&gt;J631),"T1","T2"))</f>
        <v/>
      </c>
      <c r="L631" s="61" t="str">
        <f t="shared" ref="L631:L640" si="217">IF(AND(K631=""),"",IF(AND((J631*0.95-1)&lt;0,(I631*0.95-1)&lt;0),"NO BET", IF(AND(K631="T1"),I631*0.95 - 1,J631*0.95 - 1)))</f>
        <v/>
      </c>
      <c r="M631" s="61"/>
      <c r="N631" s="246">
        <f>SUMIF(L631:L640,"&gt;0")</f>
        <v>0</v>
      </c>
      <c r="O631" s="88"/>
      <c r="P631" s="62"/>
      <c r="Q631" s="88"/>
      <c r="R631" s="63">
        <f t="shared" ref="R631:R640" si="218">IF(OR(P631="",L631="NO BET"),0,IF(AND(K631=P631),IF(AND(K631="T2"),ROUNDUP(H631*0.95,2)-1,ROUNDUP(G631*0.95,2)-1),-1))</f>
        <v>0</v>
      </c>
      <c r="S631" s="87"/>
      <c r="T631" s="237">
        <f>SUM(R631:R640)</f>
        <v>0</v>
      </c>
      <c r="U631" s="12"/>
    </row>
    <row r="632" spans="1:21" ht="15.75" customHeight="1" x14ac:dyDescent="0.2">
      <c r="A632" s="254" t="s">
        <v>35</v>
      </c>
      <c r="B632" s="276"/>
      <c r="C632" s="96"/>
      <c r="D632" s="90"/>
      <c r="E632" s="90"/>
      <c r="F632" s="65" t="str">
        <f t="shared" ref="F632:F640" si="219">IF(AND(C632=""),"",1-C632)</f>
        <v/>
      </c>
      <c r="G632" s="65"/>
      <c r="H632" s="65"/>
      <c r="I632" s="65" t="str">
        <f t="shared" ref="I632:I640" si="220">IF(AND(C632=""),"",G632*C632)</f>
        <v/>
      </c>
      <c r="J632" s="65" t="str">
        <f t="shared" ref="J632:J640" si="221">IF(AND(C632=""),"",H632*F632)</f>
        <v/>
      </c>
      <c r="K632" s="65" t="str">
        <f t="shared" si="216"/>
        <v/>
      </c>
      <c r="L632" s="68" t="str">
        <f t="shared" si="217"/>
        <v/>
      </c>
      <c r="M632" s="68"/>
      <c r="N632" s="247"/>
      <c r="O632" s="12"/>
      <c r="P632" s="69"/>
      <c r="Q632" s="87"/>
      <c r="R632" s="70">
        <f t="shared" si="218"/>
        <v>0</v>
      </c>
      <c r="S632" s="87"/>
      <c r="T632" s="237"/>
      <c r="U632" s="12"/>
    </row>
    <row r="633" spans="1:21" ht="15.75" customHeight="1" x14ac:dyDescent="0.2">
      <c r="A633" s="254"/>
      <c r="B633" s="276"/>
      <c r="C633" s="95"/>
      <c r="D633" s="91"/>
      <c r="E633" s="91"/>
      <c r="F633" s="10" t="str">
        <f t="shared" si="219"/>
        <v/>
      </c>
      <c r="G633" s="10"/>
      <c r="H633" s="10"/>
      <c r="I633" s="10" t="str">
        <f t="shared" si="220"/>
        <v/>
      </c>
      <c r="J633" s="10" t="str">
        <f t="shared" si="221"/>
        <v/>
      </c>
      <c r="K633" s="10" t="str">
        <f t="shared" si="216"/>
        <v/>
      </c>
      <c r="L633" s="74" t="str">
        <f t="shared" si="217"/>
        <v/>
      </c>
      <c r="M633" s="74"/>
      <c r="N633" s="247"/>
      <c r="O633" s="88"/>
      <c r="P633" s="69"/>
      <c r="Q633" s="87"/>
      <c r="R633" s="70">
        <f t="shared" si="218"/>
        <v>0</v>
      </c>
      <c r="S633" s="87"/>
      <c r="T633" s="237"/>
      <c r="U633" s="12"/>
    </row>
    <row r="634" spans="1:21" ht="15.75" customHeight="1" x14ac:dyDescent="0.2">
      <c r="A634" s="254"/>
      <c r="B634" s="276"/>
      <c r="C634" s="96"/>
      <c r="D634" s="90"/>
      <c r="E634" s="90"/>
      <c r="F634" s="65" t="str">
        <f t="shared" si="219"/>
        <v/>
      </c>
      <c r="G634" s="65"/>
      <c r="H634" s="65"/>
      <c r="I634" s="65" t="str">
        <f t="shared" si="220"/>
        <v/>
      </c>
      <c r="J634" s="65" t="str">
        <f t="shared" si="221"/>
        <v/>
      </c>
      <c r="K634" s="65" t="str">
        <f t="shared" si="216"/>
        <v/>
      </c>
      <c r="L634" s="68" t="str">
        <f t="shared" si="217"/>
        <v/>
      </c>
      <c r="M634" s="68"/>
      <c r="N634" s="247"/>
      <c r="O634" s="92"/>
      <c r="P634" s="69"/>
      <c r="Q634" s="87"/>
      <c r="R634" s="70">
        <f t="shared" si="218"/>
        <v>0</v>
      </c>
      <c r="S634" s="87"/>
      <c r="T634" s="237"/>
      <c r="U634" s="12"/>
    </row>
    <row r="635" spans="1:21" ht="15.75" customHeight="1" x14ac:dyDescent="0.2">
      <c r="A635" s="254"/>
      <c r="B635" s="276"/>
      <c r="C635" s="95"/>
      <c r="D635" s="91"/>
      <c r="E635" s="91"/>
      <c r="F635" s="10" t="str">
        <f t="shared" si="219"/>
        <v/>
      </c>
      <c r="G635" s="10"/>
      <c r="H635" s="10"/>
      <c r="I635" s="10" t="str">
        <f t="shared" si="220"/>
        <v/>
      </c>
      <c r="J635" s="10" t="str">
        <f t="shared" si="221"/>
        <v/>
      </c>
      <c r="K635" s="10" t="str">
        <f t="shared" si="216"/>
        <v/>
      </c>
      <c r="L635" s="75" t="str">
        <f t="shared" si="217"/>
        <v/>
      </c>
      <c r="M635" s="75"/>
      <c r="N635" s="247"/>
      <c r="O635" s="92"/>
      <c r="P635" s="69"/>
      <c r="Q635" s="87"/>
      <c r="R635" s="70">
        <f t="shared" si="218"/>
        <v>0</v>
      </c>
      <c r="S635" s="87"/>
      <c r="T635" s="237"/>
      <c r="U635" s="12"/>
    </row>
    <row r="636" spans="1:21" ht="15.75" customHeight="1" x14ac:dyDescent="0.2">
      <c r="A636" s="254"/>
      <c r="B636" s="276"/>
      <c r="C636" s="96"/>
      <c r="D636" s="90"/>
      <c r="E636" s="90"/>
      <c r="F636" s="65" t="str">
        <f t="shared" si="219"/>
        <v/>
      </c>
      <c r="G636" s="65"/>
      <c r="H636" s="65"/>
      <c r="I636" s="65" t="str">
        <f t="shared" si="220"/>
        <v/>
      </c>
      <c r="J636" s="65" t="str">
        <f t="shared" si="221"/>
        <v/>
      </c>
      <c r="K636" s="65" t="str">
        <f t="shared" si="216"/>
        <v/>
      </c>
      <c r="L636" s="68" t="str">
        <f t="shared" si="217"/>
        <v/>
      </c>
      <c r="M636" s="68"/>
      <c r="N636" s="247"/>
      <c r="O636" s="92"/>
      <c r="P636" s="69"/>
      <c r="Q636" s="87"/>
      <c r="R636" s="70">
        <f t="shared" si="218"/>
        <v>0</v>
      </c>
      <c r="S636" s="87"/>
      <c r="T636" s="237"/>
      <c r="U636" s="12"/>
    </row>
    <row r="637" spans="1:21" ht="15.75" customHeight="1" thickBot="1" x14ac:dyDescent="0.25">
      <c r="A637" s="254"/>
      <c r="B637" s="276"/>
      <c r="C637" s="95"/>
      <c r="D637" s="91"/>
      <c r="E637" s="91"/>
      <c r="F637" s="10" t="str">
        <f t="shared" si="219"/>
        <v/>
      </c>
      <c r="G637" s="10"/>
      <c r="H637" s="10"/>
      <c r="I637" s="10" t="str">
        <f t="shared" si="220"/>
        <v/>
      </c>
      <c r="J637" s="10" t="str">
        <f t="shared" si="221"/>
        <v/>
      </c>
      <c r="K637" s="10" t="str">
        <f t="shared" si="216"/>
        <v/>
      </c>
      <c r="L637" s="74" t="str">
        <f t="shared" si="217"/>
        <v/>
      </c>
      <c r="M637" s="74"/>
      <c r="N637" s="247"/>
      <c r="O637" s="12"/>
      <c r="P637" s="69"/>
      <c r="Q637" s="87"/>
      <c r="R637" s="70">
        <f t="shared" si="218"/>
        <v>0</v>
      </c>
      <c r="S637" s="87"/>
      <c r="T637" s="76" t="s">
        <v>31</v>
      </c>
      <c r="U637" s="12"/>
    </row>
    <row r="638" spans="1:21" ht="15.75" customHeight="1" x14ac:dyDescent="0.2">
      <c r="A638" s="254"/>
      <c r="B638" s="276"/>
      <c r="C638" s="96"/>
      <c r="D638" s="90"/>
      <c r="E638" s="90"/>
      <c r="F638" s="65" t="str">
        <f t="shared" si="219"/>
        <v/>
      </c>
      <c r="G638" s="65"/>
      <c r="H638" s="65"/>
      <c r="I638" s="65" t="str">
        <f t="shared" si="220"/>
        <v/>
      </c>
      <c r="J638" s="65" t="str">
        <f t="shared" si="221"/>
        <v/>
      </c>
      <c r="K638" s="65" t="str">
        <f t="shared" si="216"/>
        <v/>
      </c>
      <c r="L638" s="77" t="str">
        <f t="shared" si="217"/>
        <v/>
      </c>
      <c r="M638" s="77"/>
      <c r="N638" s="247"/>
      <c r="O638" s="12"/>
      <c r="P638" s="69"/>
      <c r="Q638" s="87"/>
      <c r="R638" s="70">
        <f t="shared" si="218"/>
        <v>0</v>
      </c>
      <c r="S638" s="87"/>
      <c r="T638" s="249">
        <f>IF(AND(NOT(N631=0)),T631/N631,0)</f>
        <v>0</v>
      </c>
      <c r="U638" s="12"/>
    </row>
    <row r="639" spans="1:21" ht="15.75" customHeight="1" x14ac:dyDescent="0.2">
      <c r="A639" s="254"/>
      <c r="B639" s="276"/>
      <c r="C639" s="95"/>
      <c r="D639" s="91"/>
      <c r="E639" s="91"/>
      <c r="F639" s="10" t="str">
        <f t="shared" si="219"/>
        <v/>
      </c>
      <c r="G639" s="10"/>
      <c r="H639" s="10"/>
      <c r="I639" s="10" t="str">
        <f t="shared" si="220"/>
        <v/>
      </c>
      <c r="J639" s="10" t="str">
        <f t="shared" si="221"/>
        <v/>
      </c>
      <c r="K639" s="10" t="str">
        <f t="shared" si="216"/>
        <v/>
      </c>
      <c r="L639" s="75" t="str">
        <f t="shared" si="217"/>
        <v/>
      </c>
      <c r="M639" s="75"/>
      <c r="N639" s="247"/>
      <c r="O639" s="12"/>
      <c r="P639" s="69"/>
      <c r="Q639" s="87"/>
      <c r="R639" s="70">
        <f t="shared" si="218"/>
        <v>0</v>
      </c>
      <c r="S639" s="87"/>
      <c r="T639" s="250"/>
      <c r="U639" s="12"/>
    </row>
    <row r="640" spans="1:21" ht="15.75" customHeight="1" thickBot="1" x14ac:dyDescent="0.25">
      <c r="A640" s="255"/>
      <c r="B640" s="277"/>
      <c r="C640" s="97"/>
      <c r="D640" s="94"/>
      <c r="E640" s="94"/>
      <c r="F640" s="80" t="str">
        <f t="shared" si="219"/>
        <v/>
      </c>
      <c r="G640" s="80"/>
      <c r="H640" s="80"/>
      <c r="I640" s="80" t="str">
        <f t="shared" si="220"/>
        <v/>
      </c>
      <c r="J640" s="80" t="str">
        <f t="shared" si="221"/>
        <v/>
      </c>
      <c r="K640" s="80" t="str">
        <f t="shared" si="216"/>
        <v/>
      </c>
      <c r="L640" s="83" t="str">
        <f t="shared" si="217"/>
        <v/>
      </c>
      <c r="M640" s="83"/>
      <c r="N640" s="248"/>
      <c r="O640" s="12"/>
      <c r="P640" s="84"/>
      <c r="Q640" s="12"/>
      <c r="R640" s="85">
        <f t="shared" si="218"/>
        <v>0</v>
      </c>
      <c r="S640" s="12"/>
      <c r="T640" s="251"/>
      <c r="U640" s="12"/>
    </row>
    <row r="641" spans="1:21" ht="15.75" customHeight="1" x14ac:dyDescent="0.2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3"/>
      <c r="S641" s="12"/>
      <c r="T641" s="14"/>
      <c r="U641" s="12"/>
    </row>
    <row r="642" spans="1:21" ht="15.75" customHeight="1" x14ac:dyDescent="0.2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3"/>
      <c r="S642" s="12"/>
      <c r="T642" s="14"/>
      <c r="U642" s="12"/>
    </row>
    <row r="643" spans="1:21" ht="15.75" customHeight="1" thickBot="1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3"/>
      <c r="S643" s="12"/>
      <c r="T643" s="14"/>
      <c r="U643" s="12"/>
    </row>
    <row r="644" spans="1:21" ht="15.75" customHeight="1" thickBot="1" x14ac:dyDescent="0.3">
      <c r="A644" s="102" t="s">
        <v>6</v>
      </c>
      <c r="B644" s="241" t="s">
        <v>21</v>
      </c>
      <c r="C644" s="51"/>
      <c r="D644" s="51" t="s">
        <v>9</v>
      </c>
      <c r="E644" s="51" t="s">
        <v>10</v>
      </c>
      <c r="F644" s="51" t="s">
        <v>11</v>
      </c>
      <c r="G644" s="51" t="s">
        <v>12</v>
      </c>
      <c r="H644" s="51" t="s">
        <v>13</v>
      </c>
      <c r="I644" s="51" t="s">
        <v>14</v>
      </c>
      <c r="J644" s="51" t="s">
        <v>15</v>
      </c>
      <c r="K644" s="51" t="s">
        <v>33</v>
      </c>
      <c r="L644" s="51" t="s">
        <v>16</v>
      </c>
      <c r="M644" s="51"/>
      <c r="N644" s="52" t="s">
        <v>17</v>
      </c>
      <c r="O644" s="88"/>
      <c r="P644" s="53" t="s">
        <v>18</v>
      </c>
      <c r="Q644" s="87"/>
      <c r="R644" s="54" t="s">
        <v>34</v>
      </c>
      <c r="S644" s="87"/>
      <c r="T644" s="56" t="s">
        <v>29</v>
      </c>
      <c r="U644" s="12"/>
    </row>
    <row r="645" spans="1:21" ht="15.75" customHeight="1" x14ac:dyDescent="0.2">
      <c r="A645" s="103"/>
      <c r="B645" s="242"/>
      <c r="C645" s="98"/>
      <c r="D645" s="58"/>
      <c r="E645" s="58"/>
      <c r="F645" s="58" t="str">
        <f>IF(AND(C645=""),"",1-C645)</f>
        <v/>
      </c>
      <c r="G645" s="58"/>
      <c r="H645" s="58"/>
      <c r="I645" s="58" t="str">
        <f>IF(AND(C645=""),"",G645*C645)</f>
        <v/>
      </c>
      <c r="J645" s="58" t="str">
        <f>IF(AND(C645=""),"",H645*F645)</f>
        <v/>
      </c>
      <c r="K645" s="58" t="str">
        <f t="shared" ref="K645:K654" si="222">IF(AND(I645=""),"",IF(AND(I645&gt;J645),"T1","T2"))</f>
        <v/>
      </c>
      <c r="L645" s="61" t="str">
        <f t="shared" ref="L645:L654" si="223">IF(AND(K645=""),"",IF(AND((J645*0.95-1)&lt;0,(I645*0.95-1)&lt;0),"NO BET", IF(AND(K645="T1"),I645*0.95 - 1,J645*0.95 - 1)))</f>
        <v/>
      </c>
      <c r="M645" s="61"/>
      <c r="N645" s="246">
        <f>SUMIF(L645:L654,"&gt;0")</f>
        <v>0</v>
      </c>
      <c r="O645" s="88"/>
      <c r="P645" s="62"/>
      <c r="Q645" s="88"/>
      <c r="R645" s="63">
        <f t="shared" ref="R645:R654" si="224">IF(OR(P645="",L645="NO BET"),0,IF(AND(K645=P645),IF(AND(K645="T2"),ROUNDUP(H645*0.95,2)-1,ROUNDUP(G645*0.95,2)-1),-1))</f>
        <v>0</v>
      </c>
      <c r="S645" s="87"/>
      <c r="T645" s="237">
        <f>SUM(R645:R654)</f>
        <v>0</v>
      </c>
      <c r="U645" s="12"/>
    </row>
    <row r="646" spans="1:21" ht="15.75" customHeight="1" x14ac:dyDescent="0.2">
      <c r="A646" s="254" t="s">
        <v>35</v>
      </c>
      <c r="B646" s="242"/>
      <c r="C646" s="96"/>
      <c r="D646" s="65"/>
      <c r="E646" s="111"/>
      <c r="F646" s="65" t="str">
        <f t="shared" ref="F646:F654" si="225">IF(AND(C646=""),"",1-C646)</f>
        <v/>
      </c>
      <c r="G646" s="65"/>
      <c r="H646" s="65"/>
      <c r="I646" s="65" t="str">
        <f t="shared" ref="I646:I654" si="226">IF(AND(C646=""),"",G646*C646)</f>
        <v/>
      </c>
      <c r="J646" s="65" t="str">
        <f t="shared" ref="J646:J654" si="227">IF(AND(C646=""),"",H646*F646)</f>
        <v/>
      </c>
      <c r="K646" s="65" t="str">
        <f t="shared" si="222"/>
        <v/>
      </c>
      <c r="L646" s="68" t="str">
        <f t="shared" si="223"/>
        <v/>
      </c>
      <c r="M646" s="68"/>
      <c r="N646" s="247"/>
      <c r="O646" s="12"/>
      <c r="P646" s="69"/>
      <c r="Q646" s="87"/>
      <c r="R646" s="70">
        <f t="shared" si="224"/>
        <v>0</v>
      </c>
      <c r="S646" s="87"/>
      <c r="T646" s="237"/>
      <c r="U646" s="12"/>
    </row>
    <row r="647" spans="1:21" ht="15.75" customHeight="1" x14ac:dyDescent="0.2">
      <c r="A647" s="254"/>
      <c r="B647" s="242"/>
      <c r="C647" s="95"/>
      <c r="D647" s="10"/>
      <c r="E647" s="10"/>
      <c r="F647" s="10" t="str">
        <f t="shared" si="225"/>
        <v/>
      </c>
      <c r="G647" s="10"/>
      <c r="H647" s="10"/>
      <c r="I647" s="10" t="str">
        <f t="shared" si="226"/>
        <v/>
      </c>
      <c r="J647" s="10" t="str">
        <f t="shared" si="227"/>
        <v/>
      </c>
      <c r="K647" s="10" t="str">
        <f t="shared" si="222"/>
        <v/>
      </c>
      <c r="L647" s="74" t="str">
        <f t="shared" si="223"/>
        <v/>
      </c>
      <c r="M647" s="74"/>
      <c r="N647" s="247"/>
      <c r="O647" s="88"/>
      <c r="P647" s="69"/>
      <c r="Q647" s="87"/>
      <c r="R647" s="70">
        <f t="shared" si="224"/>
        <v>0</v>
      </c>
      <c r="S647" s="87"/>
      <c r="T647" s="237"/>
      <c r="U647" s="12"/>
    </row>
    <row r="648" spans="1:21" ht="15.75" customHeight="1" x14ac:dyDescent="0.2">
      <c r="A648" s="254"/>
      <c r="B648" s="242"/>
      <c r="C648" s="96"/>
      <c r="D648" s="90"/>
      <c r="E648" s="111"/>
      <c r="F648" s="65" t="str">
        <f t="shared" si="225"/>
        <v/>
      </c>
      <c r="G648" s="65"/>
      <c r="H648" s="65"/>
      <c r="I648" s="65" t="str">
        <f t="shared" si="226"/>
        <v/>
      </c>
      <c r="J648" s="65" t="str">
        <f t="shared" si="227"/>
        <v/>
      </c>
      <c r="K648" s="65" t="str">
        <f t="shared" si="222"/>
        <v/>
      </c>
      <c r="L648" s="68" t="str">
        <f t="shared" si="223"/>
        <v/>
      </c>
      <c r="M648" s="68"/>
      <c r="N648" s="247"/>
      <c r="O648" s="92"/>
      <c r="P648" s="69"/>
      <c r="Q648" s="87"/>
      <c r="R648" s="70">
        <f t="shared" si="224"/>
        <v>0</v>
      </c>
      <c r="S648" s="87"/>
      <c r="T648" s="237"/>
      <c r="U648" s="12"/>
    </row>
    <row r="649" spans="1:21" ht="15.75" customHeight="1" x14ac:dyDescent="0.2">
      <c r="A649" s="254"/>
      <c r="B649" s="242"/>
      <c r="C649" s="95"/>
      <c r="D649" s="10"/>
      <c r="E649" s="91"/>
      <c r="F649" s="10" t="str">
        <f t="shared" si="225"/>
        <v/>
      </c>
      <c r="G649" s="10"/>
      <c r="H649" s="10"/>
      <c r="I649" s="10" t="str">
        <f t="shared" si="226"/>
        <v/>
      </c>
      <c r="J649" s="10" t="str">
        <f t="shared" si="227"/>
        <v/>
      </c>
      <c r="K649" s="10" t="str">
        <f t="shared" si="222"/>
        <v/>
      </c>
      <c r="L649" s="75" t="str">
        <f t="shared" si="223"/>
        <v/>
      </c>
      <c r="M649" s="75"/>
      <c r="N649" s="247"/>
      <c r="O649" s="92"/>
      <c r="P649" s="69"/>
      <c r="Q649" s="87"/>
      <c r="R649" s="70">
        <f t="shared" si="224"/>
        <v>0</v>
      </c>
      <c r="S649" s="87"/>
      <c r="T649" s="237"/>
      <c r="U649" s="12"/>
    </row>
    <row r="650" spans="1:21" ht="15.75" customHeight="1" x14ac:dyDescent="0.2">
      <c r="A650" s="254"/>
      <c r="B650" s="242"/>
      <c r="C650" s="96"/>
      <c r="D650" s="111"/>
      <c r="E650" s="65"/>
      <c r="F650" s="65" t="str">
        <f t="shared" si="225"/>
        <v/>
      </c>
      <c r="G650" s="65"/>
      <c r="H650" s="65"/>
      <c r="I650" s="65" t="str">
        <f t="shared" si="226"/>
        <v/>
      </c>
      <c r="J650" s="65" t="str">
        <f t="shared" si="227"/>
        <v/>
      </c>
      <c r="K650" s="65" t="str">
        <f t="shared" si="222"/>
        <v/>
      </c>
      <c r="L650" s="68" t="str">
        <f t="shared" si="223"/>
        <v/>
      </c>
      <c r="M650" s="68"/>
      <c r="N650" s="247"/>
      <c r="O650" s="92"/>
      <c r="P650" s="69"/>
      <c r="Q650" s="87"/>
      <c r="R650" s="70">
        <f t="shared" si="224"/>
        <v>0</v>
      </c>
      <c r="S650" s="87"/>
      <c r="T650" s="237"/>
      <c r="U650" s="12"/>
    </row>
    <row r="651" spans="1:21" ht="15.75" customHeight="1" thickBot="1" x14ac:dyDescent="0.25">
      <c r="A651" s="254"/>
      <c r="B651" s="242"/>
      <c r="C651" s="95"/>
      <c r="D651" s="10"/>
      <c r="E651" s="10"/>
      <c r="F651" s="10" t="str">
        <f t="shared" si="225"/>
        <v/>
      </c>
      <c r="G651" s="10"/>
      <c r="H651" s="10"/>
      <c r="I651" s="10" t="str">
        <f t="shared" si="226"/>
        <v/>
      </c>
      <c r="J651" s="10" t="str">
        <f t="shared" si="227"/>
        <v/>
      </c>
      <c r="K651" s="10" t="str">
        <f t="shared" si="222"/>
        <v/>
      </c>
      <c r="L651" s="74" t="str">
        <f t="shared" si="223"/>
        <v/>
      </c>
      <c r="M651" s="74"/>
      <c r="N651" s="247"/>
      <c r="O651" s="12"/>
      <c r="P651" s="69"/>
      <c r="Q651" s="87"/>
      <c r="R651" s="70">
        <f t="shared" si="224"/>
        <v>0</v>
      </c>
      <c r="S651" s="87"/>
      <c r="T651" s="76" t="s">
        <v>31</v>
      </c>
      <c r="U651" s="12"/>
    </row>
    <row r="652" spans="1:21" ht="15.75" customHeight="1" x14ac:dyDescent="0.2">
      <c r="A652" s="254"/>
      <c r="B652" s="242"/>
      <c r="C652" s="96"/>
      <c r="D652" s="65"/>
      <c r="E652" s="65"/>
      <c r="F652" s="65" t="str">
        <f t="shared" si="225"/>
        <v/>
      </c>
      <c r="G652" s="65"/>
      <c r="H652" s="65"/>
      <c r="I652" s="65" t="str">
        <f t="shared" si="226"/>
        <v/>
      </c>
      <c r="J652" s="65" t="str">
        <f t="shared" si="227"/>
        <v/>
      </c>
      <c r="K652" s="65" t="str">
        <f t="shared" si="222"/>
        <v/>
      </c>
      <c r="L652" s="77" t="str">
        <f t="shared" si="223"/>
        <v/>
      </c>
      <c r="M652" s="77"/>
      <c r="N652" s="247"/>
      <c r="O652" s="12"/>
      <c r="P652" s="69"/>
      <c r="Q652" s="87"/>
      <c r="R652" s="70">
        <f t="shared" si="224"/>
        <v>0</v>
      </c>
      <c r="S652" s="87"/>
      <c r="T652" s="249">
        <f>IF(AND(NOT(N645=0)),T645/N645,0)</f>
        <v>0</v>
      </c>
      <c r="U652" s="12"/>
    </row>
    <row r="653" spans="1:21" ht="15.75" customHeight="1" x14ac:dyDescent="0.2">
      <c r="A653" s="254"/>
      <c r="B653" s="242"/>
      <c r="C653" s="95"/>
      <c r="D653" s="10"/>
      <c r="E653" s="10"/>
      <c r="F653" s="10" t="str">
        <f t="shared" si="225"/>
        <v/>
      </c>
      <c r="G653" s="10"/>
      <c r="H653" s="10"/>
      <c r="I653" s="10" t="str">
        <f t="shared" si="226"/>
        <v/>
      </c>
      <c r="J653" s="10" t="str">
        <f t="shared" si="227"/>
        <v/>
      </c>
      <c r="K653" s="10" t="str">
        <f t="shared" si="222"/>
        <v/>
      </c>
      <c r="L653" s="75" t="str">
        <f t="shared" si="223"/>
        <v/>
      </c>
      <c r="M653" s="75"/>
      <c r="N653" s="247"/>
      <c r="O653" s="12"/>
      <c r="P653" s="69"/>
      <c r="Q653" s="87"/>
      <c r="R653" s="70">
        <f t="shared" si="224"/>
        <v>0</v>
      </c>
      <c r="S653" s="87"/>
      <c r="T653" s="250"/>
      <c r="U653" s="12"/>
    </row>
    <row r="654" spans="1:21" ht="15.75" customHeight="1" thickBot="1" x14ac:dyDescent="0.25">
      <c r="A654" s="255"/>
      <c r="B654" s="243"/>
      <c r="C654" s="97"/>
      <c r="D654" s="80"/>
      <c r="E654" s="80"/>
      <c r="F654" s="80" t="str">
        <f t="shared" si="225"/>
        <v/>
      </c>
      <c r="G654" s="80"/>
      <c r="H654" s="80"/>
      <c r="I654" s="80" t="str">
        <f t="shared" si="226"/>
        <v/>
      </c>
      <c r="J654" s="80" t="str">
        <f t="shared" si="227"/>
        <v/>
      </c>
      <c r="K654" s="80" t="str">
        <f t="shared" si="222"/>
        <v/>
      </c>
      <c r="L654" s="83" t="str">
        <f t="shared" si="223"/>
        <v/>
      </c>
      <c r="M654" s="83"/>
      <c r="N654" s="248"/>
      <c r="O654" s="12"/>
      <c r="P654" s="84"/>
      <c r="Q654" s="12"/>
      <c r="R654" s="85">
        <f t="shared" si="224"/>
        <v>0</v>
      </c>
      <c r="S654" s="12"/>
      <c r="T654" s="251"/>
      <c r="U654" s="12"/>
    </row>
    <row r="655" spans="1:21" ht="15.75" customHeight="1" x14ac:dyDescent="0.2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3"/>
      <c r="S655" s="12"/>
      <c r="T655" s="14"/>
      <c r="U655" s="12"/>
    </row>
    <row r="656" spans="1:21" ht="15.75" customHeight="1" x14ac:dyDescent="0.2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3"/>
      <c r="S656" s="12"/>
      <c r="T656" s="14"/>
      <c r="U656" s="12"/>
    </row>
    <row r="657" spans="1:21" ht="15.75" customHeight="1" thickBot="1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3"/>
      <c r="S657" s="12"/>
      <c r="T657" s="14"/>
      <c r="U657" s="12"/>
    </row>
    <row r="658" spans="1:21" ht="15.75" customHeight="1" thickBot="1" x14ac:dyDescent="0.3">
      <c r="A658" s="102" t="s">
        <v>6</v>
      </c>
      <c r="B658" s="241" t="s">
        <v>22</v>
      </c>
      <c r="C658" s="51"/>
      <c r="D658" s="51" t="s">
        <v>9</v>
      </c>
      <c r="E658" s="51" t="s">
        <v>10</v>
      </c>
      <c r="F658" s="51" t="s">
        <v>11</v>
      </c>
      <c r="G658" s="51" t="s">
        <v>12</v>
      </c>
      <c r="H658" s="51" t="s">
        <v>13</v>
      </c>
      <c r="I658" s="51" t="s">
        <v>14</v>
      </c>
      <c r="J658" s="51" t="s">
        <v>15</v>
      </c>
      <c r="K658" s="51" t="s">
        <v>33</v>
      </c>
      <c r="L658" s="51" t="s">
        <v>16</v>
      </c>
      <c r="M658" s="51"/>
      <c r="N658" s="52" t="s">
        <v>17</v>
      </c>
      <c r="O658" s="88"/>
      <c r="P658" s="53" t="s">
        <v>18</v>
      </c>
      <c r="Q658" s="87"/>
      <c r="R658" s="54" t="s">
        <v>34</v>
      </c>
      <c r="S658" s="87"/>
      <c r="T658" s="56" t="s">
        <v>29</v>
      </c>
      <c r="U658" s="12"/>
    </row>
    <row r="659" spans="1:21" ht="15.75" customHeight="1" x14ac:dyDescent="0.2">
      <c r="A659" s="103"/>
      <c r="B659" s="242"/>
      <c r="C659" s="98"/>
      <c r="D659" s="58" t="s">
        <v>48</v>
      </c>
      <c r="E659" s="58" t="s">
        <v>45</v>
      </c>
      <c r="F659" s="58" t="str">
        <f>IF(AND(C659=""),"",1-C659)</f>
        <v/>
      </c>
      <c r="G659" s="58"/>
      <c r="H659" s="58"/>
      <c r="I659" s="58" t="str">
        <f>IF(AND(C659=""),"",G659*C659)</f>
        <v/>
      </c>
      <c r="J659" s="58" t="str">
        <f>IF(AND(C659=""),"",H659*F659)</f>
        <v/>
      </c>
      <c r="K659" s="58" t="str">
        <f t="shared" ref="K659:K668" si="228">IF(AND(I659=""),"",IF(AND(I659&gt;J659),"T1","T2"))</f>
        <v/>
      </c>
      <c r="L659" s="61" t="str">
        <f t="shared" ref="L659:L668" si="229">IF(AND(K659=""),"",IF(AND((J659*0.95-1)&lt;0,(I659*0.95-1)&lt;0),"NO BET", IF(AND(K659="T1"),I659*0.95 - 1,J659*0.95 - 1)))</f>
        <v/>
      </c>
      <c r="M659" s="61"/>
      <c r="N659" s="246">
        <f>SUMIF(L659:L668,"&gt;0")</f>
        <v>0</v>
      </c>
      <c r="O659" s="88"/>
      <c r="P659" s="62"/>
      <c r="Q659" s="88"/>
      <c r="R659" s="63">
        <f t="shared" ref="R659:R668" si="230">IF(OR(P659="",L659="NO BET"),0,IF(AND(K659=P659),IF(AND(K659="T2"),ROUNDUP(H659*0.95,2)-1,ROUNDUP(G659*0.95,2)-1),-1))</f>
        <v>0</v>
      </c>
      <c r="S659" s="87"/>
      <c r="T659" s="237">
        <f>SUM(R659:R668)</f>
        <v>0</v>
      </c>
      <c r="U659" s="12"/>
    </row>
    <row r="660" spans="1:21" ht="15.75" customHeight="1" x14ac:dyDescent="0.2">
      <c r="A660" s="254" t="s">
        <v>35</v>
      </c>
      <c r="B660" s="242"/>
      <c r="C660" s="96"/>
      <c r="D660" s="65" t="s">
        <v>47</v>
      </c>
      <c r="E660" s="65" t="s">
        <v>46</v>
      </c>
      <c r="F660" s="65" t="str">
        <f t="shared" ref="F660:F668" si="231">IF(AND(C660=""),"",1-C660)</f>
        <v/>
      </c>
      <c r="G660" s="65"/>
      <c r="H660" s="65"/>
      <c r="I660" s="65" t="str">
        <f t="shared" ref="I660:I668" si="232">IF(AND(C660=""),"",G660*C660)</f>
        <v/>
      </c>
      <c r="J660" s="65" t="str">
        <f t="shared" ref="J660:J668" si="233">IF(AND(C660=""),"",H660*F660)</f>
        <v/>
      </c>
      <c r="K660" s="65" t="str">
        <f t="shared" si="228"/>
        <v/>
      </c>
      <c r="L660" s="68" t="str">
        <f t="shared" si="229"/>
        <v/>
      </c>
      <c r="M660" s="68"/>
      <c r="N660" s="247"/>
      <c r="O660" s="12"/>
      <c r="P660" s="69"/>
      <c r="Q660" s="87"/>
      <c r="R660" s="70">
        <f t="shared" si="230"/>
        <v>0</v>
      </c>
      <c r="S660" s="87"/>
      <c r="T660" s="237"/>
      <c r="U660" s="12"/>
    </row>
    <row r="661" spans="1:21" ht="15.75" customHeight="1" x14ac:dyDescent="0.2">
      <c r="A661" s="254"/>
      <c r="B661" s="242"/>
      <c r="C661" s="95"/>
      <c r="D661" s="10"/>
      <c r="E661" s="10"/>
      <c r="F661" s="10" t="str">
        <f t="shared" si="231"/>
        <v/>
      </c>
      <c r="G661" s="10"/>
      <c r="H661" s="10"/>
      <c r="I661" s="10" t="str">
        <f t="shared" si="232"/>
        <v/>
      </c>
      <c r="J661" s="10" t="str">
        <f t="shared" si="233"/>
        <v/>
      </c>
      <c r="K661" s="10" t="str">
        <f t="shared" si="228"/>
        <v/>
      </c>
      <c r="L661" s="74" t="str">
        <f t="shared" si="229"/>
        <v/>
      </c>
      <c r="M661" s="74"/>
      <c r="N661" s="247"/>
      <c r="O661" s="88"/>
      <c r="P661" s="69"/>
      <c r="Q661" s="87"/>
      <c r="R661" s="70">
        <f t="shared" si="230"/>
        <v>0</v>
      </c>
      <c r="S661" s="87"/>
      <c r="T661" s="237"/>
      <c r="U661" s="12"/>
    </row>
    <row r="662" spans="1:21" ht="15.75" customHeight="1" x14ac:dyDescent="0.2">
      <c r="A662" s="254"/>
      <c r="B662" s="242"/>
      <c r="C662" s="96"/>
      <c r="D662" s="65"/>
      <c r="E662" s="65"/>
      <c r="F662" s="65" t="str">
        <f t="shared" si="231"/>
        <v/>
      </c>
      <c r="G662" s="65"/>
      <c r="H662" s="65"/>
      <c r="I662" s="65" t="str">
        <f t="shared" si="232"/>
        <v/>
      </c>
      <c r="J662" s="65" t="str">
        <f t="shared" si="233"/>
        <v/>
      </c>
      <c r="K662" s="65" t="str">
        <f t="shared" si="228"/>
        <v/>
      </c>
      <c r="L662" s="68" t="str">
        <f t="shared" si="229"/>
        <v/>
      </c>
      <c r="M662" s="68"/>
      <c r="N662" s="247"/>
      <c r="O662" s="92"/>
      <c r="P662" s="69"/>
      <c r="Q662" s="87"/>
      <c r="R662" s="70">
        <f t="shared" si="230"/>
        <v>0</v>
      </c>
      <c r="S662" s="87"/>
      <c r="T662" s="237"/>
      <c r="U662" s="12"/>
    </row>
    <row r="663" spans="1:21" ht="15.75" customHeight="1" x14ac:dyDescent="0.2">
      <c r="A663" s="254"/>
      <c r="B663" s="242"/>
      <c r="C663" s="95"/>
      <c r="D663" s="10"/>
      <c r="E663" s="10"/>
      <c r="F663" s="10" t="str">
        <f t="shared" si="231"/>
        <v/>
      </c>
      <c r="G663" s="10"/>
      <c r="H663" s="10"/>
      <c r="I663" s="10" t="str">
        <f t="shared" si="232"/>
        <v/>
      </c>
      <c r="J663" s="10" t="str">
        <f t="shared" si="233"/>
        <v/>
      </c>
      <c r="K663" s="10" t="str">
        <f t="shared" si="228"/>
        <v/>
      </c>
      <c r="L663" s="75" t="str">
        <f t="shared" si="229"/>
        <v/>
      </c>
      <c r="M663" s="75"/>
      <c r="N663" s="247"/>
      <c r="O663" s="92"/>
      <c r="P663" s="69"/>
      <c r="Q663" s="87"/>
      <c r="R663" s="70">
        <f t="shared" si="230"/>
        <v>0</v>
      </c>
      <c r="S663" s="87"/>
      <c r="T663" s="237"/>
      <c r="U663" s="12"/>
    </row>
    <row r="664" spans="1:21" ht="15.75" customHeight="1" x14ac:dyDescent="0.2">
      <c r="A664" s="254"/>
      <c r="B664" s="242"/>
      <c r="C664" s="96"/>
      <c r="D664" s="65"/>
      <c r="E664" s="65"/>
      <c r="F664" s="65" t="str">
        <f t="shared" si="231"/>
        <v/>
      </c>
      <c r="G664" s="65"/>
      <c r="H664" s="65"/>
      <c r="I664" s="65" t="str">
        <f t="shared" si="232"/>
        <v/>
      </c>
      <c r="J664" s="65" t="str">
        <f t="shared" si="233"/>
        <v/>
      </c>
      <c r="K664" s="65" t="str">
        <f t="shared" si="228"/>
        <v/>
      </c>
      <c r="L664" s="68" t="str">
        <f t="shared" si="229"/>
        <v/>
      </c>
      <c r="M664" s="68"/>
      <c r="N664" s="247"/>
      <c r="O664" s="92"/>
      <c r="P664" s="69"/>
      <c r="Q664" s="87"/>
      <c r="R664" s="70">
        <f t="shared" si="230"/>
        <v>0</v>
      </c>
      <c r="S664" s="87"/>
      <c r="T664" s="237"/>
      <c r="U664" s="12"/>
    </row>
    <row r="665" spans="1:21" ht="15.75" customHeight="1" thickBot="1" x14ac:dyDescent="0.25">
      <c r="A665" s="254"/>
      <c r="B665" s="242"/>
      <c r="C665" s="95"/>
      <c r="D665" s="10"/>
      <c r="E665" s="10"/>
      <c r="F665" s="10" t="str">
        <f t="shared" si="231"/>
        <v/>
      </c>
      <c r="G665" s="10"/>
      <c r="H665" s="10"/>
      <c r="I665" s="10" t="str">
        <f t="shared" si="232"/>
        <v/>
      </c>
      <c r="J665" s="10" t="str">
        <f t="shared" si="233"/>
        <v/>
      </c>
      <c r="K665" s="10" t="str">
        <f t="shared" si="228"/>
        <v/>
      </c>
      <c r="L665" s="74" t="str">
        <f t="shared" si="229"/>
        <v/>
      </c>
      <c r="M665" s="74"/>
      <c r="N665" s="247"/>
      <c r="O665" s="12"/>
      <c r="P665" s="69"/>
      <c r="Q665" s="87"/>
      <c r="R665" s="70">
        <f t="shared" si="230"/>
        <v>0</v>
      </c>
      <c r="S665" s="87"/>
      <c r="T665" s="76" t="s">
        <v>31</v>
      </c>
      <c r="U665" s="12"/>
    </row>
    <row r="666" spans="1:21" ht="15.75" customHeight="1" x14ac:dyDescent="0.2">
      <c r="A666" s="254"/>
      <c r="B666" s="242"/>
      <c r="C666" s="96"/>
      <c r="D666" s="65"/>
      <c r="E666" s="65"/>
      <c r="F666" s="65" t="str">
        <f t="shared" si="231"/>
        <v/>
      </c>
      <c r="G666" s="65"/>
      <c r="H666" s="65"/>
      <c r="I666" s="65" t="str">
        <f t="shared" si="232"/>
        <v/>
      </c>
      <c r="J666" s="65" t="str">
        <f t="shared" si="233"/>
        <v/>
      </c>
      <c r="K666" s="65" t="str">
        <f t="shared" si="228"/>
        <v/>
      </c>
      <c r="L666" s="77" t="str">
        <f t="shared" si="229"/>
        <v/>
      </c>
      <c r="M666" s="77"/>
      <c r="N666" s="247"/>
      <c r="O666" s="12"/>
      <c r="P666" s="69"/>
      <c r="Q666" s="87"/>
      <c r="R666" s="70">
        <f t="shared" si="230"/>
        <v>0</v>
      </c>
      <c r="S666" s="87"/>
      <c r="T666" s="249">
        <f>IF(AND(NOT(N659=0)),T659/N659,0)</f>
        <v>0</v>
      </c>
      <c r="U666" s="12"/>
    </row>
    <row r="667" spans="1:21" ht="15.75" customHeight="1" x14ac:dyDescent="0.2">
      <c r="A667" s="254"/>
      <c r="B667" s="242"/>
      <c r="C667" s="95"/>
      <c r="D667" s="10"/>
      <c r="E667" s="10"/>
      <c r="F667" s="10" t="str">
        <f t="shared" si="231"/>
        <v/>
      </c>
      <c r="G667" s="10"/>
      <c r="H667" s="10"/>
      <c r="I667" s="10" t="str">
        <f t="shared" si="232"/>
        <v/>
      </c>
      <c r="J667" s="10" t="str">
        <f t="shared" si="233"/>
        <v/>
      </c>
      <c r="K667" s="10" t="str">
        <f t="shared" si="228"/>
        <v/>
      </c>
      <c r="L667" s="75" t="str">
        <f t="shared" si="229"/>
        <v/>
      </c>
      <c r="M667" s="75"/>
      <c r="N667" s="247"/>
      <c r="O667" s="12"/>
      <c r="P667" s="69"/>
      <c r="Q667" s="87"/>
      <c r="R667" s="70">
        <f t="shared" si="230"/>
        <v>0</v>
      </c>
      <c r="S667" s="87"/>
      <c r="T667" s="250"/>
      <c r="U667" s="12"/>
    </row>
    <row r="668" spans="1:21" ht="15.75" customHeight="1" thickBot="1" x14ac:dyDescent="0.25">
      <c r="A668" s="255"/>
      <c r="B668" s="243"/>
      <c r="C668" s="97"/>
      <c r="D668" s="80"/>
      <c r="E668" s="80"/>
      <c r="F668" s="80" t="str">
        <f t="shared" si="231"/>
        <v/>
      </c>
      <c r="G668" s="80"/>
      <c r="H668" s="80"/>
      <c r="I668" s="80" t="str">
        <f t="shared" si="232"/>
        <v/>
      </c>
      <c r="J668" s="80" t="str">
        <f t="shared" si="233"/>
        <v/>
      </c>
      <c r="K668" s="80" t="str">
        <f t="shared" si="228"/>
        <v/>
      </c>
      <c r="L668" s="83" t="str">
        <f t="shared" si="229"/>
        <v/>
      </c>
      <c r="M668" s="83"/>
      <c r="N668" s="248"/>
      <c r="O668" s="12"/>
      <c r="P668" s="84"/>
      <c r="Q668" s="12"/>
      <c r="R668" s="85">
        <f t="shared" si="230"/>
        <v>0</v>
      </c>
      <c r="S668" s="12"/>
      <c r="T668" s="251"/>
      <c r="U668" s="12"/>
    </row>
    <row r="669" spans="1:21" ht="15.75" customHeight="1" x14ac:dyDescent="0.2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3"/>
      <c r="S669" s="12"/>
      <c r="T669" s="14"/>
      <c r="U669" s="12"/>
    </row>
    <row r="670" spans="1:21" ht="15.75" customHeight="1" x14ac:dyDescent="0.2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3"/>
      <c r="S670" s="12"/>
      <c r="T670" s="14"/>
      <c r="U670" s="12"/>
    </row>
    <row r="671" spans="1:21" ht="15.75" customHeight="1" thickBot="1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3"/>
      <c r="S671" s="12"/>
      <c r="T671" s="14"/>
      <c r="U671" s="12"/>
    </row>
    <row r="672" spans="1:21" ht="15.75" customHeight="1" thickBot="1" x14ac:dyDescent="0.3">
      <c r="A672" s="102" t="s">
        <v>6</v>
      </c>
      <c r="B672" s="241" t="s">
        <v>23</v>
      </c>
      <c r="C672" s="51"/>
      <c r="D672" s="51" t="s">
        <v>9</v>
      </c>
      <c r="E672" s="51" t="s">
        <v>10</v>
      </c>
      <c r="F672" s="51" t="s">
        <v>11</v>
      </c>
      <c r="G672" s="51" t="s">
        <v>12</v>
      </c>
      <c r="H672" s="51" t="s">
        <v>13</v>
      </c>
      <c r="I672" s="51" t="s">
        <v>14</v>
      </c>
      <c r="J672" s="51" t="s">
        <v>15</v>
      </c>
      <c r="K672" s="51" t="s">
        <v>33</v>
      </c>
      <c r="L672" s="51" t="s">
        <v>16</v>
      </c>
      <c r="M672" s="51"/>
      <c r="N672" s="52" t="s">
        <v>17</v>
      </c>
      <c r="O672" s="88"/>
      <c r="P672" s="53" t="s">
        <v>18</v>
      </c>
      <c r="Q672" s="87"/>
      <c r="R672" s="54" t="s">
        <v>34</v>
      </c>
      <c r="S672" s="87"/>
      <c r="T672" s="56" t="s">
        <v>29</v>
      </c>
      <c r="U672" s="12"/>
    </row>
    <row r="673" spans="1:21" ht="15.75" customHeight="1" x14ac:dyDescent="0.2">
      <c r="A673" s="103"/>
      <c r="B673" s="242"/>
      <c r="C673" s="98"/>
      <c r="D673" s="58"/>
      <c r="E673" s="58"/>
      <c r="F673" s="58"/>
      <c r="G673" s="58"/>
      <c r="H673" s="58"/>
      <c r="I673" s="58"/>
      <c r="J673" s="58"/>
      <c r="K673" s="58"/>
      <c r="L673" s="61"/>
      <c r="M673" s="61"/>
      <c r="N673" s="246">
        <f>SUMIF(L687:L696,"&gt;0")</f>
        <v>0</v>
      </c>
      <c r="O673" s="88"/>
      <c r="P673" s="62"/>
      <c r="Q673" s="88"/>
      <c r="R673" s="63">
        <f t="shared" ref="R673:R682" si="234">IF(OR(P673="",L687="NO BET"),0,IF(AND(K687=P673),IF(AND(K687="T2"),ROUNDUP(H687*0.95,2)-1,ROUNDUP(G687*0.95,2)-1),-1))</f>
        <v>0</v>
      </c>
      <c r="S673" s="87"/>
      <c r="T673" s="237">
        <f>SUM(R673:R682)</f>
        <v>0</v>
      </c>
      <c r="U673" s="12"/>
    </row>
    <row r="674" spans="1:21" ht="15.75" customHeight="1" x14ac:dyDescent="0.2">
      <c r="A674" s="254" t="s">
        <v>35</v>
      </c>
      <c r="B674" s="242"/>
      <c r="C674" s="96"/>
      <c r="D674" s="65"/>
      <c r="E674" s="65"/>
      <c r="F674" s="65"/>
      <c r="G674" s="65"/>
      <c r="H674" s="65"/>
      <c r="I674" s="65"/>
      <c r="J674" s="65"/>
      <c r="K674" s="65"/>
      <c r="L674" s="68"/>
      <c r="M674" s="68"/>
      <c r="N674" s="247"/>
      <c r="O674" s="12"/>
      <c r="P674" s="69"/>
      <c r="Q674" s="87"/>
      <c r="R674" s="70">
        <f t="shared" si="234"/>
        <v>0</v>
      </c>
      <c r="S674" s="87"/>
      <c r="T674" s="237"/>
      <c r="U674" s="12"/>
    </row>
    <row r="675" spans="1:21" ht="15.75" customHeight="1" x14ac:dyDescent="0.2">
      <c r="A675" s="254"/>
      <c r="B675" s="242"/>
      <c r="C675" s="95"/>
      <c r="D675" s="10"/>
      <c r="E675" s="10"/>
      <c r="F675" s="10"/>
      <c r="G675" s="10"/>
      <c r="H675" s="10"/>
      <c r="I675" s="10"/>
      <c r="J675" s="10"/>
      <c r="K675" s="10"/>
      <c r="L675" s="74"/>
      <c r="M675" s="74"/>
      <c r="N675" s="247"/>
      <c r="O675" s="88"/>
      <c r="P675" s="69"/>
      <c r="Q675" s="87"/>
      <c r="R675" s="70">
        <f t="shared" si="234"/>
        <v>0</v>
      </c>
      <c r="S675" s="87"/>
      <c r="T675" s="237"/>
      <c r="U675" s="12"/>
    </row>
    <row r="676" spans="1:21" ht="15.75" customHeight="1" x14ac:dyDescent="0.2">
      <c r="A676" s="254"/>
      <c r="B676" s="242"/>
      <c r="C676" s="96"/>
      <c r="D676" s="65"/>
      <c r="E676" s="65"/>
      <c r="F676" s="65"/>
      <c r="G676" s="65"/>
      <c r="H676" s="65"/>
      <c r="I676" s="65"/>
      <c r="J676" s="65"/>
      <c r="K676" s="65"/>
      <c r="L676" s="68"/>
      <c r="M676" s="68"/>
      <c r="N676" s="247"/>
      <c r="O676" s="92"/>
      <c r="P676" s="69"/>
      <c r="Q676" s="87"/>
      <c r="R676" s="70">
        <f t="shared" si="234"/>
        <v>0</v>
      </c>
      <c r="S676" s="87"/>
      <c r="T676" s="237"/>
      <c r="U676" s="12"/>
    </row>
    <row r="677" spans="1:21" ht="15.75" customHeight="1" x14ac:dyDescent="0.2">
      <c r="A677" s="254"/>
      <c r="B677" s="242"/>
      <c r="C677" s="95"/>
      <c r="D677" s="10"/>
      <c r="E677" s="10"/>
      <c r="F677" s="10"/>
      <c r="G677" s="10"/>
      <c r="H677" s="10"/>
      <c r="I677" s="10"/>
      <c r="J677" s="10"/>
      <c r="K677" s="10"/>
      <c r="L677" s="75"/>
      <c r="M677" s="75"/>
      <c r="N677" s="247"/>
      <c r="O677" s="92"/>
      <c r="P677" s="69"/>
      <c r="Q677" s="87"/>
      <c r="R677" s="70">
        <f t="shared" si="234"/>
        <v>0</v>
      </c>
      <c r="S677" s="87"/>
      <c r="T677" s="237"/>
      <c r="U677" s="12"/>
    </row>
    <row r="678" spans="1:21" ht="15.75" customHeight="1" x14ac:dyDescent="0.2">
      <c r="A678" s="254"/>
      <c r="B678" s="242"/>
      <c r="C678" s="96"/>
      <c r="D678" s="65"/>
      <c r="E678" s="65"/>
      <c r="F678" s="65"/>
      <c r="G678" s="65"/>
      <c r="H678" s="65"/>
      <c r="I678" s="65"/>
      <c r="J678" s="65"/>
      <c r="K678" s="65"/>
      <c r="L678" s="68"/>
      <c r="M678" s="68"/>
      <c r="N678" s="247"/>
      <c r="O678" s="92"/>
      <c r="P678" s="69"/>
      <c r="Q678" s="87"/>
      <c r="R678" s="70">
        <f t="shared" si="234"/>
        <v>0</v>
      </c>
      <c r="S678" s="87"/>
      <c r="T678" s="237"/>
      <c r="U678" s="12"/>
    </row>
    <row r="679" spans="1:21" ht="15.75" customHeight="1" thickBot="1" x14ac:dyDescent="0.25">
      <c r="A679" s="254"/>
      <c r="B679" s="242"/>
      <c r="C679" s="95"/>
      <c r="D679" s="10"/>
      <c r="E679" s="10"/>
      <c r="F679" s="10"/>
      <c r="G679" s="10"/>
      <c r="H679" s="10"/>
      <c r="I679" s="10"/>
      <c r="J679" s="10"/>
      <c r="K679" s="10"/>
      <c r="L679" s="74"/>
      <c r="M679" s="74"/>
      <c r="N679" s="247"/>
      <c r="O679" s="12"/>
      <c r="P679" s="69"/>
      <c r="Q679" s="87"/>
      <c r="R679" s="70">
        <f t="shared" si="234"/>
        <v>0</v>
      </c>
      <c r="S679" s="87"/>
      <c r="T679" s="76" t="s">
        <v>31</v>
      </c>
      <c r="U679" s="12"/>
    </row>
    <row r="680" spans="1:21" ht="15.75" customHeight="1" x14ac:dyDescent="0.2">
      <c r="A680" s="254"/>
      <c r="B680" s="242"/>
      <c r="C680" s="96"/>
      <c r="D680" s="65"/>
      <c r="E680" s="65"/>
      <c r="F680" s="65"/>
      <c r="G680" s="65"/>
      <c r="H680" s="65"/>
      <c r="I680" s="65"/>
      <c r="J680" s="65"/>
      <c r="K680" s="65"/>
      <c r="L680" s="77"/>
      <c r="M680" s="77"/>
      <c r="N680" s="247"/>
      <c r="O680" s="12"/>
      <c r="P680" s="69"/>
      <c r="Q680" s="87"/>
      <c r="R680" s="70">
        <f t="shared" si="234"/>
        <v>0</v>
      </c>
      <c r="S680" s="87"/>
      <c r="T680" s="249">
        <f>IF(AND(NOT(N673=0)),T673/N673,0)</f>
        <v>0</v>
      </c>
      <c r="U680" s="12"/>
    </row>
    <row r="681" spans="1:21" ht="15.75" customHeight="1" x14ac:dyDescent="0.2">
      <c r="A681" s="254"/>
      <c r="B681" s="242"/>
      <c r="C681" s="95"/>
      <c r="D681" s="10"/>
      <c r="E681" s="10"/>
      <c r="F681" s="10"/>
      <c r="G681" s="10"/>
      <c r="H681" s="10"/>
      <c r="I681" s="10"/>
      <c r="J681" s="10"/>
      <c r="K681" s="10"/>
      <c r="L681" s="75"/>
      <c r="M681" s="75"/>
      <c r="N681" s="247"/>
      <c r="O681" s="12"/>
      <c r="P681" s="69"/>
      <c r="Q681" s="87"/>
      <c r="R681" s="70">
        <f t="shared" si="234"/>
        <v>0</v>
      </c>
      <c r="S681" s="87"/>
      <c r="T681" s="250"/>
      <c r="U681" s="12"/>
    </row>
    <row r="682" spans="1:21" ht="15.75" customHeight="1" thickBot="1" x14ac:dyDescent="0.25">
      <c r="A682" s="255"/>
      <c r="B682" s="243"/>
      <c r="C682" s="97"/>
      <c r="D682" s="80"/>
      <c r="E682" s="80"/>
      <c r="F682" s="80"/>
      <c r="G682" s="80"/>
      <c r="H682" s="80"/>
      <c r="I682" s="80"/>
      <c r="J682" s="80"/>
      <c r="K682" s="80"/>
      <c r="L682" s="83"/>
      <c r="M682" s="83"/>
      <c r="N682" s="248"/>
      <c r="O682" s="12"/>
      <c r="P682" s="84"/>
      <c r="Q682" s="12"/>
      <c r="R682" s="85">
        <f t="shared" si="234"/>
        <v>0</v>
      </c>
      <c r="S682" s="12"/>
      <c r="T682" s="251"/>
      <c r="U682" s="12"/>
    </row>
    <row r="683" spans="1:21" ht="15.75" customHeight="1" x14ac:dyDescent="0.2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3"/>
      <c r="S683" s="12"/>
      <c r="T683" s="14"/>
      <c r="U683" s="12"/>
    </row>
    <row r="684" spans="1:21" ht="15.75" customHeight="1" x14ac:dyDescent="0.2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3"/>
      <c r="S684" s="12"/>
      <c r="T684" s="14"/>
      <c r="U684" s="12"/>
    </row>
    <row r="685" spans="1:21" ht="15.75" customHeight="1" thickBot="1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3"/>
      <c r="S685" s="12"/>
      <c r="T685" s="14"/>
      <c r="U685" s="12"/>
    </row>
    <row r="686" spans="1:21" ht="15.75" customHeight="1" thickBot="1" x14ac:dyDescent="0.3">
      <c r="A686" s="102" t="s">
        <v>6</v>
      </c>
      <c r="B686" s="241" t="s">
        <v>24</v>
      </c>
      <c r="C686" s="51"/>
      <c r="D686" s="51" t="s">
        <v>9</v>
      </c>
      <c r="E686" s="51" t="s">
        <v>10</v>
      </c>
      <c r="F686" s="51" t="s">
        <v>11</v>
      </c>
      <c r="G686" s="51" t="s">
        <v>12</v>
      </c>
      <c r="H686" s="51" t="s">
        <v>13</v>
      </c>
      <c r="I686" s="51" t="s">
        <v>14</v>
      </c>
      <c r="J686" s="51" t="s">
        <v>15</v>
      </c>
      <c r="K686" s="51" t="s">
        <v>33</v>
      </c>
      <c r="L686" s="51" t="s">
        <v>16</v>
      </c>
      <c r="M686" s="51"/>
      <c r="N686" s="52" t="s">
        <v>17</v>
      </c>
      <c r="O686" s="88"/>
      <c r="P686" s="53" t="s">
        <v>18</v>
      </c>
      <c r="Q686" s="87"/>
      <c r="R686" s="54" t="s">
        <v>34</v>
      </c>
      <c r="S686" s="87"/>
      <c r="T686" s="56" t="s">
        <v>29</v>
      </c>
      <c r="U686" s="12"/>
    </row>
    <row r="687" spans="1:21" ht="15.75" customHeight="1" x14ac:dyDescent="0.2">
      <c r="A687" s="103"/>
      <c r="B687" s="242"/>
      <c r="C687" s="98"/>
      <c r="D687" s="58"/>
      <c r="E687" s="58"/>
      <c r="F687" s="58" t="str">
        <f>IF(AND(C687=""),"",1-C687)</f>
        <v/>
      </c>
      <c r="G687" s="58"/>
      <c r="H687" s="58"/>
      <c r="I687" s="58" t="str">
        <f>IF(AND(C687=""),"",G687*C687)</f>
        <v/>
      </c>
      <c r="J687" s="58" t="str">
        <f>IF(AND(C687=""),"",H687*F687)</f>
        <v/>
      </c>
      <c r="K687" s="58" t="str">
        <f t="shared" ref="K687:K696" si="235">IF(AND(I687=""),"",IF(AND(I687&gt;J687),"T1","T2"))</f>
        <v/>
      </c>
      <c r="L687" s="61" t="str">
        <f t="shared" ref="L687:L696" si="236">IF(AND(K687=""),"",IF(AND((J687*0.95-1)&lt;0,(I687*0.95-1)&lt;0),"NO BET", IF(AND(K687="T1"),I687*0.95 - 1,J687*0.95 - 1)))</f>
        <v/>
      </c>
      <c r="M687" s="61"/>
      <c r="N687" s="246">
        <f>SUMIF(L701:L710,"&gt;0")</f>
        <v>0</v>
      </c>
      <c r="O687" s="88"/>
      <c r="P687" s="62"/>
      <c r="Q687" s="88"/>
      <c r="R687" s="63">
        <f t="shared" ref="R687:R696" si="237">IF(OR(P687="",L687="NO BET"),0,IF(AND(K687=P687),IF(AND(K687="T2"),ROUNDUP(H687*0.95,2)-1,ROUNDUP(G687*0.95,2)-1),-1))</f>
        <v>0</v>
      </c>
      <c r="S687" s="87"/>
      <c r="T687" s="237">
        <f>SUM(R687:R696)</f>
        <v>0</v>
      </c>
      <c r="U687" s="12"/>
    </row>
    <row r="688" spans="1:21" ht="15.75" customHeight="1" x14ac:dyDescent="0.2">
      <c r="A688" s="254" t="s">
        <v>35</v>
      </c>
      <c r="B688" s="242"/>
      <c r="C688" s="96"/>
      <c r="D688" s="65"/>
      <c r="E688" s="65"/>
      <c r="F688" s="65" t="str">
        <f t="shared" ref="F688:F696" si="238">IF(AND(C688=""),"",1-C688)</f>
        <v/>
      </c>
      <c r="G688" s="65"/>
      <c r="H688" s="65"/>
      <c r="I688" s="65" t="str">
        <f t="shared" ref="I688:I696" si="239">IF(AND(C688=""),"",G688*C688)</f>
        <v/>
      </c>
      <c r="J688" s="65" t="str">
        <f t="shared" ref="J688:J696" si="240">IF(AND(C688=""),"",H688*F688)</f>
        <v/>
      </c>
      <c r="K688" s="65" t="str">
        <f t="shared" si="235"/>
        <v/>
      </c>
      <c r="L688" s="68" t="str">
        <f t="shared" si="236"/>
        <v/>
      </c>
      <c r="M688" s="68"/>
      <c r="N688" s="247"/>
      <c r="O688" s="12"/>
      <c r="P688" s="69"/>
      <c r="Q688" s="87"/>
      <c r="R688" s="70">
        <f t="shared" si="237"/>
        <v>0</v>
      </c>
      <c r="S688" s="87"/>
      <c r="T688" s="237"/>
      <c r="U688" s="12"/>
    </row>
    <row r="689" spans="1:21" ht="15.75" customHeight="1" x14ac:dyDescent="0.2">
      <c r="A689" s="254"/>
      <c r="B689" s="242"/>
      <c r="C689" s="95"/>
      <c r="D689" s="10"/>
      <c r="E689" s="10"/>
      <c r="F689" s="10" t="str">
        <f t="shared" si="238"/>
        <v/>
      </c>
      <c r="G689" s="10"/>
      <c r="H689" s="10"/>
      <c r="I689" s="10" t="str">
        <f t="shared" si="239"/>
        <v/>
      </c>
      <c r="J689" s="10" t="str">
        <f t="shared" si="240"/>
        <v/>
      </c>
      <c r="K689" s="10" t="str">
        <f t="shared" si="235"/>
        <v/>
      </c>
      <c r="L689" s="74" t="str">
        <f t="shared" si="236"/>
        <v/>
      </c>
      <c r="M689" s="74"/>
      <c r="N689" s="247"/>
      <c r="O689" s="88"/>
      <c r="P689" s="69"/>
      <c r="Q689" s="87"/>
      <c r="R689" s="70">
        <f t="shared" si="237"/>
        <v>0</v>
      </c>
      <c r="S689" s="87"/>
      <c r="T689" s="237"/>
      <c r="U689" s="12"/>
    </row>
    <row r="690" spans="1:21" ht="15.75" customHeight="1" x14ac:dyDescent="0.2">
      <c r="A690" s="254"/>
      <c r="B690" s="242"/>
      <c r="C690" s="96"/>
      <c r="D690" s="65"/>
      <c r="E690" s="65"/>
      <c r="F690" s="65" t="str">
        <f t="shared" si="238"/>
        <v/>
      </c>
      <c r="G690" s="65"/>
      <c r="H690" s="65"/>
      <c r="I690" s="65" t="str">
        <f t="shared" si="239"/>
        <v/>
      </c>
      <c r="J690" s="65" t="str">
        <f t="shared" si="240"/>
        <v/>
      </c>
      <c r="K690" s="65" t="str">
        <f t="shared" si="235"/>
        <v/>
      </c>
      <c r="L690" s="68" t="str">
        <f t="shared" si="236"/>
        <v/>
      </c>
      <c r="M690" s="68"/>
      <c r="N690" s="247"/>
      <c r="O690" s="92"/>
      <c r="P690" s="69"/>
      <c r="Q690" s="87"/>
      <c r="R690" s="70">
        <f t="shared" si="237"/>
        <v>0</v>
      </c>
      <c r="S690" s="87"/>
      <c r="T690" s="237"/>
      <c r="U690" s="12"/>
    </row>
    <row r="691" spans="1:21" ht="15.75" customHeight="1" x14ac:dyDescent="0.2">
      <c r="A691" s="254"/>
      <c r="B691" s="242"/>
      <c r="C691" s="95"/>
      <c r="D691" s="10"/>
      <c r="E691" s="10"/>
      <c r="F691" s="10" t="str">
        <f t="shared" si="238"/>
        <v/>
      </c>
      <c r="G691" s="10"/>
      <c r="H691" s="10"/>
      <c r="I691" s="10" t="str">
        <f t="shared" si="239"/>
        <v/>
      </c>
      <c r="J691" s="10" t="str">
        <f t="shared" si="240"/>
        <v/>
      </c>
      <c r="K691" s="10" t="str">
        <f t="shared" si="235"/>
        <v/>
      </c>
      <c r="L691" s="75" t="str">
        <f t="shared" si="236"/>
        <v/>
      </c>
      <c r="M691" s="75"/>
      <c r="N691" s="247"/>
      <c r="O691" s="92"/>
      <c r="P691" s="69"/>
      <c r="Q691" s="87"/>
      <c r="R691" s="70">
        <f t="shared" si="237"/>
        <v>0</v>
      </c>
      <c r="S691" s="87"/>
      <c r="T691" s="237"/>
      <c r="U691" s="12"/>
    </row>
    <row r="692" spans="1:21" ht="15.75" customHeight="1" x14ac:dyDescent="0.2">
      <c r="A692" s="254"/>
      <c r="B692" s="242"/>
      <c r="C692" s="96"/>
      <c r="D692" s="65"/>
      <c r="E692" s="65"/>
      <c r="F692" s="65" t="str">
        <f t="shared" si="238"/>
        <v/>
      </c>
      <c r="G692" s="65"/>
      <c r="H692" s="65"/>
      <c r="I692" s="65" t="str">
        <f t="shared" si="239"/>
        <v/>
      </c>
      <c r="J692" s="65" t="str">
        <f t="shared" si="240"/>
        <v/>
      </c>
      <c r="K692" s="65" t="str">
        <f t="shared" si="235"/>
        <v/>
      </c>
      <c r="L692" s="68" t="str">
        <f t="shared" si="236"/>
        <v/>
      </c>
      <c r="M692" s="68"/>
      <c r="N692" s="247"/>
      <c r="O692" s="92"/>
      <c r="P692" s="69"/>
      <c r="Q692" s="87"/>
      <c r="R692" s="70">
        <f t="shared" si="237"/>
        <v>0</v>
      </c>
      <c r="S692" s="87"/>
      <c r="T692" s="237"/>
      <c r="U692" s="12"/>
    </row>
    <row r="693" spans="1:21" ht="15.75" customHeight="1" thickBot="1" x14ac:dyDescent="0.25">
      <c r="A693" s="254"/>
      <c r="B693" s="242"/>
      <c r="C693" s="95"/>
      <c r="D693" s="10"/>
      <c r="E693" s="10"/>
      <c r="F693" s="10" t="str">
        <f t="shared" si="238"/>
        <v/>
      </c>
      <c r="G693" s="10"/>
      <c r="H693" s="10"/>
      <c r="I693" s="10" t="str">
        <f t="shared" si="239"/>
        <v/>
      </c>
      <c r="J693" s="10" t="str">
        <f t="shared" si="240"/>
        <v/>
      </c>
      <c r="K693" s="10" t="str">
        <f t="shared" si="235"/>
        <v/>
      </c>
      <c r="L693" s="74" t="str">
        <f t="shared" si="236"/>
        <v/>
      </c>
      <c r="M693" s="74"/>
      <c r="N693" s="247"/>
      <c r="O693" s="12"/>
      <c r="P693" s="69"/>
      <c r="Q693" s="87"/>
      <c r="R693" s="70">
        <f t="shared" si="237"/>
        <v>0</v>
      </c>
      <c r="S693" s="87"/>
      <c r="T693" s="76" t="s">
        <v>31</v>
      </c>
      <c r="U693" s="12"/>
    </row>
    <row r="694" spans="1:21" ht="15.75" customHeight="1" x14ac:dyDescent="0.2">
      <c r="A694" s="254"/>
      <c r="B694" s="242"/>
      <c r="C694" s="96"/>
      <c r="D694" s="65"/>
      <c r="E694" s="65"/>
      <c r="F694" s="65" t="str">
        <f t="shared" si="238"/>
        <v/>
      </c>
      <c r="G694" s="65"/>
      <c r="H694" s="65"/>
      <c r="I694" s="65" t="str">
        <f t="shared" si="239"/>
        <v/>
      </c>
      <c r="J694" s="65" t="str">
        <f t="shared" si="240"/>
        <v/>
      </c>
      <c r="K694" s="65" t="str">
        <f t="shared" si="235"/>
        <v/>
      </c>
      <c r="L694" s="77" t="str">
        <f t="shared" si="236"/>
        <v/>
      </c>
      <c r="M694" s="77"/>
      <c r="N694" s="247"/>
      <c r="O694" s="12"/>
      <c r="P694" s="69"/>
      <c r="Q694" s="87"/>
      <c r="R694" s="70">
        <f t="shared" si="237"/>
        <v>0</v>
      </c>
      <c r="S694" s="87"/>
      <c r="T694" s="249">
        <f>IF(AND(NOT(N687=0)),T687/N687,0)</f>
        <v>0</v>
      </c>
      <c r="U694" s="12"/>
    </row>
    <row r="695" spans="1:21" ht="15.75" customHeight="1" x14ac:dyDescent="0.2">
      <c r="A695" s="254"/>
      <c r="B695" s="242"/>
      <c r="C695" s="95"/>
      <c r="D695" s="10"/>
      <c r="E695" s="10"/>
      <c r="F695" s="10" t="str">
        <f t="shared" si="238"/>
        <v/>
      </c>
      <c r="G695" s="10"/>
      <c r="H695" s="10"/>
      <c r="I695" s="10" t="str">
        <f t="shared" si="239"/>
        <v/>
      </c>
      <c r="J695" s="10" t="str">
        <f t="shared" si="240"/>
        <v/>
      </c>
      <c r="K695" s="10" t="str">
        <f t="shared" si="235"/>
        <v/>
      </c>
      <c r="L695" s="75" t="str">
        <f t="shared" si="236"/>
        <v/>
      </c>
      <c r="M695" s="75"/>
      <c r="N695" s="247"/>
      <c r="O695" s="12"/>
      <c r="P695" s="69"/>
      <c r="Q695" s="87"/>
      <c r="R695" s="70">
        <f t="shared" si="237"/>
        <v>0</v>
      </c>
      <c r="S695" s="87"/>
      <c r="T695" s="250"/>
      <c r="U695" s="12"/>
    </row>
    <row r="696" spans="1:21" ht="15.75" customHeight="1" thickBot="1" x14ac:dyDescent="0.25">
      <c r="A696" s="255"/>
      <c r="B696" s="243"/>
      <c r="C696" s="97"/>
      <c r="D696" s="80"/>
      <c r="E696" s="80"/>
      <c r="F696" s="80" t="str">
        <f t="shared" si="238"/>
        <v/>
      </c>
      <c r="G696" s="80"/>
      <c r="H696" s="80"/>
      <c r="I696" s="80" t="str">
        <f t="shared" si="239"/>
        <v/>
      </c>
      <c r="J696" s="80" t="str">
        <f t="shared" si="240"/>
        <v/>
      </c>
      <c r="K696" s="80" t="str">
        <f t="shared" si="235"/>
        <v/>
      </c>
      <c r="L696" s="83" t="str">
        <f t="shared" si="236"/>
        <v/>
      </c>
      <c r="M696" s="83"/>
      <c r="N696" s="248"/>
      <c r="O696" s="12"/>
      <c r="P696" s="84"/>
      <c r="Q696" s="12"/>
      <c r="R696" s="85">
        <f t="shared" si="237"/>
        <v>0</v>
      </c>
      <c r="S696" s="12"/>
      <c r="T696" s="251"/>
      <c r="U696" s="12"/>
    </row>
    <row r="697" spans="1:21" ht="15.75" customHeight="1" x14ac:dyDescent="0.2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3"/>
      <c r="S697" s="12"/>
      <c r="T697" s="14"/>
      <c r="U697" s="12"/>
    </row>
    <row r="698" spans="1:21" ht="15.75" customHeight="1" x14ac:dyDescent="0.2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3"/>
      <c r="S698" s="12"/>
      <c r="T698" s="14"/>
      <c r="U698" s="12"/>
    </row>
    <row r="699" spans="1:21" ht="15.75" customHeight="1" thickBot="1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3"/>
      <c r="S699" s="12"/>
      <c r="T699" s="14"/>
      <c r="U699" s="12"/>
    </row>
    <row r="700" spans="1:21" ht="15.75" customHeight="1" thickBot="1" x14ac:dyDescent="0.3">
      <c r="A700" s="102" t="s">
        <v>6</v>
      </c>
      <c r="B700" s="241" t="s">
        <v>25</v>
      </c>
      <c r="C700" s="51"/>
      <c r="D700" s="51" t="s">
        <v>9</v>
      </c>
      <c r="E700" s="51" t="s">
        <v>10</v>
      </c>
      <c r="F700" s="51" t="s">
        <v>11</v>
      </c>
      <c r="G700" s="51" t="s">
        <v>12</v>
      </c>
      <c r="H700" s="51" t="s">
        <v>13</v>
      </c>
      <c r="I700" s="51" t="s">
        <v>14</v>
      </c>
      <c r="J700" s="51" t="s">
        <v>15</v>
      </c>
      <c r="K700" s="51" t="s">
        <v>33</v>
      </c>
      <c r="L700" s="51" t="s">
        <v>16</v>
      </c>
      <c r="M700" s="51"/>
      <c r="N700" s="52" t="s">
        <v>17</v>
      </c>
      <c r="O700" s="88"/>
      <c r="P700" s="53" t="s">
        <v>18</v>
      </c>
      <c r="Q700" s="87"/>
      <c r="R700" s="54" t="s">
        <v>34</v>
      </c>
      <c r="S700" s="87"/>
      <c r="T700" s="56" t="s">
        <v>29</v>
      </c>
      <c r="U700" s="12"/>
    </row>
    <row r="701" spans="1:21" ht="15.75" customHeight="1" x14ac:dyDescent="0.2">
      <c r="A701" s="103"/>
      <c r="B701" s="242"/>
      <c r="C701" s="98"/>
      <c r="D701" s="58"/>
      <c r="E701" s="58"/>
      <c r="F701" s="58" t="str">
        <f>IF(AND(C701=""),"",1-C701)</f>
        <v/>
      </c>
      <c r="G701" s="58"/>
      <c r="H701" s="58"/>
      <c r="I701" s="58" t="str">
        <f>IF(AND(C701=""),"",G701*C701)</f>
        <v/>
      </c>
      <c r="J701" s="58" t="str">
        <f>IF(AND(C701=""),"",H701*F701)</f>
        <v/>
      </c>
      <c r="K701" s="58" t="str">
        <f t="shared" ref="K701:K710" si="241">IF(AND(I701=""),"",IF(AND(I701&gt;J701),"T1","T2"))</f>
        <v/>
      </c>
      <c r="L701" s="61" t="str">
        <f t="shared" ref="L701:L710" si="242">IF(AND(K701=""),"",IF(AND((J701*0.95-1)&lt;0,(I701*0.95-1)&lt;0),"NO BET", IF(AND(K701="T1"),I701*0.95 - 1,J701*0.95 - 1)))</f>
        <v/>
      </c>
      <c r="M701" s="61"/>
      <c r="N701" s="246">
        <f>SUMIF(L701:L710,"&gt;0")</f>
        <v>0</v>
      </c>
      <c r="O701" s="88"/>
      <c r="P701" s="62"/>
      <c r="Q701" s="88"/>
      <c r="R701" s="63">
        <f t="shared" ref="R701:R710" si="243">IF(OR(P701="",L701="NO BET"),0,IF(AND(K701=P701),IF(AND(K701="T2"),ROUNDUP(H701*0.95,2)-1,ROUNDUP(G701*0.95,2)-1),-1))</f>
        <v>0</v>
      </c>
      <c r="S701" s="87"/>
      <c r="T701" s="237">
        <f>SUM(R701:R710)</f>
        <v>0</v>
      </c>
      <c r="U701" s="12"/>
    </row>
    <row r="702" spans="1:21" ht="15.75" customHeight="1" x14ac:dyDescent="0.2">
      <c r="A702" s="254" t="s">
        <v>35</v>
      </c>
      <c r="B702" s="242"/>
      <c r="C702" s="96"/>
      <c r="D702" s="65"/>
      <c r="E702" s="65"/>
      <c r="F702" s="65" t="str">
        <f t="shared" ref="F702:F710" si="244">IF(AND(C702=""),"",1-C702)</f>
        <v/>
      </c>
      <c r="G702" s="65"/>
      <c r="H702" s="65"/>
      <c r="I702" s="65" t="str">
        <f t="shared" ref="I702:I710" si="245">IF(AND(C702=""),"",G702*C702)</f>
        <v/>
      </c>
      <c r="J702" s="65" t="str">
        <f t="shared" ref="J702:J710" si="246">IF(AND(C702=""),"",H702*F702)</f>
        <v/>
      </c>
      <c r="K702" s="65" t="str">
        <f t="shared" si="241"/>
        <v/>
      </c>
      <c r="L702" s="68" t="str">
        <f t="shared" si="242"/>
        <v/>
      </c>
      <c r="M702" s="68"/>
      <c r="N702" s="247"/>
      <c r="O702" s="12"/>
      <c r="P702" s="69"/>
      <c r="Q702" s="87"/>
      <c r="R702" s="70">
        <f t="shared" si="243"/>
        <v>0</v>
      </c>
      <c r="S702" s="87"/>
      <c r="T702" s="237"/>
      <c r="U702" s="12"/>
    </row>
    <row r="703" spans="1:21" ht="15.75" customHeight="1" x14ac:dyDescent="0.2">
      <c r="A703" s="254"/>
      <c r="B703" s="242"/>
      <c r="C703" s="95"/>
      <c r="D703" s="10"/>
      <c r="E703" s="10"/>
      <c r="F703" s="10" t="str">
        <f t="shared" si="244"/>
        <v/>
      </c>
      <c r="G703" s="10"/>
      <c r="H703" s="10"/>
      <c r="I703" s="10" t="str">
        <f t="shared" si="245"/>
        <v/>
      </c>
      <c r="J703" s="10" t="str">
        <f t="shared" si="246"/>
        <v/>
      </c>
      <c r="K703" s="10" t="str">
        <f t="shared" si="241"/>
        <v/>
      </c>
      <c r="L703" s="74" t="str">
        <f t="shared" si="242"/>
        <v/>
      </c>
      <c r="M703" s="74"/>
      <c r="N703" s="247"/>
      <c r="O703" s="88"/>
      <c r="P703" s="69"/>
      <c r="Q703" s="87"/>
      <c r="R703" s="70">
        <f t="shared" si="243"/>
        <v>0</v>
      </c>
      <c r="S703" s="87"/>
      <c r="T703" s="237"/>
      <c r="U703" s="12"/>
    </row>
    <row r="704" spans="1:21" ht="15.75" customHeight="1" x14ac:dyDescent="0.2">
      <c r="A704" s="254"/>
      <c r="B704" s="242"/>
      <c r="C704" s="96"/>
      <c r="D704" s="65"/>
      <c r="E704" s="65"/>
      <c r="F704" s="65" t="str">
        <f t="shared" si="244"/>
        <v/>
      </c>
      <c r="G704" s="65"/>
      <c r="H704" s="65"/>
      <c r="I704" s="65" t="str">
        <f t="shared" si="245"/>
        <v/>
      </c>
      <c r="J704" s="65" t="str">
        <f t="shared" si="246"/>
        <v/>
      </c>
      <c r="K704" s="65" t="str">
        <f t="shared" si="241"/>
        <v/>
      </c>
      <c r="L704" s="68" t="str">
        <f t="shared" si="242"/>
        <v/>
      </c>
      <c r="M704" s="68"/>
      <c r="N704" s="247"/>
      <c r="O704" s="92"/>
      <c r="P704" s="69"/>
      <c r="Q704" s="87"/>
      <c r="R704" s="70">
        <f t="shared" si="243"/>
        <v>0</v>
      </c>
      <c r="S704" s="87"/>
      <c r="T704" s="237"/>
      <c r="U704" s="12"/>
    </row>
    <row r="705" spans="1:21" ht="15.75" customHeight="1" x14ac:dyDescent="0.2">
      <c r="A705" s="254"/>
      <c r="B705" s="242"/>
      <c r="C705" s="95"/>
      <c r="D705" s="10"/>
      <c r="E705" s="10"/>
      <c r="F705" s="10" t="str">
        <f t="shared" si="244"/>
        <v/>
      </c>
      <c r="G705" s="10"/>
      <c r="H705" s="10"/>
      <c r="I705" s="10" t="str">
        <f t="shared" si="245"/>
        <v/>
      </c>
      <c r="J705" s="10" t="str">
        <f t="shared" si="246"/>
        <v/>
      </c>
      <c r="K705" s="10" t="str">
        <f t="shared" si="241"/>
        <v/>
      </c>
      <c r="L705" s="75" t="str">
        <f t="shared" si="242"/>
        <v/>
      </c>
      <c r="M705" s="75"/>
      <c r="N705" s="247"/>
      <c r="O705" s="92"/>
      <c r="P705" s="69"/>
      <c r="Q705" s="87"/>
      <c r="R705" s="70">
        <f t="shared" si="243"/>
        <v>0</v>
      </c>
      <c r="S705" s="87"/>
      <c r="T705" s="237"/>
      <c r="U705" s="12"/>
    </row>
    <row r="706" spans="1:21" ht="15.75" customHeight="1" x14ac:dyDescent="0.2">
      <c r="A706" s="254"/>
      <c r="B706" s="242"/>
      <c r="C706" s="96"/>
      <c r="D706" s="65"/>
      <c r="E706" s="65"/>
      <c r="F706" s="65" t="str">
        <f t="shared" si="244"/>
        <v/>
      </c>
      <c r="G706" s="65"/>
      <c r="H706" s="65"/>
      <c r="I706" s="65" t="str">
        <f t="shared" si="245"/>
        <v/>
      </c>
      <c r="J706" s="65" t="str">
        <f t="shared" si="246"/>
        <v/>
      </c>
      <c r="K706" s="65" t="str">
        <f t="shared" si="241"/>
        <v/>
      </c>
      <c r="L706" s="68" t="str">
        <f t="shared" si="242"/>
        <v/>
      </c>
      <c r="M706" s="68"/>
      <c r="N706" s="247"/>
      <c r="O706" s="92"/>
      <c r="P706" s="69"/>
      <c r="Q706" s="87"/>
      <c r="R706" s="70">
        <f t="shared" si="243"/>
        <v>0</v>
      </c>
      <c r="S706" s="87"/>
      <c r="T706" s="237"/>
      <c r="U706" s="12"/>
    </row>
    <row r="707" spans="1:21" ht="15.75" customHeight="1" thickBot="1" x14ac:dyDescent="0.25">
      <c r="A707" s="254"/>
      <c r="B707" s="242"/>
      <c r="C707" s="95"/>
      <c r="D707" s="10"/>
      <c r="E707" s="10"/>
      <c r="F707" s="10" t="str">
        <f t="shared" si="244"/>
        <v/>
      </c>
      <c r="G707" s="10"/>
      <c r="H707" s="10"/>
      <c r="I707" s="10" t="str">
        <f t="shared" si="245"/>
        <v/>
      </c>
      <c r="J707" s="10" t="str">
        <f t="shared" si="246"/>
        <v/>
      </c>
      <c r="K707" s="10" t="str">
        <f t="shared" si="241"/>
        <v/>
      </c>
      <c r="L707" s="74" t="str">
        <f t="shared" si="242"/>
        <v/>
      </c>
      <c r="M707" s="74"/>
      <c r="N707" s="247"/>
      <c r="O707" s="12"/>
      <c r="P707" s="69"/>
      <c r="Q707" s="87"/>
      <c r="R707" s="70">
        <f t="shared" si="243"/>
        <v>0</v>
      </c>
      <c r="S707" s="87"/>
      <c r="T707" s="76" t="s">
        <v>31</v>
      </c>
      <c r="U707" s="12"/>
    </row>
    <row r="708" spans="1:21" ht="15.75" customHeight="1" x14ac:dyDescent="0.2">
      <c r="A708" s="254"/>
      <c r="B708" s="242"/>
      <c r="C708" s="96"/>
      <c r="D708" s="65"/>
      <c r="E708" s="65"/>
      <c r="F708" s="65" t="str">
        <f t="shared" si="244"/>
        <v/>
      </c>
      <c r="G708" s="65"/>
      <c r="H708" s="65"/>
      <c r="I708" s="65" t="str">
        <f t="shared" si="245"/>
        <v/>
      </c>
      <c r="J708" s="65" t="str">
        <f t="shared" si="246"/>
        <v/>
      </c>
      <c r="K708" s="65" t="str">
        <f t="shared" si="241"/>
        <v/>
      </c>
      <c r="L708" s="77" t="str">
        <f t="shared" si="242"/>
        <v/>
      </c>
      <c r="M708" s="77"/>
      <c r="N708" s="247"/>
      <c r="O708" s="12"/>
      <c r="P708" s="69"/>
      <c r="Q708" s="87"/>
      <c r="R708" s="70">
        <f t="shared" si="243"/>
        <v>0</v>
      </c>
      <c r="S708" s="87"/>
      <c r="T708" s="249">
        <f>IF(AND(NOT(N701=0)),T701/N701,0)</f>
        <v>0</v>
      </c>
      <c r="U708" s="12"/>
    </row>
    <row r="709" spans="1:21" ht="15.75" customHeight="1" x14ac:dyDescent="0.2">
      <c r="A709" s="254"/>
      <c r="B709" s="242"/>
      <c r="C709" s="95"/>
      <c r="D709" s="10"/>
      <c r="E709" s="10"/>
      <c r="F709" s="10" t="str">
        <f t="shared" si="244"/>
        <v/>
      </c>
      <c r="G709" s="10"/>
      <c r="H709" s="10"/>
      <c r="I709" s="10" t="str">
        <f t="shared" si="245"/>
        <v/>
      </c>
      <c r="J709" s="10" t="str">
        <f t="shared" si="246"/>
        <v/>
      </c>
      <c r="K709" s="10" t="str">
        <f t="shared" si="241"/>
        <v/>
      </c>
      <c r="L709" s="75" t="str">
        <f t="shared" si="242"/>
        <v/>
      </c>
      <c r="M709" s="75"/>
      <c r="N709" s="247"/>
      <c r="O709" s="12"/>
      <c r="P709" s="69"/>
      <c r="Q709" s="87"/>
      <c r="R709" s="70">
        <f t="shared" si="243"/>
        <v>0</v>
      </c>
      <c r="S709" s="87"/>
      <c r="T709" s="250"/>
      <c r="U709" s="12"/>
    </row>
    <row r="710" spans="1:21" ht="15.75" customHeight="1" thickBot="1" x14ac:dyDescent="0.25">
      <c r="A710" s="255"/>
      <c r="B710" s="243"/>
      <c r="C710" s="97"/>
      <c r="D710" s="80"/>
      <c r="E710" s="80"/>
      <c r="F710" s="80" t="str">
        <f t="shared" si="244"/>
        <v/>
      </c>
      <c r="G710" s="80"/>
      <c r="H710" s="80"/>
      <c r="I710" s="80" t="str">
        <f t="shared" si="245"/>
        <v/>
      </c>
      <c r="J710" s="80" t="str">
        <f t="shared" si="246"/>
        <v/>
      </c>
      <c r="K710" s="80" t="str">
        <f t="shared" si="241"/>
        <v/>
      </c>
      <c r="L710" s="83" t="str">
        <f t="shared" si="242"/>
        <v/>
      </c>
      <c r="M710" s="83"/>
      <c r="N710" s="248"/>
      <c r="O710" s="12"/>
      <c r="P710" s="84"/>
      <c r="Q710" s="12"/>
      <c r="R710" s="85">
        <f t="shared" si="243"/>
        <v>0</v>
      </c>
      <c r="S710" s="12"/>
      <c r="T710" s="251"/>
      <c r="U710" s="12"/>
    </row>
    <row r="711" spans="1:21" ht="15.75" customHeight="1" x14ac:dyDescent="0.2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3"/>
      <c r="S711" s="12"/>
      <c r="T711" s="14"/>
      <c r="U711" s="12"/>
    </row>
    <row r="712" spans="1:21" ht="15.75" customHeight="1" x14ac:dyDescent="0.2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3"/>
      <c r="S712" s="12"/>
      <c r="T712" s="14"/>
      <c r="U712" s="12"/>
    </row>
    <row r="713" spans="1:21" ht="15.75" customHeight="1" thickBot="1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3"/>
      <c r="S713" s="12"/>
      <c r="T713" s="14"/>
      <c r="U713" s="12"/>
    </row>
    <row r="714" spans="1:21" ht="15.75" customHeight="1" thickBot="1" x14ac:dyDescent="0.3">
      <c r="A714" s="102" t="s">
        <v>6</v>
      </c>
      <c r="B714" s="241" t="s">
        <v>26</v>
      </c>
      <c r="C714" s="108"/>
      <c r="D714" s="51" t="s">
        <v>9</v>
      </c>
      <c r="E714" s="51" t="s">
        <v>10</v>
      </c>
      <c r="F714" s="51" t="s">
        <v>11</v>
      </c>
      <c r="G714" s="51" t="s">
        <v>12</v>
      </c>
      <c r="H714" s="51" t="s">
        <v>13</v>
      </c>
      <c r="I714" s="51" t="s">
        <v>14</v>
      </c>
      <c r="J714" s="51" t="s">
        <v>15</v>
      </c>
      <c r="K714" s="51" t="s">
        <v>33</v>
      </c>
      <c r="L714" s="51" t="s">
        <v>16</v>
      </c>
      <c r="M714" s="51"/>
      <c r="N714" s="52" t="s">
        <v>17</v>
      </c>
      <c r="O714" s="88"/>
      <c r="P714" s="53" t="s">
        <v>18</v>
      </c>
      <c r="Q714" s="87"/>
      <c r="R714" s="54" t="s">
        <v>34</v>
      </c>
      <c r="S714" s="87"/>
      <c r="T714" s="56" t="s">
        <v>29</v>
      </c>
      <c r="U714" s="12"/>
    </row>
    <row r="715" spans="1:21" ht="15.75" customHeight="1" x14ac:dyDescent="0.2">
      <c r="A715" s="103"/>
      <c r="B715" s="242"/>
      <c r="C715" s="112"/>
      <c r="D715" s="58"/>
      <c r="E715" s="58"/>
      <c r="F715" s="58" t="str">
        <f>IF(AND(C715=""),"",1-C715)</f>
        <v/>
      </c>
      <c r="G715" s="58"/>
      <c r="H715" s="58"/>
      <c r="I715" s="58" t="str">
        <f>IF(AND(C715=""),"",G715*C715)</f>
        <v/>
      </c>
      <c r="J715" s="58" t="str">
        <f>IF(AND(C715=""),"",H715*F715)</f>
        <v/>
      </c>
      <c r="K715" s="58" t="str">
        <f>IF(AND(I715=""),"",IF(AND(I715&gt;J715),"T1","T2"))</f>
        <v/>
      </c>
      <c r="L715" s="61" t="str">
        <f>IF(AND(K715=""),"",IF(AND((J715*0.95-1)&lt;0,(I715*0.95-1)&lt;0),"NO BET", IF(AND(K715="T1"),I715*0.95 - 1,J715*0.95 - 1)))</f>
        <v/>
      </c>
      <c r="M715" s="61"/>
      <c r="N715" s="246">
        <f>SUMIF(L715:L724,"&gt;0")</f>
        <v>0</v>
      </c>
      <c r="O715" s="88"/>
      <c r="P715" s="62"/>
      <c r="Q715" s="88"/>
      <c r="R715" s="63">
        <f t="shared" ref="R715:R724" si="247">IF(OR(P715="",L715="NO BET"),0,IF(AND(K715=P715),IF(AND(K715="T2"),ROUNDUP(H715*0.95,2)-1,ROUNDUP(G715*0.95,2)-1),-1))</f>
        <v>0</v>
      </c>
      <c r="S715" s="87"/>
      <c r="T715" s="237">
        <f>SUM(R715:R724)</f>
        <v>0</v>
      </c>
      <c r="U715" s="12"/>
    </row>
    <row r="716" spans="1:21" ht="15.75" customHeight="1" x14ac:dyDescent="0.2">
      <c r="A716" s="254" t="s">
        <v>35</v>
      </c>
      <c r="B716" s="242"/>
      <c r="C716" s="113"/>
      <c r="D716" s="65"/>
      <c r="E716" s="65"/>
      <c r="F716" s="65" t="str">
        <f t="shared" ref="F716:F724" si="248">IF(AND(C716=""),"",1-C716)</f>
        <v/>
      </c>
      <c r="G716" s="65"/>
      <c r="H716" s="65"/>
      <c r="I716" s="65" t="str">
        <f t="shared" ref="I716:I724" si="249">IF(AND(C716=""),"",G716*C716)</f>
        <v/>
      </c>
      <c r="J716" s="65" t="str">
        <f t="shared" ref="J716:J724" si="250">IF(AND(C716=""),"",H716*F716)</f>
        <v/>
      </c>
      <c r="K716" s="65" t="str">
        <f>IF(AND(I716=""),"",IF(AND(I716&gt;J716),"T1","T2"))</f>
        <v/>
      </c>
      <c r="L716" s="68" t="str">
        <f>IF(AND(K716=""),"",IF(AND((J716*0.95-1)&lt;0,(I716*0.95-1)&lt;0),"NO BET", IF(AND(K716="T1"),I716*0.95 - 1,J716*0.95 - 1)))</f>
        <v/>
      </c>
      <c r="M716" s="68"/>
      <c r="N716" s="247"/>
      <c r="O716" s="12"/>
      <c r="P716" s="69"/>
      <c r="Q716" s="87"/>
      <c r="R716" s="70">
        <f t="shared" si="247"/>
        <v>0</v>
      </c>
      <c r="S716" s="87"/>
      <c r="T716" s="237"/>
      <c r="U716" s="12"/>
    </row>
    <row r="717" spans="1:21" ht="15.75" customHeight="1" x14ac:dyDescent="0.2">
      <c r="A717" s="254"/>
      <c r="B717" s="242"/>
      <c r="C717" s="114"/>
      <c r="D717" s="10"/>
      <c r="E717" s="10"/>
      <c r="F717" s="10" t="str">
        <f t="shared" si="248"/>
        <v/>
      </c>
      <c r="G717" s="10"/>
      <c r="H717" s="10"/>
      <c r="I717" s="10" t="str">
        <f t="shared" si="249"/>
        <v/>
      </c>
      <c r="J717" s="10" t="str">
        <f t="shared" si="250"/>
        <v/>
      </c>
      <c r="K717" s="10" t="str">
        <f>IF(AND(I717=""),"",IF(AND(I717&gt;J717),"T1","T2"))</f>
        <v/>
      </c>
      <c r="L717" s="74" t="str">
        <f>IF(AND(K717=""),"",IF(AND((J717*0.95-1)&lt;0,(I717*0.95-1)&lt;0),"NO BET", IF(AND(K717="T1"),I717*0.95 - 1,J717*0.95 - 1)))</f>
        <v/>
      </c>
      <c r="M717" s="74"/>
      <c r="N717" s="247"/>
      <c r="O717" s="88"/>
      <c r="P717" s="69"/>
      <c r="Q717" s="87"/>
      <c r="R717" s="70">
        <f t="shared" si="247"/>
        <v>0</v>
      </c>
      <c r="S717" s="87"/>
      <c r="T717" s="237"/>
      <c r="U717" s="12"/>
    </row>
    <row r="718" spans="1:21" ht="15.75" customHeight="1" x14ac:dyDescent="0.2">
      <c r="A718" s="254"/>
      <c r="B718" s="242"/>
      <c r="C718" s="113"/>
      <c r="D718" s="65"/>
      <c r="E718" s="65"/>
      <c r="F718" s="65" t="str">
        <f t="shared" si="248"/>
        <v/>
      </c>
      <c r="G718" s="65"/>
      <c r="H718" s="65"/>
      <c r="I718" s="65" t="str">
        <f t="shared" si="249"/>
        <v/>
      </c>
      <c r="J718" s="65" t="str">
        <f t="shared" si="250"/>
        <v/>
      </c>
      <c r="K718" s="65" t="str">
        <f>IF(AND(I718=""),"",IF(AND(I718&gt;J718),"T1","T2"))</f>
        <v/>
      </c>
      <c r="L718" s="68" t="str">
        <f>IF(AND(K718=""),"",IF(AND((J718*0.95-1)&lt;0,(I718*0.95-1)&lt;0),"NO BET", IF(AND(K718="T1"),I718*0.95 - 1,J718*0.95 - 1)))</f>
        <v/>
      </c>
      <c r="M718" s="68"/>
      <c r="N718" s="247"/>
      <c r="O718" s="92"/>
      <c r="P718" s="69"/>
      <c r="Q718" s="87"/>
      <c r="R718" s="70">
        <f t="shared" si="247"/>
        <v>0</v>
      </c>
      <c r="S718" s="87"/>
      <c r="T718" s="237"/>
      <c r="U718" s="12"/>
    </row>
    <row r="719" spans="1:21" ht="15.75" customHeight="1" x14ac:dyDescent="0.2">
      <c r="A719" s="254"/>
      <c r="B719" s="242"/>
      <c r="C719" s="114"/>
      <c r="D719" s="10"/>
      <c r="E719" s="10"/>
      <c r="F719" s="10" t="str">
        <f t="shared" si="248"/>
        <v/>
      </c>
      <c r="G719" s="10"/>
      <c r="H719" s="10"/>
      <c r="I719" s="10" t="str">
        <f t="shared" si="249"/>
        <v/>
      </c>
      <c r="J719" s="10" t="str">
        <f t="shared" si="250"/>
        <v/>
      </c>
      <c r="K719" s="10" t="str">
        <f>IF(AND(I719=""),"",IF(AND(I719&gt;J719),"T1","T2"))</f>
        <v/>
      </c>
      <c r="L719" s="75" t="str">
        <f>IF(AND(K719=""),"",IF(AND((J719*0.95-1)&lt;0,(I719*0.95-1)&lt;0),"NO BET", IF(AND(K719="T1"),I719*0.95 - 1,J719*0.95 - 1)))</f>
        <v/>
      </c>
      <c r="M719" s="75"/>
      <c r="N719" s="247"/>
      <c r="O719" s="92"/>
      <c r="P719" s="69"/>
      <c r="Q719" s="87"/>
      <c r="R719" s="70">
        <f t="shared" si="247"/>
        <v>0</v>
      </c>
      <c r="S719" s="87"/>
      <c r="T719" s="237"/>
      <c r="U719" s="12"/>
    </row>
    <row r="720" spans="1:21" ht="15.75" customHeight="1" x14ac:dyDescent="0.2">
      <c r="A720" s="254"/>
      <c r="B720" s="242"/>
      <c r="C720" s="113"/>
      <c r="D720" s="65"/>
      <c r="E720" s="65"/>
      <c r="F720" s="65"/>
      <c r="G720" s="65"/>
      <c r="H720" s="65"/>
      <c r="I720" s="65"/>
      <c r="J720" s="65"/>
      <c r="K720" s="65"/>
      <c r="L720" s="68"/>
      <c r="M720" s="68"/>
      <c r="N720" s="247"/>
      <c r="O720" s="92"/>
      <c r="P720" s="69"/>
      <c r="Q720" s="87"/>
      <c r="R720" s="70">
        <f t="shared" si="247"/>
        <v>0</v>
      </c>
      <c r="S720" s="87"/>
      <c r="T720" s="237"/>
      <c r="U720" s="12"/>
    </row>
    <row r="721" spans="1:21" ht="15.75" customHeight="1" thickBot="1" x14ac:dyDescent="0.25">
      <c r="A721" s="254"/>
      <c r="B721" s="242"/>
      <c r="C721" s="114"/>
      <c r="D721" s="10"/>
      <c r="E721" s="10"/>
      <c r="F721" s="10" t="str">
        <f t="shared" si="248"/>
        <v/>
      </c>
      <c r="G721" s="10"/>
      <c r="H721" s="10"/>
      <c r="I721" s="10" t="str">
        <f t="shared" si="249"/>
        <v/>
      </c>
      <c r="J721" s="10" t="str">
        <f t="shared" si="250"/>
        <v/>
      </c>
      <c r="K721" s="10" t="str">
        <f>IF(AND(I721=""),"",IF(AND(I721&gt;J721),"T1","T2"))</f>
        <v/>
      </c>
      <c r="L721" s="74" t="str">
        <f>IF(AND(K721=""),"",IF(AND((J721*0.95-1)&lt;0,(I721*0.95-1)&lt;0),"NO BET", IF(AND(K721="T1"),I721*0.95 - 1,J721*0.95 - 1)))</f>
        <v/>
      </c>
      <c r="M721" s="74"/>
      <c r="N721" s="247"/>
      <c r="O721" s="12"/>
      <c r="P721" s="69"/>
      <c r="Q721" s="87"/>
      <c r="R721" s="70">
        <f t="shared" si="247"/>
        <v>0</v>
      </c>
      <c r="S721" s="87"/>
      <c r="T721" s="76" t="s">
        <v>31</v>
      </c>
      <c r="U721" s="12"/>
    </row>
    <row r="722" spans="1:21" ht="15.75" customHeight="1" x14ac:dyDescent="0.2">
      <c r="A722" s="254"/>
      <c r="B722" s="242"/>
      <c r="C722" s="113"/>
      <c r="D722" s="65"/>
      <c r="E722" s="65"/>
      <c r="F722" s="65" t="str">
        <f t="shared" si="248"/>
        <v/>
      </c>
      <c r="G722" s="65"/>
      <c r="H722" s="65"/>
      <c r="I722" s="65" t="str">
        <f t="shared" si="249"/>
        <v/>
      </c>
      <c r="J722" s="65" t="str">
        <f t="shared" si="250"/>
        <v/>
      </c>
      <c r="K722" s="65" t="str">
        <f>IF(AND(I722=""),"",IF(AND(I722&gt;J722),"T1","T2"))</f>
        <v/>
      </c>
      <c r="L722" s="77" t="str">
        <f>IF(AND(K722=""),"",IF(AND((J722*0.95-1)&lt;0,(I722*0.95-1)&lt;0),"NO BET", IF(AND(K722="T1"),I722*0.95 - 1,J722*0.95 - 1)))</f>
        <v/>
      </c>
      <c r="M722" s="77"/>
      <c r="N722" s="247"/>
      <c r="O722" s="12"/>
      <c r="P722" s="69"/>
      <c r="Q722" s="87"/>
      <c r="R722" s="70">
        <f t="shared" si="247"/>
        <v>0</v>
      </c>
      <c r="S722" s="87"/>
      <c r="T722" s="249">
        <f>IF(AND(NOT(N715=0)),T715/N715,0)</f>
        <v>0</v>
      </c>
      <c r="U722" s="12"/>
    </row>
    <row r="723" spans="1:21" ht="15.75" customHeight="1" x14ac:dyDescent="0.2">
      <c r="A723" s="254"/>
      <c r="B723" s="242"/>
      <c r="C723" s="114"/>
      <c r="D723" s="10"/>
      <c r="E723" s="10"/>
      <c r="F723" s="10" t="str">
        <f t="shared" si="248"/>
        <v/>
      </c>
      <c r="G723" s="10"/>
      <c r="H723" s="10"/>
      <c r="I723" s="10" t="str">
        <f t="shared" si="249"/>
        <v/>
      </c>
      <c r="J723" s="10" t="str">
        <f t="shared" si="250"/>
        <v/>
      </c>
      <c r="K723" s="10" t="str">
        <f>IF(AND(I723=""),"",IF(AND(I723&gt;J723),"T1","T2"))</f>
        <v/>
      </c>
      <c r="L723" s="75" t="str">
        <f>IF(AND(K723=""),"",IF(AND((J723*0.95-1)&lt;0,(I723*0.95-1)&lt;0),"NO BET", IF(AND(K723="T1"),I723*0.95 - 1,J723*0.95 - 1)))</f>
        <v/>
      </c>
      <c r="M723" s="75"/>
      <c r="N723" s="247"/>
      <c r="O723" s="12"/>
      <c r="P723" s="69"/>
      <c r="Q723" s="87"/>
      <c r="R723" s="70">
        <f t="shared" si="247"/>
        <v>0</v>
      </c>
      <c r="S723" s="87"/>
      <c r="T723" s="250"/>
      <c r="U723" s="12"/>
    </row>
    <row r="724" spans="1:21" ht="15.75" customHeight="1" thickBot="1" x14ac:dyDescent="0.25">
      <c r="A724" s="255"/>
      <c r="B724" s="243"/>
      <c r="C724" s="115"/>
      <c r="D724" s="80"/>
      <c r="E724" s="80"/>
      <c r="F724" s="80" t="str">
        <f t="shared" si="248"/>
        <v/>
      </c>
      <c r="G724" s="80"/>
      <c r="H724" s="80"/>
      <c r="I724" s="80" t="str">
        <f t="shared" si="249"/>
        <v/>
      </c>
      <c r="J724" s="80" t="str">
        <f t="shared" si="250"/>
        <v/>
      </c>
      <c r="K724" s="80" t="str">
        <f>IF(AND(I724=""),"",IF(AND(I724&gt;J724),"T1","T2"))</f>
        <v/>
      </c>
      <c r="L724" s="83" t="str">
        <f>IF(AND(K724=""),"",IF(AND((J724*0.95-1)&lt;0,(I724*0.95-1)&lt;0),"NO BET", IF(AND(K724="T1"),I724*0.95 - 1,J724*0.95 - 1)))</f>
        <v/>
      </c>
      <c r="M724" s="83"/>
      <c r="N724" s="248"/>
      <c r="O724" s="12"/>
      <c r="P724" s="84"/>
      <c r="Q724" s="12"/>
      <c r="R724" s="85">
        <f t="shared" si="247"/>
        <v>0</v>
      </c>
      <c r="S724" s="12"/>
      <c r="T724" s="251"/>
      <c r="U724" s="12"/>
    </row>
    <row r="725" spans="1:21" ht="15.75" customHeight="1" x14ac:dyDescent="0.2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3"/>
      <c r="S725" s="12"/>
      <c r="T725" s="14"/>
      <c r="U725" s="12"/>
    </row>
    <row r="726" spans="1:21" ht="15.75" customHeight="1" x14ac:dyDescent="0.2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3"/>
      <c r="S726" s="12"/>
      <c r="T726" s="14"/>
      <c r="U726" s="12"/>
    </row>
    <row r="727" spans="1:21" ht="15.75" customHeight="1" thickBot="1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3"/>
      <c r="S727" s="12"/>
      <c r="T727" s="14"/>
      <c r="U727" s="12"/>
    </row>
    <row r="728" spans="1:21" ht="15.75" customHeight="1" thickBot="1" x14ac:dyDescent="0.3">
      <c r="A728" s="102" t="s">
        <v>6</v>
      </c>
      <c r="B728" s="241" t="s">
        <v>27</v>
      </c>
      <c r="C728" s="108"/>
      <c r="D728" s="51" t="s">
        <v>9</v>
      </c>
      <c r="E728" s="51" t="s">
        <v>10</v>
      </c>
      <c r="F728" s="51" t="s">
        <v>11</v>
      </c>
      <c r="G728" s="51" t="s">
        <v>12</v>
      </c>
      <c r="H728" s="51" t="s">
        <v>13</v>
      </c>
      <c r="I728" s="51" t="s">
        <v>14</v>
      </c>
      <c r="J728" s="51" t="s">
        <v>15</v>
      </c>
      <c r="K728" s="51" t="s">
        <v>33</v>
      </c>
      <c r="L728" s="51" t="s">
        <v>16</v>
      </c>
      <c r="M728" s="51"/>
      <c r="N728" s="52" t="s">
        <v>17</v>
      </c>
      <c r="O728" s="88"/>
      <c r="P728" s="53" t="s">
        <v>18</v>
      </c>
      <c r="Q728" s="87"/>
      <c r="R728" s="54" t="s">
        <v>34</v>
      </c>
      <c r="S728" s="87"/>
      <c r="T728" s="56" t="s">
        <v>29</v>
      </c>
      <c r="U728" s="12"/>
    </row>
    <row r="729" spans="1:21" ht="15.75" customHeight="1" x14ac:dyDescent="0.2">
      <c r="A729" s="103"/>
      <c r="B729" s="242"/>
      <c r="C729" s="112"/>
      <c r="D729" s="58"/>
      <c r="E729" s="58"/>
      <c r="F729" s="58" t="str">
        <f>IF(AND(C729=""),"",1-C729)</f>
        <v/>
      </c>
      <c r="G729" s="58"/>
      <c r="H729" s="58"/>
      <c r="I729" s="58" t="str">
        <f>IF(AND(C729=""),"",G729*C729)</f>
        <v/>
      </c>
      <c r="J729" s="58" t="str">
        <f>IF(AND(C729=""),"",H729*F729)</f>
        <v/>
      </c>
      <c r="K729" s="58" t="str">
        <f t="shared" ref="K729:K738" si="251">IF(AND(I729=""),"",IF(AND(I729&gt;J729),"T1","T2"))</f>
        <v/>
      </c>
      <c r="L729" s="61" t="str">
        <f t="shared" ref="L729:L738" si="252">IF(AND(K729=""),"",IF(AND((J729*0.95-1)&lt;0,(I729*0.95-1)&lt;0),"NO BET", IF(AND(K729="T1"),I729*0.95 - 1,J729*0.95 - 1)))</f>
        <v/>
      </c>
      <c r="M729" s="61"/>
      <c r="N729" s="246">
        <f>SUMIF(L729:L738,"&gt;0")</f>
        <v>0</v>
      </c>
      <c r="O729" s="88"/>
      <c r="P729" s="62"/>
      <c r="Q729" s="88"/>
      <c r="R729" s="63">
        <f t="shared" ref="R729:R738" si="253">IF(OR(P729="",L729="NO BET"),0,IF(AND(K729=P729),IF(AND(K729="T2"),ROUNDUP(H729*0.95,2)-1,ROUNDUP(G729*0.95,2)-1),-1))</f>
        <v>0</v>
      </c>
      <c r="S729" s="87"/>
      <c r="T729" s="237">
        <f>SUM(R729:R738)</f>
        <v>0</v>
      </c>
      <c r="U729" s="12"/>
    </row>
    <row r="730" spans="1:21" ht="15.75" customHeight="1" x14ac:dyDescent="0.2">
      <c r="A730" s="254" t="s">
        <v>35</v>
      </c>
      <c r="B730" s="242"/>
      <c r="C730" s="113"/>
      <c r="D730" s="65"/>
      <c r="E730" s="65"/>
      <c r="F730" s="65" t="str">
        <f t="shared" ref="F730:F738" si="254">IF(AND(C730=""),"",1-C730)</f>
        <v/>
      </c>
      <c r="G730" s="65"/>
      <c r="H730" s="65"/>
      <c r="I730" s="65" t="str">
        <f t="shared" ref="I730:I738" si="255">IF(AND(C730=""),"",G730*C730)</f>
        <v/>
      </c>
      <c r="J730" s="65" t="str">
        <f t="shared" ref="J730:J738" si="256">IF(AND(C730=""),"",H730*F730)</f>
        <v/>
      </c>
      <c r="K730" s="65" t="str">
        <f t="shared" si="251"/>
        <v/>
      </c>
      <c r="L730" s="68" t="str">
        <f t="shared" si="252"/>
        <v/>
      </c>
      <c r="M730" s="68"/>
      <c r="N730" s="247"/>
      <c r="O730" s="12"/>
      <c r="P730" s="69"/>
      <c r="Q730" s="87"/>
      <c r="R730" s="70">
        <f t="shared" si="253"/>
        <v>0</v>
      </c>
      <c r="S730" s="87"/>
      <c r="T730" s="237"/>
      <c r="U730" s="12"/>
    </row>
    <row r="731" spans="1:21" ht="15.75" customHeight="1" x14ac:dyDescent="0.2">
      <c r="A731" s="254"/>
      <c r="B731" s="242"/>
      <c r="C731" s="114"/>
      <c r="D731" s="10"/>
      <c r="E731" s="10"/>
      <c r="F731" s="10" t="str">
        <f t="shared" si="254"/>
        <v/>
      </c>
      <c r="G731" s="10"/>
      <c r="H731" s="10"/>
      <c r="I731" s="10" t="str">
        <f t="shared" si="255"/>
        <v/>
      </c>
      <c r="J731" s="10" t="str">
        <f t="shared" si="256"/>
        <v/>
      </c>
      <c r="K731" s="10" t="str">
        <f t="shared" si="251"/>
        <v/>
      </c>
      <c r="L731" s="74" t="str">
        <f t="shared" si="252"/>
        <v/>
      </c>
      <c r="M731" s="74"/>
      <c r="N731" s="247"/>
      <c r="O731" s="88"/>
      <c r="P731" s="69"/>
      <c r="Q731" s="87"/>
      <c r="R731" s="70">
        <f t="shared" si="253"/>
        <v>0</v>
      </c>
      <c r="S731" s="87"/>
      <c r="T731" s="237"/>
      <c r="U731" s="12"/>
    </row>
    <row r="732" spans="1:21" ht="15.75" customHeight="1" x14ac:dyDescent="0.2">
      <c r="A732" s="254"/>
      <c r="B732" s="242"/>
      <c r="C732" s="113"/>
      <c r="D732" s="65"/>
      <c r="E732" s="65"/>
      <c r="F732" s="65" t="str">
        <f t="shared" si="254"/>
        <v/>
      </c>
      <c r="G732" s="65"/>
      <c r="H732" s="65"/>
      <c r="I732" s="65" t="str">
        <f t="shared" si="255"/>
        <v/>
      </c>
      <c r="J732" s="65" t="str">
        <f t="shared" si="256"/>
        <v/>
      </c>
      <c r="K732" s="65" t="str">
        <f t="shared" si="251"/>
        <v/>
      </c>
      <c r="L732" s="68" t="str">
        <f t="shared" si="252"/>
        <v/>
      </c>
      <c r="M732" s="68"/>
      <c r="N732" s="247"/>
      <c r="O732" s="92"/>
      <c r="P732" s="69"/>
      <c r="Q732" s="87"/>
      <c r="R732" s="70">
        <f t="shared" si="253"/>
        <v>0</v>
      </c>
      <c r="S732" s="87"/>
      <c r="T732" s="237"/>
      <c r="U732" s="12"/>
    </row>
    <row r="733" spans="1:21" ht="15.75" customHeight="1" x14ac:dyDescent="0.2">
      <c r="A733" s="254"/>
      <c r="B733" s="242"/>
      <c r="C733" s="114"/>
      <c r="D733" s="10"/>
      <c r="E733" s="10"/>
      <c r="F733" s="10" t="str">
        <f t="shared" si="254"/>
        <v/>
      </c>
      <c r="G733" s="10"/>
      <c r="H733" s="10"/>
      <c r="I733" s="10" t="str">
        <f t="shared" si="255"/>
        <v/>
      </c>
      <c r="J733" s="10" t="str">
        <f t="shared" si="256"/>
        <v/>
      </c>
      <c r="K733" s="10" t="str">
        <f t="shared" si="251"/>
        <v/>
      </c>
      <c r="L733" s="75" t="str">
        <f t="shared" si="252"/>
        <v/>
      </c>
      <c r="M733" s="75"/>
      <c r="N733" s="247"/>
      <c r="O733" s="92"/>
      <c r="P733" s="69"/>
      <c r="Q733" s="87"/>
      <c r="R733" s="70">
        <f t="shared" si="253"/>
        <v>0</v>
      </c>
      <c r="S733" s="87"/>
      <c r="T733" s="237"/>
      <c r="U733" s="12"/>
    </row>
    <row r="734" spans="1:21" ht="15.75" customHeight="1" x14ac:dyDescent="0.2">
      <c r="A734" s="254"/>
      <c r="B734" s="242"/>
      <c r="C734" s="113"/>
      <c r="D734" s="65"/>
      <c r="E734" s="65"/>
      <c r="F734" s="65" t="str">
        <f t="shared" si="254"/>
        <v/>
      </c>
      <c r="G734" s="65"/>
      <c r="H734" s="65"/>
      <c r="I734" s="65" t="str">
        <f t="shared" si="255"/>
        <v/>
      </c>
      <c r="J734" s="65" t="str">
        <f t="shared" si="256"/>
        <v/>
      </c>
      <c r="K734" s="65" t="str">
        <f t="shared" si="251"/>
        <v/>
      </c>
      <c r="L734" s="68" t="str">
        <f t="shared" si="252"/>
        <v/>
      </c>
      <c r="M734" s="68"/>
      <c r="N734" s="247"/>
      <c r="O734" s="92"/>
      <c r="P734" s="69"/>
      <c r="Q734" s="87"/>
      <c r="R734" s="70">
        <f t="shared" si="253"/>
        <v>0</v>
      </c>
      <c r="S734" s="87"/>
      <c r="T734" s="237"/>
      <c r="U734" s="12"/>
    </row>
    <row r="735" spans="1:21" ht="15.75" customHeight="1" thickBot="1" x14ac:dyDescent="0.25">
      <c r="A735" s="254"/>
      <c r="B735" s="242"/>
      <c r="C735" s="114"/>
      <c r="D735" s="10"/>
      <c r="E735" s="10"/>
      <c r="F735" s="10" t="str">
        <f t="shared" si="254"/>
        <v/>
      </c>
      <c r="G735" s="10"/>
      <c r="H735" s="10"/>
      <c r="I735" s="10" t="str">
        <f t="shared" si="255"/>
        <v/>
      </c>
      <c r="J735" s="10" t="str">
        <f t="shared" si="256"/>
        <v/>
      </c>
      <c r="K735" s="10" t="str">
        <f t="shared" si="251"/>
        <v/>
      </c>
      <c r="L735" s="74" t="str">
        <f t="shared" si="252"/>
        <v/>
      </c>
      <c r="M735" s="74"/>
      <c r="N735" s="247"/>
      <c r="O735" s="12"/>
      <c r="P735" s="69"/>
      <c r="Q735" s="87"/>
      <c r="R735" s="70">
        <f t="shared" si="253"/>
        <v>0</v>
      </c>
      <c r="S735" s="87"/>
      <c r="T735" s="76" t="s">
        <v>31</v>
      </c>
      <c r="U735" s="12"/>
    </row>
    <row r="736" spans="1:21" ht="15.75" customHeight="1" x14ac:dyDescent="0.2">
      <c r="A736" s="254"/>
      <c r="B736" s="242"/>
      <c r="C736" s="113"/>
      <c r="D736" s="65"/>
      <c r="E736" s="65"/>
      <c r="F736" s="65" t="str">
        <f t="shared" si="254"/>
        <v/>
      </c>
      <c r="G736" s="65"/>
      <c r="H736" s="65"/>
      <c r="I736" s="65" t="str">
        <f t="shared" si="255"/>
        <v/>
      </c>
      <c r="J736" s="65" t="str">
        <f t="shared" si="256"/>
        <v/>
      </c>
      <c r="K736" s="65" t="str">
        <f t="shared" si="251"/>
        <v/>
      </c>
      <c r="L736" s="77" t="str">
        <f t="shared" si="252"/>
        <v/>
      </c>
      <c r="M736" s="77"/>
      <c r="N736" s="247"/>
      <c r="O736" s="12"/>
      <c r="P736" s="69"/>
      <c r="Q736" s="87"/>
      <c r="R736" s="70">
        <f t="shared" si="253"/>
        <v>0</v>
      </c>
      <c r="S736" s="87"/>
      <c r="T736" s="249">
        <f>IF(AND(NOT(N729=0)),T729/N729,0)</f>
        <v>0</v>
      </c>
      <c r="U736" s="12"/>
    </row>
    <row r="737" spans="1:21" ht="15.75" customHeight="1" x14ac:dyDescent="0.2">
      <c r="A737" s="254"/>
      <c r="B737" s="242"/>
      <c r="C737" s="114"/>
      <c r="D737" s="10"/>
      <c r="E737" s="10"/>
      <c r="F737" s="10" t="str">
        <f t="shared" si="254"/>
        <v/>
      </c>
      <c r="G737" s="10"/>
      <c r="H737" s="10"/>
      <c r="I737" s="10" t="str">
        <f t="shared" si="255"/>
        <v/>
      </c>
      <c r="J737" s="10" t="str">
        <f t="shared" si="256"/>
        <v/>
      </c>
      <c r="K737" s="10" t="str">
        <f t="shared" si="251"/>
        <v/>
      </c>
      <c r="L737" s="75" t="str">
        <f t="shared" si="252"/>
        <v/>
      </c>
      <c r="M737" s="75"/>
      <c r="N737" s="247"/>
      <c r="O737" s="12"/>
      <c r="P737" s="69"/>
      <c r="Q737" s="87"/>
      <c r="R737" s="70">
        <f t="shared" si="253"/>
        <v>0</v>
      </c>
      <c r="S737" s="87"/>
      <c r="T737" s="250"/>
      <c r="U737" s="12"/>
    </row>
    <row r="738" spans="1:21" ht="15.75" customHeight="1" thickBot="1" x14ac:dyDescent="0.25">
      <c r="A738" s="255"/>
      <c r="B738" s="243"/>
      <c r="C738" s="115"/>
      <c r="D738" s="80"/>
      <c r="E738" s="80"/>
      <c r="F738" s="80" t="str">
        <f t="shared" si="254"/>
        <v/>
      </c>
      <c r="G738" s="80"/>
      <c r="H738" s="80"/>
      <c r="I738" s="80" t="str">
        <f t="shared" si="255"/>
        <v/>
      </c>
      <c r="J738" s="80" t="str">
        <f t="shared" si="256"/>
        <v/>
      </c>
      <c r="K738" s="80" t="str">
        <f t="shared" si="251"/>
        <v/>
      </c>
      <c r="L738" s="83" t="str">
        <f t="shared" si="252"/>
        <v/>
      </c>
      <c r="M738" s="83"/>
      <c r="N738" s="248"/>
      <c r="O738" s="12"/>
      <c r="P738" s="84"/>
      <c r="Q738" s="12"/>
      <c r="R738" s="85">
        <f t="shared" si="253"/>
        <v>0</v>
      </c>
      <c r="S738" s="12"/>
      <c r="T738" s="251"/>
      <c r="U738" s="12"/>
    </row>
    <row r="739" spans="1:21" ht="15.75" customHeight="1" x14ac:dyDescent="0.2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3"/>
      <c r="S739" s="12"/>
      <c r="T739" s="14"/>
      <c r="U739" s="12"/>
    </row>
    <row r="740" spans="1:21" ht="15.75" customHeight="1" x14ac:dyDescent="0.2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3"/>
      <c r="S740" s="12"/>
      <c r="T740" s="14"/>
      <c r="U740" s="12"/>
    </row>
    <row r="741" spans="1:21" ht="15.75" customHeight="1" thickBot="1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3"/>
      <c r="S741" s="12"/>
      <c r="T741" s="14"/>
      <c r="U741" s="12"/>
    </row>
    <row r="742" spans="1:21" ht="15.75" customHeight="1" thickBot="1" x14ac:dyDescent="0.3">
      <c r="A742" s="102" t="s">
        <v>6</v>
      </c>
      <c r="B742" s="241" t="s">
        <v>28</v>
      </c>
      <c r="C742" s="108"/>
      <c r="D742" s="51" t="s">
        <v>9</v>
      </c>
      <c r="E742" s="51" t="s">
        <v>10</v>
      </c>
      <c r="F742" s="51" t="s">
        <v>11</v>
      </c>
      <c r="G742" s="51" t="s">
        <v>12</v>
      </c>
      <c r="H742" s="51" t="s">
        <v>13</v>
      </c>
      <c r="I742" s="51" t="s">
        <v>14</v>
      </c>
      <c r="J742" s="51" t="s">
        <v>15</v>
      </c>
      <c r="K742" s="51" t="s">
        <v>33</v>
      </c>
      <c r="L742" s="51" t="s">
        <v>16</v>
      </c>
      <c r="M742" s="51"/>
      <c r="N742" s="52" t="s">
        <v>17</v>
      </c>
      <c r="O742" s="88"/>
      <c r="P742" s="53" t="s">
        <v>18</v>
      </c>
      <c r="Q742" s="87"/>
      <c r="R742" s="54" t="s">
        <v>34</v>
      </c>
      <c r="S742" s="87"/>
      <c r="T742" s="56" t="s">
        <v>29</v>
      </c>
      <c r="U742" s="12"/>
    </row>
    <row r="743" spans="1:21" ht="15.75" customHeight="1" x14ac:dyDescent="0.2">
      <c r="A743" s="103"/>
      <c r="B743" s="242"/>
      <c r="C743" s="112"/>
      <c r="D743" s="58"/>
      <c r="E743" s="58"/>
      <c r="F743" s="58" t="str">
        <f>IF(AND(C743=""),"",1-C743)</f>
        <v/>
      </c>
      <c r="G743" s="58"/>
      <c r="H743" s="58"/>
      <c r="I743" s="58" t="str">
        <f>IF(AND(C743=""),"",G743*C743)</f>
        <v/>
      </c>
      <c r="J743" s="58" t="str">
        <f>IF(AND(C743=""),"",H743*F743)</f>
        <v/>
      </c>
      <c r="K743" s="58" t="str">
        <f t="shared" ref="K743:K752" si="257">IF(AND(I743=""),"",IF(AND(I743&gt;J743),"T1","T2"))</f>
        <v/>
      </c>
      <c r="L743" s="61" t="str">
        <f t="shared" ref="L743:L752" si="258">IF(AND(K743=""),"",IF(AND((J743*0.95-1)&lt;0,(I743*0.95-1)&lt;0),"NO BET", IF(AND(K743="T1"),I743*0.95 - 1,J743*0.95 - 1)))</f>
        <v/>
      </c>
      <c r="M743" s="61"/>
      <c r="N743" s="246">
        <f>SUMIF(L743:L752,"&gt;0")</f>
        <v>0</v>
      </c>
      <c r="O743" s="88"/>
      <c r="P743" s="62"/>
      <c r="Q743" s="88"/>
      <c r="R743" s="63">
        <f t="shared" ref="R743:R752" si="259">IF(OR(P743="",L743="NO BET"),0,IF(AND(K743=P743),IF(AND(K743="T2"),ROUNDUP(H743*0.95,2)-1,ROUNDUP(G743*0.95,2)-1),-1))</f>
        <v>0</v>
      </c>
      <c r="S743" s="87"/>
      <c r="T743" s="237">
        <f>SUM(R743:R752)</f>
        <v>0</v>
      </c>
      <c r="U743" s="12"/>
    </row>
    <row r="744" spans="1:21" ht="15.75" customHeight="1" x14ac:dyDescent="0.2">
      <c r="A744" s="254" t="s">
        <v>35</v>
      </c>
      <c r="B744" s="242"/>
      <c r="C744" s="113"/>
      <c r="D744" s="65"/>
      <c r="E744" s="65"/>
      <c r="F744" s="65" t="str">
        <f t="shared" ref="F744:F752" si="260">IF(AND(C744=""),"",1-C744)</f>
        <v/>
      </c>
      <c r="G744" s="65"/>
      <c r="H744" s="65"/>
      <c r="I744" s="65" t="str">
        <f t="shared" ref="I744:I752" si="261">IF(AND(C744=""),"",G744*C744)</f>
        <v/>
      </c>
      <c r="J744" s="65" t="str">
        <f t="shared" ref="J744:J752" si="262">IF(AND(C744=""),"",H744*F744)</f>
        <v/>
      </c>
      <c r="K744" s="65" t="str">
        <f t="shared" si="257"/>
        <v/>
      </c>
      <c r="L744" s="68" t="str">
        <f t="shared" si="258"/>
        <v/>
      </c>
      <c r="M744" s="68"/>
      <c r="N744" s="247"/>
      <c r="O744" s="12"/>
      <c r="P744" s="69"/>
      <c r="Q744" s="87"/>
      <c r="R744" s="70">
        <f t="shared" si="259"/>
        <v>0</v>
      </c>
      <c r="S744" s="87"/>
      <c r="T744" s="237"/>
      <c r="U744" s="12"/>
    </row>
    <row r="745" spans="1:21" ht="15.75" customHeight="1" x14ac:dyDescent="0.2">
      <c r="A745" s="254"/>
      <c r="B745" s="242"/>
      <c r="C745" s="114"/>
      <c r="D745" s="10"/>
      <c r="E745" s="10"/>
      <c r="F745" s="10" t="str">
        <f t="shared" si="260"/>
        <v/>
      </c>
      <c r="G745" s="10"/>
      <c r="H745" s="10"/>
      <c r="I745" s="10" t="str">
        <f t="shared" si="261"/>
        <v/>
      </c>
      <c r="J745" s="10" t="str">
        <f t="shared" si="262"/>
        <v/>
      </c>
      <c r="K745" s="10" t="str">
        <f t="shared" si="257"/>
        <v/>
      </c>
      <c r="L745" s="74" t="str">
        <f t="shared" si="258"/>
        <v/>
      </c>
      <c r="M745" s="74"/>
      <c r="N745" s="247"/>
      <c r="O745" s="88"/>
      <c r="P745" s="69"/>
      <c r="Q745" s="87"/>
      <c r="R745" s="70">
        <f t="shared" si="259"/>
        <v>0</v>
      </c>
      <c r="S745" s="87"/>
      <c r="T745" s="237"/>
      <c r="U745" s="12"/>
    </row>
    <row r="746" spans="1:21" ht="15.75" customHeight="1" x14ac:dyDescent="0.2">
      <c r="A746" s="254"/>
      <c r="B746" s="242"/>
      <c r="C746" s="113"/>
      <c r="D746" s="65"/>
      <c r="E746" s="65"/>
      <c r="F746" s="65" t="str">
        <f t="shared" si="260"/>
        <v/>
      </c>
      <c r="G746" s="65"/>
      <c r="H746" s="65"/>
      <c r="I746" s="65" t="str">
        <f t="shared" si="261"/>
        <v/>
      </c>
      <c r="J746" s="65" t="str">
        <f t="shared" si="262"/>
        <v/>
      </c>
      <c r="K746" s="65" t="str">
        <f t="shared" si="257"/>
        <v/>
      </c>
      <c r="L746" s="68" t="str">
        <f t="shared" si="258"/>
        <v/>
      </c>
      <c r="M746" s="68"/>
      <c r="N746" s="247"/>
      <c r="O746" s="92"/>
      <c r="P746" s="69"/>
      <c r="Q746" s="87"/>
      <c r="R746" s="70">
        <f t="shared" si="259"/>
        <v>0</v>
      </c>
      <c r="S746" s="87"/>
      <c r="T746" s="237"/>
      <c r="U746" s="12"/>
    </row>
    <row r="747" spans="1:21" ht="15.75" customHeight="1" x14ac:dyDescent="0.2">
      <c r="A747" s="254"/>
      <c r="B747" s="242"/>
      <c r="C747" s="114"/>
      <c r="D747" s="10"/>
      <c r="E747" s="10"/>
      <c r="F747" s="10" t="str">
        <f t="shared" si="260"/>
        <v/>
      </c>
      <c r="G747" s="10"/>
      <c r="H747" s="10"/>
      <c r="I747" s="10" t="str">
        <f t="shared" si="261"/>
        <v/>
      </c>
      <c r="J747" s="10" t="str">
        <f t="shared" si="262"/>
        <v/>
      </c>
      <c r="K747" s="10" t="str">
        <f t="shared" si="257"/>
        <v/>
      </c>
      <c r="L747" s="75" t="str">
        <f t="shared" si="258"/>
        <v/>
      </c>
      <c r="M747" s="75"/>
      <c r="N747" s="247"/>
      <c r="O747" s="92"/>
      <c r="P747" s="69"/>
      <c r="Q747" s="87"/>
      <c r="R747" s="70">
        <f t="shared" si="259"/>
        <v>0</v>
      </c>
      <c r="S747" s="87"/>
      <c r="T747" s="237"/>
      <c r="U747" s="12"/>
    </row>
    <row r="748" spans="1:21" ht="15.75" customHeight="1" x14ac:dyDescent="0.2">
      <c r="A748" s="254"/>
      <c r="B748" s="242"/>
      <c r="C748" s="113"/>
      <c r="D748" s="65"/>
      <c r="E748" s="65"/>
      <c r="F748" s="65" t="str">
        <f t="shared" si="260"/>
        <v/>
      </c>
      <c r="G748" s="65"/>
      <c r="H748" s="65"/>
      <c r="I748" s="65" t="str">
        <f t="shared" si="261"/>
        <v/>
      </c>
      <c r="J748" s="65" t="str">
        <f t="shared" si="262"/>
        <v/>
      </c>
      <c r="K748" s="65" t="str">
        <f t="shared" si="257"/>
        <v/>
      </c>
      <c r="L748" s="68" t="str">
        <f t="shared" si="258"/>
        <v/>
      </c>
      <c r="M748" s="68"/>
      <c r="N748" s="247"/>
      <c r="O748" s="92"/>
      <c r="P748" s="69"/>
      <c r="Q748" s="87"/>
      <c r="R748" s="70">
        <f t="shared" si="259"/>
        <v>0</v>
      </c>
      <c r="S748" s="87"/>
      <c r="T748" s="237"/>
      <c r="U748" s="12"/>
    </row>
    <row r="749" spans="1:21" ht="15.75" customHeight="1" thickBot="1" x14ac:dyDescent="0.25">
      <c r="A749" s="254"/>
      <c r="B749" s="242"/>
      <c r="C749" s="114"/>
      <c r="D749" s="10"/>
      <c r="E749" s="10"/>
      <c r="F749" s="10" t="str">
        <f t="shared" si="260"/>
        <v/>
      </c>
      <c r="G749" s="10"/>
      <c r="H749" s="10"/>
      <c r="I749" s="10" t="str">
        <f t="shared" si="261"/>
        <v/>
      </c>
      <c r="J749" s="10" t="str">
        <f t="shared" si="262"/>
        <v/>
      </c>
      <c r="K749" s="10" t="str">
        <f t="shared" si="257"/>
        <v/>
      </c>
      <c r="L749" s="74" t="str">
        <f t="shared" si="258"/>
        <v/>
      </c>
      <c r="M749" s="74"/>
      <c r="N749" s="247"/>
      <c r="O749" s="12"/>
      <c r="P749" s="69"/>
      <c r="Q749" s="87"/>
      <c r="R749" s="70">
        <f t="shared" si="259"/>
        <v>0</v>
      </c>
      <c r="S749" s="87"/>
      <c r="T749" s="76" t="s">
        <v>31</v>
      </c>
      <c r="U749" s="12"/>
    </row>
    <row r="750" spans="1:21" ht="15.75" customHeight="1" x14ac:dyDescent="0.2">
      <c r="A750" s="254"/>
      <c r="B750" s="242"/>
      <c r="C750" s="113"/>
      <c r="D750" s="65"/>
      <c r="E750" s="65"/>
      <c r="F750" s="65" t="str">
        <f t="shared" si="260"/>
        <v/>
      </c>
      <c r="G750" s="65"/>
      <c r="H750" s="65"/>
      <c r="I750" s="65" t="str">
        <f t="shared" si="261"/>
        <v/>
      </c>
      <c r="J750" s="65" t="str">
        <f t="shared" si="262"/>
        <v/>
      </c>
      <c r="K750" s="65" t="str">
        <f t="shared" si="257"/>
        <v/>
      </c>
      <c r="L750" s="77" t="str">
        <f t="shared" si="258"/>
        <v/>
      </c>
      <c r="M750" s="77"/>
      <c r="N750" s="247"/>
      <c r="O750" s="12"/>
      <c r="P750" s="69"/>
      <c r="Q750" s="87"/>
      <c r="R750" s="70">
        <f t="shared" si="259"/>
        <v>0</v>
      </c>
      <c r="S750" s="87"/>
      <c r="T750" s="249">
        <f>IF(AND(NOT(N743=0)),T743/N743,0)</f>
        <v>0</v>
      </c>
      <c r="U750" s="12"/>
    </row>
    <row r="751" spans="1:21" ht="15.75" customHeight="1" x14ac:dyDescent="0.2">
      <c r="A751" s="254"/>
      <c r="B751" s="242"/>
      <c r="C751" s="114"/>
      <c r="D751" s="10"/>
      <c r="E751" s="10"/>
      <c r="F751" s="10" t="str">
        <f t="shared" si="260"/>
        <v/>
      </c>
      <c r="G751" s="10"/>
      <c r="H751" s="10"/>
      <c r="I751" s="10" t="str">
        <f t="shared" si="261"/>
        <v/>
      </c>
      <c r="J751" s="10" t="str">
        <f t="shared" si="262"/>
        <v/>
      </c>
      <c r="K751" s="10" t="str">
        <f t="shared" si="257"/>
        <v/>
      </c>
      <c r="L751" s="75" t="str">
        <f t="shared" si="258"/>
        <v/>
      </c>
      <c r="M751" s="75"/>
      <c r="N751" s="247"/>
      <c r="O751" s="12"/>
      <c r="P751" s="69"/>
      <c r="Q751" s="87"/>
      <c r="R751" s="70">
        <f t="shared" si="259"/>
        <v>0</v>
      </c>
      <c r="S751" s="87"/>
      <c r="T751" s="250"/>
      <c r="U751" s="12"/>
    </row>
    <row r="752" spans="1:21" ht="15.75" customHeight="1" thickBot="1" x14ac:dyDescent="0.25">
      <c r="A752" s="255"/>
      <c r="B752" s="243"/>
      <c r="C752" s="115"/>
      <c r="D752" s="80"/>
      <c r="E752" s="80"/>
      <c r="F752" s="80" t="str">
        <f t="shared" si="260"/>
        <v/>
      </c>
      <c r="G752" s="80"/>
      <c r="H752" s="80"/>
      <c r="I752" s="80" t="str">
        <f t="shared" si="261"/>
        <v/>
      </c>
      <c r="J752" s="80" t="str">
        <f t="shared" si="262"/>
        <v/>
      </c>
      <c r="K752" s="80" t="str">
        <f t="shared" si="257"/>
        <v/>
      </c>
      <c r="L752" s="83" t="str">
        <f t="shared" si="258"/>
        <v/>
      </c>
      <c r="M752" s="83"/>
      <c r="N752" s="248"/>
      <c r="O752" s="12"/>
      <c r="P752" s="84"/>
      <c r="Q752" s="12"/>
      <c r="R752" s="85">
        <f t="shared" si="259"/>
        <v>0</v>
      </c>
      <c r="S752" s="12"/>
      <c r="T752" s="251"/>
      <c r="U752" s="12"/>
    </row>
    <row r="753" spans="1:21" ht="15.75" customHeight="1" x14ac:dyDescent="0.2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87"/>
      <c r="P753" s="87"/>
      <c r="Q753" s="87"/>
      <c r="R753" s="106"/>
      <c r="S753" s="87"/>
      <c r="T753" s="107"/>
      <c r="U753" s="12"/>
    </row>
    <row r="754" spans="1:21" x14ac:dyDescent="0.2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87"/>
      <c r="P754" s="87"/>
      <c r="Q754" s="87"/>
      <c r="R754" s="106"/>
      <c r="S754" s="87"/>
      <c r="T754" s="107"/>
      <c r="U754" s="12"/>
    </row>
    <row r="755" spans="1:21" x14ac:dyDescent="0.2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87"/>
      <c r="P755" s="87"/>
      <c r="Q755" s="87"/>
      <c r="R755" s="106"/>
      <c r="S755" s="87"/>
      <c r="T755" s="107"/>
      <c r="U755" s="12"/>
    </row>
    <row r="756" spans="1:21" ht="15.75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88"/>
      <c r="P756" s="116"/>
      <c r="Q756" s="87"/>
      <c r="R756" s="117"/>
      <c r="S756" s="87"/>
      <c r="T756" s="118"/>
      <c r="U756" s="12"/>
    </row>
    <row r="757" spans="1:21" ht="15.75" customHeight="1" x14ac:dyDescent="0.2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88"/>
      <c r="P757" s="92"/>
      <c r="Q757" s="88"/>
      <c r="R757" s="109"/>
      <c r="S757" s="87"/>
      <c r="T757" s="119"/>
      <c r="U757" s="12"/>
    </row>
    <row r="758" spans="1:21" ht="15.75" customHeight="1" x14ac:dyDescent="0.2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87"/>
      <c r="P758" s="92"/>
      <c r="Q758" s="87"/>
      <c r="R758" s="109"/>
      <c r="S758" s="87"/>
      <c r="T758" s="119"/>
      <c r="U758" s="12"/>
    </row>
    <row r="759" spans="1:21" ht="15.75" customHeight="1" x14ac:dyDescent="0.2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88"/>
      <c r="P759" s="92"/>
      <c r="Q759" s="87"/>
      <c r="R759" s="109"/>
      <c r="S759" s="87"/>
      <c r="T759" s="119"/>
      <c r="U759" s="12"/>
    </row>
    <row r="760" spans="1:21" ht="15.75" customHeight="1" x14ac:dyDescent="0.2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92"/>
      <c r="P760" s="92"/>
      <c r="Q760" s="87"/>
      <c r="R760" s="109"/>
      <c r="S760" s="87"/>
      <c r="T760" s="119"/>
      <c r="U760" s="12"/>
    </row>
    <row r="761" spans="1:21" ht="15.75" customHeight="1" x14ac:dyDescent="0.2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92"/>
      <c r="P761" s="92"/>
      <c r="Q761" s="87"/>
      <c r="R761" s="109"/>
      <c r="S761" s="87"/>
      <c r="T761" s="119"/>
      <c r="U761" s="12"/>
    </row>
    <row r="762" spans="1:21" ht="15.75" customHeight="1" x14ac:dyDescent="0.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92"/>
      <c r="P762" s="92"/>
      <c r="Q762" s="87"/>
      <c r="R762" s="109"/>
      <c r="S762" s="87"/>
      <c r="T762" s="119"/>
      <c r="U762" s="12"/>
    </row>
    <row r="763" spans="1:21" ht="15.75" x14ac:dyDescent="0.2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87"/>
      <c r="P763" s="92"/>
      <c r="Q763" s="87"/>
      <c r="R763" s="109"/>
      <c r="S763" s="87"/>
      <c r="T763" s="118"/>
      <c r="U763" s="12"/>
    </row>
    <row r="764" spans="1:21" x14ac:dyDescent="0.2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87"/>
      <c r="P764" s="92"/>
      <c r="Q764" s="87"/>
      <c r="R764" s="109"/>
      <c r="S764" s="87"/>
      <c r="T764" s="120"/>
      <c r="U764" s="12"/>
    </row>
    <row r="765" spans="1:21" x14ac:dyDescent="0.2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3"/>
      <c r="S765" s="12"/>
      <c r="T765" s="14"/>
      <c r="U765" s="12"/>
    </row>
    <row r="766" spans="1:21" x14ac:dyDescent="0.2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3"/>
      <c r="S766" s="12"/>
      <c r="T766" s="14"/>
      <c r="U766" s="12"/>
    </row>
    <row r="767" spans="1:21" x14ac:dyDescent="0.2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3"/>
      <c r="S767" s="12"/>
      <c r="T767" s="14"/>
      <c r="U767" s="12"/>
    </row>
    <row r="768" spans="1:21" x14ac:dyDescent="0.2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3"/>
      <c r="S768" s="12"/>
      <c r="T768" s="14"/>
      <c r="U768" s="12"/>
    </row>
    <row r="769" spans="1:21" x14ac:dyDescent="0.2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3"/>
      <c r="S769" s="12"/>
      <c r="T769" s="14"/>
      <c r="U769" s="12"/>
    </row>
    <row r="770" spans="1:21" x14ac:dyDescent="0.2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3"/>
      <c r="S770" s="12"/>
      <c r="T770" s="14"/>
      <c r="U770" s="12"/>
    </row>
    <row r="771" spans="1:21" x14ac:dyDescent="0.2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3"/>
      <c r="S771" s="12"/>
      <c r="T771" s="14"/>
      <c r="U771" s="12"/>
    </row>
    <row r="772" spans="1:21" x14ac:dyDescent="0.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3"/>
      <c r="S772" s="12"/>
      <c r="T772" s="14"/>
      <c r="U772" s="12"/>
    </row>
    <row r="773" spans="1:21" x14ac:dyDescent="0.2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3"/>
      <c r="S773" s="12"/>
      <c r="T773" s="14"/>
      <c r="U773" s="12"/>
    </row>
    <row r="774" spans="1:21" x14ac:dyDescent="0.2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3"/>
      <c r="S774" s="12"/>
      <c r="T774" s="14"/>
      <c r="U774" s="12"/>
    </row>
    <row r="775" spans="1:21" x14ac:dyDescent="0.2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3"/>
      <c r="S775" s="12"/>
      <c r="T775" s="14"/>
      <c r="U775" s="12"/>
    </row>
    <row r="776" spans="1:21" x14ac:dyDescent="0.2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3"/>
      <c r="S776" s="12"/>
      <c r="T776" s="14"/>
      <c r="U776" s="12"/>
    </row>
    <row r="777" spans="1:21" x14ac:dyDescent="0.2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3"/>
      <c r="S777" s="12"/>
      <c r="T777" s="14"/>
      <c r="U777" s="12"/>
    </row>
    <row r="778" spans="1:21" x14ac:dyDescent="0.2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3"/>
      <c r="S778" s="12"/>
      <c r="T778" s="14"/>
      <c r="U778" s="12"/>
    </row>
    <row r="779" spans="1:21" x14ac:dyDescent="0.2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3"/>
      <c r="S779" s="12"/>
      <c r="T779" s="14"/>
      <c r="U779" s="12"/>
    </row>
    <row r="780" spans="1:21" x14ac:dyDescent="0.2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3"/>
      <c r="S780" s="12"/>
      <c r="T780" s="14"/>
      <c r="U780" s="12"/>
    </row>
    <row r="781" spans="1:21" ht="15.75" thickBot="1" x14ac:dyDescent="0.25"/>
    <row r="782" spans="1:21" ht="19.5" customHeight="1" thickBot="1" x14ac:dyDescent="0.3">
      <c r="A782" s="102"/>
      <c r="B782" s="241"/>
      <c r="C782" s="108"/>
      <c r="F782" s="51"/>
      <c r="G782" s="51"/>
      <c r="H782" s="51"/>
      <c r="I782" s="51"/>
      <c r="J782" s="51"/>
      <c r="K782" s="51"/>
      <c r="L782" s="51"/>
      <c r="M782" s="51"/>
      <c r="N782" s="52"/>
      <c r="O782" s="88"/>
      <c r="P782" s="53"/>
      <c r="Q782" s="87"/>
      <c r="R782" s="54"/>
      <c r="S782" s="87"/>
      <c r="T782" s="56"/>
    </row>
    <row r="783" spans="1:21" ht="18" customHeight="1" x14ac:dyDescent="0.2">
      <c r="A783" s="103"/>
      <c r="B783" s="242"/>
      <c r="C783" s="112"/>
      <c r="F783" s="58"/>
      <c r="G783" s="58"/>
      <c r="H783" s="58"/>
      <c r="I783" s="58"/>
      <c r="J783" s="58"/>
      <c r="K783" s="58"/>
      <c r="L783" s="61"/>
      <c r="M783" s="61"/>
      <c r="N783" s="246"/>
      <c r="O783" s="88"/>
      <c r="P783" s="62"/>
      <c r="Q783" s="88"/>
      <c r="R783" s="63"/>
      <c r="S783" s="87"/>
      <c r="T783" s="237"/>
    </row>
    <row r="784" spans="1:21" ht="18" customHeight="1" x14ac:dyDescent="0.2">
      <c r="A784" s="278"/>
      <c r="B784" s="242"/>
      <c r="C784" s="113"/>
      <c r="F784" s="65"/>
      <c r="G784" s="65"/>
      <c r="H784" s="65"/>
      <c r="I784" s="65"/>
      <c r="J784" s="65"/>
      <c r="K784" s="65"/>
      <c r="L784" s="68"/>
      <c r="M784" s="68"/>
      <c r="N784" s="247"/>
      <c r="O784" s="12"/>
      <c r="P784" s="69"/>
      <c r="Q784" s="87"/>
      <c r="R784" s="70"/>
      <c r="S784" s="87"/>
      <c r="T784" s="237"/>
    </row>
    <row r="785" spans="1:20" ht="18" customHeight="1" x14ac:dyDescent="0.2">
      <c r="A785" s="278"/>
      <c r="B785" s="242"/>
      <c r="C785" s="114"/>
      <c r="F785" s="10"/>
      <c r="G785" s="10"/>
      <c r="H785" s="10"/>
      <c r="I785" s="10"/>
      <c r="J785" s="10"/>
      <c r="K785" s="10"/>
      <c r="L785" s="74"/>
      <c r="M785" s="74"/>
      <c r="N785" s="247"/>
      <c r="O785" s="88"/>
      <c r="P785" s="69"/>
      <c r="Q785" s="87"/>
      <c r="R785" s="70"/>
      <c r="S785" s="87"/>
      <c r="T785" s="237"/>
    </row>
    <row r="786" spans="1:20" ht="18" customHeight="1" x14ac:dyDescent="0.2">
      <c r="A786" s="278"/>
      <c r="B786" s="242"/>
      <c r="C786" s="113"/>
      <c r="F786" s="65"/>
      <c r="G786" s="65"/>
      <c r="H786" s="65"/>
      <c r="I786" s="65"/>
      <c r="J786" s="65"/>
      <c r="K786" s="65"/>
      <c r="L786" s="68"/>
      <c r="M786" s="68"/>
      <c r="N786" s="247"/>
      <c r="O786" s="92"/>
      <c r="P786" s="69"/>
      <c r="Q786" s="87"/>
      <c r="R786" s="70"/>
      <c r="S786" s="87"/>
      <c r="T786" s="237"/>
    </row>
    <row r="787" spans="1:20" ht="18" customHeight="1" x14ac:dyDescent="0.2">
      <c r="A787" s="278"/>
      <c r="B787" s="242"/>
      <c r="C787" s="114"/>
      <c r="F787" s="10"/>
      <c r="G787" s="10"/>
      <c r="H787" s="10"/>
      <c r="I787" s="10"/>
      <c r="J787" s="10"/>
      <c r="K787" s="10"/>
      <c r="L787" s="75"/>
      <c r="M787" s="75"/>
      <c r="N787" s="247"/>
      <c r="O787" s="92"/>
      <c r="P787" s="69"/>
      <c r="Q787" s="87"/>
      <c r="R787" s="70"/>
      <c r="S787" s="87"/>
      <c r="T787" s="237"/>
    </row>
    <row r="788" spans="1:20" ht="18" customHeight="1" x14ac:dyDescent="0.2">
      <c r="A788" s="278"/>
      <c r="B788" s="242"/>
      <c r="C788" s="113"/>
      <c r="F788" s="65"/>
      <c r="G788" s="65"/>
      <c r="H788" s="65"/>
      <c r="I788" s="65"/>
      <c r="J788" s="65"/>
      <c r="K788" s="65"/>
      <c r="L788" s="68"/>
      <c r="M788" s="68"/>
      <c r="N788" s="247"/>
      <c r="O788" s="92"/>
      <c r="P788" s="69"/>
      <c r="Q788" s="87"/>
      <c r="R788" s="70"/>
      <c r="S788" s="87"/>
      <c r="T788" s="237"/>
    </row>
    <row r="789" spans="1:20" ht="16.5" thickBot="1" x14ac:dyDescent="0.25">
      <c r="A789" s="278"/>
      <c r="B789" s="242"/>
      <c r="C789" s="121"/>
      <c r="F789" s="122"/>
      <c r="G789" s="122"/>
      <c r="H789" s="122"/>
      <c r="I789" s="122"/>
      <c r="J789" s="122"/>
      <c r="K789" s="122"/>
      <c r="L789" s="123"/>
      <c r="M789" s="123"/>
      <c r="N789" s="247"/>
      <c r="O789" s="12"/>
      <c r="P789" s="69"/>
      <c r="Q789" s="87"/>
      <c r="R789" s="70"/>
      <c r="S789" s="87"/>
      <c r="T789" s="76"/>
    </row>
    <row r="790" spans="1:20" x14ac:dyDescent="0.2">
      <c r="A790" s="278"/>
      <c r="B790" s="242"/>
      <c r="C790" s="113"/>
      <c r="F790" s="65"/>
      <c r="G790" s="65"/>
      <c r="H790" s="65"/>
      <c r="I790" s="65"/>
      <c r="J790" s="65"/>
      <c r="K790" s="65"/>
      <c r="L790" s="77"/>
      <c r="M790" s="77"/>
      <c r="N790" s="247"/>
      <c r="O790" s="12"/>
      <c r="P790" s="69"/>
      <c r="Q790" s="87"/>
      <c r="R790" s="70"/>
      <c r="S790" s="87"/>
      <c r="T790" s="249"/>
    </row>
    <row r="791" spans="1:20" x14ac:dyDescent="0.2">
      <c r="A791" s="278"/>
      <c r="B791" s="242"/>
      <c r="C791" s="114"/>
      <c r="F791" s="10"/>
      <c r="G791" s="10"/>
      <c r="H791" s="10"/>
      <c r="I791" s="10"/>
      <c r="J791" s="10"/>
      <c r="K791" s="10"/>
      <c r="L791" s="75"/>
      <c r="M791" s="75"/>
      <c r="N791" s="247"/>
      <c r="O791" s="12"/>
      <c r="P791" s="69"/>
      <c r="Q791" s="87"/>
      <c r="R791" s="70"/>
      <c r="S791" s="87"/>
      <c r="T791" s="250"/>
    </row>
    <row r="792" spans="1:20" ht="15.75" thickBot="1" x14ac:dyDescent="0.25">
      <c r="A792" s="279"/>
      <c r="B792" s="243"/>
      <c r="C792" s="115"/>
      <c r="F792" s="80"/>
      <c r="G792" s="80"/>
      <c r="H792" s="80"/>
      <c r="I792" s="80"/>
      <c r="J792" s="80"/>
      <c r="K792" s="80"/>
      <c r="L792" s="83"/>
      <c r="M792" s="83"/>
      <c r="N792" s="248"/>
      <c r="O792" s="12"/>
      <c r="P792" s="84"/>
      <c r="Q792" s="12"/>
      <c r="R792" s="85"/>
      <c r="S792" s="12"/>
      <c r="T792" s="251"/>
    </row>
    <row r="793" spans="1:20" ht="18.75" thickBot="1" x14ac:dyDescent="0.3">
      <c r="A793" s="102"/>
      <c r="B793" s="241"/>
      <c r="C793" s="108"/>
      <c r="F793" s="51"/>
      <c r="G793" s="51"/>
      <c r="H793" s="51"/>
      <c r="I793" s="51"/>
      <c r="J793" s="51"/>
      <c r="K793" s="51"/>
      <c r="L793" s="51"/>
      <c r="M793" s="51"/>
      <c r="N793" s="52"/>
      <c r="O793" s="88"/>
      <c r="P793" s="53"/>
      <c r="Q793" s="87"/>
      <c r="R793" s="54"/>
      <c r="S793" s="87"/>
      <c r="T793" s="56"/>
    </row>
    <row r="794" spans="1:20" ht="15.75" x14ac:dyDescent="0.2">
      <c r="A794" s="103"/>
      <c r="B794" s="242"/>
      <c r="C794" s="112"/>
      <c r="F794" s="58"/>
      <c r="G794" s="58"/>
      <c r="H794" s="58"/>
      <c r="I794" s="58"/>
      <c r="J794" s="58"/>
      <c r="K794" s="58"/>
      <c r="L794" s="61"/>
      <c r="M794" s="61"/>
      <c r="N794" s="246"/>
      <c r="O794" s="88"/>
      <c r="P794" s="62"/>
      <c r="Q794" s="88"/>
      <c r="R794" s="63"/>
      <c r="S794" s="87"/>
      <c r="T794" s="237"/>
    </row>
    <row r="795" spans="1:20" x14ac:dyDescent="0.2">
      <c r="A795" s="278"/>
      <c r="B795" s="242"/>
      <c r="C795" s="113"/>
      <c r="F795" s="65"/>
      <c r="G795" s="65"/>
      <c r="H795" s="65"/>
      <c r="I795" s="65"/>
      <c r="J795" s="65"/>
      <c r="K795" s="65"/>
      <c r="L795" s="68"/>
      <c r="M795" s="68"/>
      <c r="N795" s="247"/>
      <c r="O795" s="12"/>
      <c r="P795" s="69"/>
      <c r="Q795" s="87"/>
      <c r="R795" s="70"/>
      <c r="S795" s="87"/>
      <c r="T795" s="237"/>
    </row>
    <row r="796" spans="1:20" ht="15.75" x14ac:dyDescent="0.2">
      <c r="A796" s="278"/>
      <c r="B796" s="242"/>
      <c r="C796" s="114"/>
      <c r="F796" s="10"/>
      <c r="G796" s="10"/>
      <c r="H796" s="10"/>
      <c r="I796" s="10"/>
      <c r="J796" s="10"/>
      <c r="K796" s="10"/>
      <c r="L796" s="74"/>
      <c r="M796" s="74"/>
      <c r="N796" s="247"/>
      <c r="O796" s="88"/>
      <c r="P796" s="69"/>
      <c r="Q796" s="87"/>
      <c r="R796" s="70"/>
      <c r="S796" s="87"/>
      <c r="T796" s="237"/>
    </row>
    <row r="797" spans="1:20" x14ac:dyDescent="0.2">
      <c r="A797" s="278"/>
      <c r="B797" s="242"/>
      <c r="C797" s="113"/>
      <c r="F797" s="65"/>
      <c r="G797" s="65"/>
      <c r="H797" s="65"/>
      <c r="I797" s="65"/>
      <c r="J797" s="65"/>
      <c r="K797" s="65"/>
      <c r="L797" s="68"/>
      <c r="M797" s="68"/>
      <c r="N797" s="247"/>
      <c r="O797" s="92"/>
      <c r="P797" s="69"/>
      <c r="Q797" s="87"/>
      <c r="R797" s="70"/>
      <c r="S797" s="87"/>
      <c r="T797" s="237"/>
    </row>
    <row r="798" spans="1:20" x14ac:dyDescent="0.2">
      <c r="A798" s="278"/>
      <c r="B798" s="242"/>
      <c r="C798" s="114"/>
      <c r="F798" s="10"/>
      <c r="G798" s="10"/>
      <c r="H798" s="10"/>
      <c r="I798" s="10"/>
      <c r="J798" s="10"/>
      <c r="K798" s="10"/>
      <c r="L798" s="75"/>
      <c r="M798" s="75"/>
      <c r="N798" s="247"/>
      <c r="O798" s="92"/>
      <c r="P798" s="69"/>
      <c r="Q798" s="87"/>
      <c r="R798" s="70"/>
      <c r="S798" s="87"/>
      <c r="T798" s="237"/>
    </row>
    <row r="799" spans="1:20" x14ac:dyDescent="0.2">
      <c r="A799" s="278"/>
      <c r="B799" s="242"/>
      <c r="C799" s="113"/>
      <c r="F799" s="65"/>
      <c r="G799" s="65"/>
      <c r="H799" s="65"/>
      <c r="I799" s="65"/>
      <c r="J799" s="65"/>
      <c r="K799" s="65"/>
      <c r="L799" s="68"/>
      <c r="M799" s="68"/>
      <c r="N799" s="247"/>
      <c r="O799" s="92"/>
      <c r="P799" s="69"/>
      <c r="Q799" s="87"/>
      <c r="R799" s="70"/>
      <c r="S799" s="87"/>
      <c r="T799" s="237"/>
    </row>
    <row r="800" spans="1:20" ht="16.5" thickBot="1" x14ac:dyDescent="0.25">
      <c r="A800" s="278"/>
      <c r="B800" s="242"/>
      <c r="C800" s="114"/>
      <c r="F800" s="10"/>
      <c r="G800" s="10"/>
      <c r="H800" s="10"/>
      <c r="I800" s="10"/>
      <c r="J800" s="10"/>
      <c r="K800" s="10"/>
      <c r="L800" s="75"/>
      <c r="M800" s="75"/>
      <c r="N800" s="247"/>
      <c r="O800" s="12"/>
      <c r="P800" s="69"/>
      <c r="Q800" s="87"/>
      <c r="R800" s="70"/>
      <c r="S800" s="87"/>
      <c r="T800" s="76"/>
    </row>
    <row r="801" spans="1:20" x14ac:dyDescent="0.2">
      <c r="A801" s="278"/>
      <c r="B801" s="242"/>
      <c r="C801" s="113"/>
      <c r="F801" s="65"/>
      <c r="G801" s="65"/>
      <c r="H801" s="65"/>
      <c r="I801" s="65"/>
      <c r="J801" s="65"/>
      <c r="K801" s="65"/>
      <c r="L801" s="77"/>
      <c r="M801" s="77"/>
      <c r="N801" s="247"/>
      <c r="O801" s="12"/>
      <c r="P801" s="69"/>
      <c r="Q801" s="87"/>
      <c r="R801" s="70"/>
      <c r="S801" s="87"/>
      <c r="T801" s="249"/>
    </row>
    <row r="802" spans="1:20" x14ac:dyDescent="0.2">
      <c r="A802" s="278"/>
      <c r="B802" s="242"/>
      <c r="C802" s="114"/>
      <c r="F802" s="10"/>
      <c r="G802" s="10"/>
      <c r="H802" s="10"/>
      <c r="I802" s="10"/>
      <c r="J802" s="10"/>
      <c r="K802" s="10"/>
      <c r="L802" s="75"/>
      <c r="M802" s="75"/>
      <c r="N802" s="247"/>
      <c r="O802" s="12"/>
      <c r="P802" s="69"/>
      <c r="Q802" s="87"/>
      <c r="R802" s="70"/>
      <c r="S802" s="87"/>
      <c r="T802" s="250"/>
    </row>
    <row r="803" spans="1:20" ht="15.75" thickBot="1" x14ac:dyDescent="0.25">
      <c r="A803" s="279"/>
      <c r="B803" s="243"/>
      <c r="C803" s="115"/>
      <c r="F803" s="80"/>
      <c r="G803" s="80"/>
      <c r="H803" s="80"/>
      <c r="I803" s="80"/>
      <c r="J803" s="80"/>
      <c r="K803" s="80"/>
      <c r="L803" s="83"/>
      <c r="M803" s="83"/>
      <c r="N803" s="248"/>
      <c r="O803" s="12"/>
      <c r="P803" s="84"/>
      <c r="Q803" s="12"/>
      <c r="R803" s="85"/>
      <c r="S803" s="12"/>
      <c r="T803" s="251"/>
    </row>
  </sheetData>
  <mergeCells count="397">
    <mergeCell ref="L33:M33"/>
    <mergeCell ref="L34:M34"/>
    <mergeCell ref="L35:M35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F33:G33"/>
    <mergeCell ref="H33:I33"/>
    <mergeCell ref="J33:K33"/>
    <mergeCell ref="F34:G34"/>
    <mergeCell ref="H34:I34"/>
    <mergeCell ref="J34:K34"/>
    <mergeCell ref="F35:G35"/>
    <mergeCell ref="H35:I35"/>
    <mergeCell ref="J35:K35"/>
    <mergeCell ref="F30:G30"/>
    <mergeCell ref="H30:I30"/>
    <mergeCell ref="J30:K30"/>
    <mergeCell ref="F31:G31"/>
    <mergeCell ref="H31:I31"/>
    <mergeCell ref="J31:K31"/>
    <mergeCell ref="F32:G32"/>
    <mergeCell ref="H32:I32"/>
    <mergeCell ref="J32:K32"/>
    <mergeCell ref="F27:G27"/>
    <mergeCell ref="H27:I27"/>
    <mergeCell ref="J27:K27"/>
    <mergeCell ref="F28:G28"/>
    <mergeCell ref="H28:I28"/>
    <mergeCell ref="J28:K28"/>
    <mergeCell ref="F29:G29"/>
    <mergeCell ref="H29:I29"/>
    <mergeCell ref="J29:K29"/>
    <mergeCell ref="F24:G24"/>
    <mergeCell ref="H24:I24"/>
    <mergeCell ref="J24:K24"/>
    <mergeCell ref="F25:G25"/>
    <mergeCell ref="H25:I25"/>
    <mergeCell ref="J25:K25"/>
    <mergeCell ref="F26:G26"/>
    <mergeCell ref="H26:I26"/>
    <mergeCell ref="J26:K26"/>
    <mergeCell ref="B793:B803"/>
    <mergeCell ref="N794:N803"/>
    <mergeCell ref="T794:T799"/>
    <mergeCell ref="A795:A803"/>
    <mergeCell ref="T801:T803"/>
    <mergeCell ref="B728:B738"/>
    <mergeCell ref="N729:N738"/>
    <mergeCell ref="T729:T734"/>
    <mergeCell ref="A730:A738"/>
    <mergeCell ref="T736:T738"/>
    <mergeCell ref="B742:B752"/>
    <mergeCell ref="N743:N752"/>
    <mergeCell ref="T743:T748"/>
    <mergeCell ref="A744:A752"/>
    <mergeCell ref="T750:T752"/>
    <mergeCell ref="T783:T788"/>
    <mergeCell ref="B782:B792"/>
    <mergeCell ref="N783:N792"/>
    <mergeCell ref="A784:A792"/>
    <mergeCell ref="T790:T792"/>
    <mergeCell ref="B700:B710"/>
    <mergeCell ref="N701:N710"/>
    <mergeCell ref="T701:T706"/>
    <mergeCell ref="A702:A710"/>
    <mergeCell ref="T708:T710"/>
    <mergeCell ref="B714:B724"/>
    <mergeCell ref="N715:N724"/>
    <mergeCell ref="T715:T720"/>
    <mergeCell ref="A716:A724"/>
    <mergeCell ref="T722:T724"/>
    <mergeCell ref="B672:B682"/>
    <mergeCell ref="N673:N682"/>
    <mergeCell ref="T673:T678"/>
    <mergeCell ref="A674:A682"/>
    <mergeCell ref="T680:T682"/>
    <mergeCell ref="B686:B696"/>
    <mergeCell ref="N687:N696"/>
    <mergeCell ref="T687:T692"/>
    <mergeCell ref="A688:A696"/>
    <mergeCell ref="T694:T696"/>
    <mergeCell ref="B644:B654"/>
    <mergeCell ref="N645:N654"/>
    <mergeCell ref="T645:T650"/>
    <mergeCell ref="A646:A654"/>
    <mergeCell ref="T652:T654"/>
    <mergeCell ref="B658:B668"/>
    <mergeCell ref="N659:N668"/>
    <mergeCell ref="T659:T664"/>
    <mergeCell ref="A660:A668"/>
    <mergeCell ref="T666:T668"/>
    <mergeCell ref="B616:B626"/>
    <mergeCell ref="N617:N626"/>
    <mergeCell ref="T617:T622"/>
    <mergeCell ref="A618:A626"/>
    <mergeCell ref="T624:T626"/>
    <mergeCell ref="B630:B640"/>
    <mergeCell ref="N631:N640"/>
    <mergeCell ref="T631:T636"/>
    <mergeCell ref="A632:A640"/>
    <mergeCell ref="T638:T640"/>
    <mergeCell ref="B586:B596"/>
    <mergeCell ref="A588:A596"/>
    <mergeCell ref="N475:N484"/>
    <mergeCell ref="T482:T484"/>
    <mergeCell ref="N489:N498"/>
    <mergeCell ref="T489:T494"/>
    <mergeCell ref="T496:T498"/>
    <mergeCell ref="N503:N512"/>
    <mergeCell ref="T503:T508"/>
    <mergeCell ref="T510:T512"/>
    <mergeCell ref="N517:N526"/>
    <mergeCell ref="T517:T522"/>
    <mergeCell ref="T524:T526"/>
    <mergeCell ref="A546:A554"/>
    <mergeCell ref="B544:B554"/>
    <mergeCell ref="A490:A498"/>
    <mergeCell ref="B488:B498"/>
    <mergeCell ref="B502:B512"/>
    <mergeCell ref="A504:A512"/>
    <mergeCell ref="A518:A526"/>
    <mergeCell ref="B516:B526"/>
    <mergeCell ref="N573:N582"/>
    <mergeCell ref="T580:T582"/>
    <mergeCell ref="A476:A484"/>
    <mergeCell ref="A560:A568"/>
    <mergeCell ref="A574:A582"/>
    <mergeCell ref="B474:B484"/>
    <mergeCell ref="B572:B582"/>
    <mergeCell ref="I1:J1"/>
    <mergeCell ref="I2:J3"/>
    <mergeCell ref="B558:B568"/>
    <mergeCell ref="B460:B470"/>
    <mergeCell ref="B530:B540"/>
    <mergeCell ref="F120:H120"/>
    <mergeCell ref="E125:E126"/>
    <mergeCell ref="A232:A242"/>
    <mergeCell ref="B402:B412"/>
    <mergeCell ref="E80:E81"/>
    <mergeCell ref="A50:A58"/>
    <mergeCell ref="A75:A81"/>
    <mergeCell ref="H12:I12"/>
    <mergeCell ref="J12:K12"/>
    <mergeCell ref="F13:G13"/>
    <mergeCell ref="F14:G14"/>
    <mergeCell ref="F15:G15"/>
    <mergeCell ref="F16:G16"/>
    <mergeCell ref="F17:G17"/>
    <mergeCell ref="F105:H105"/>
    <mergeCell ref="L105:L106"/>
    <mergeCell ref="L94:L95"/>
    <mergeCell ref="A176:A186"/>
    <mergeCell ref="A162:A172"/>
    <mergeCell ref="B162:B172"/>
    <mergeCell ref="A120:A126"/>
    <mergeCell ref="F107:H107"/>
    <mergeCell ref="A204:A214"/>
    <mergeCell ref="A218:A228"/>
    <mergeCell ref="B190:B200"/>
    <mergeCell ref="F124:H124"/>
    <mergeCell ref="F125:H126"/>
    <mergeCell ref="F109:H109"/>
    <mergeCell ref="E95:E96"/>
    <mergeCell ref="F95:H96"/>
    <mergeCell ref="A90:A96"/>
    <mergeCell ref="F92:H92"/>
    <mergeCell ref="F93:H93"/>
    <mergeCell ref="F94:H94"/>
    <mergeCell ref="F106:H106"/>
    <mergeCell ref="F121:H121"/>
    <mergeCell ref="F122:H122"/>
    <mergeCell ref="F123:H123"/>
    <mergeCell ref="F108:H108"/>
    <mergeCell ref="N403:N412"/>
    <mergeCell ref="T396:T398"/>
    <mergeCell ref="T410:T412"/>
    <mergeCell ref="T424:T426"/>
    <mergeCell ref="T438:T440"/>
    <mergeCell ref="A532:A540"/>
    <mergeCell ref="N587:N596"/>
    <mergeCell ref="T587:T592"/>
    <mergeCell ref="T594:T596"/>
    <mergeCell ref="T468:T470"/>
    <mergeCell ref="N461:N470"/>
    <mergeCell ref="T573:T578"/>
    <mergeCell ref="T545:T550"/>
    <mergeCell ref="N531:N540"/>
    <mergeCell ref="T531:T536"/>
    <mergeCell ref="T538:T540"/>
    <mergeCell ref="N545:N554"/>
    <mergeCell ref="T552:T554"/>
    <mergeCell ref="N559:N568"/>
    <mergeCell ref="T559:T564"/>
    <mergeCell ref="T566:T568"/>
    <mergeCell ref="T461:T466"/>
    <mergeCell ref="T475:T480"/>
    <mergeCell ref="A462:A470"/>
    <mergeCell ref="T431:T436"/>
    <mergeCell ref="T368:T370"/>
    <mergeCell ref="N375:N384"/>
    <mergeCell ref="B332:B342"/>
    <mergeCell ref="A334:A342"/>
    <mergeCell ref="B346:B356"/>
    <mergeCell ref="T382:T384"/>
    <mergeCell ref="T389:T394"/>
    <mergeCell ref="T403:T408"/>
    <mergeCell ref="T417:T422"/>
    <mergeCell ref="B388:B398"/>
    <mergeCell ref="A404:A412"/>
    <mergeCell ref="B416:B426"/>
    <mergeCell ref="A418:A426"/>
    <mergeCell ref="B430:B440"/>
    <mergeCell ref="A432:A440"/>
    <mergeCell ref="A390:A398"/>
    <mergeCell ref="N417:N426"/>
    <mergeCell ref="N431:N440"/>
    <mergeCell ref="A348:A356"/>
    <mergeCell ref="B360:B370"/>
    <mergeCell ref="A362:A370"/>
    <mergeCell ref="B374:B384"/>
    <mergeCell ref="A376:A384"/>
    <mergeCell ref="T361:T366"/>
    <mergeCell ref="T375:T380"/>
    <mergeCell ref="T333:T338"/>
    <mergeCell ref="T347:T352"/>
    <mergeCell ref="N347:N356"/>
    <mergeCell ref="T326:T328"/>
    <mergeCell ref="T340:T342"/>
    <mergeCell ref="T354:T356"/>
    <mergeCell ref="B218:B228"/>
    <mergeCell ref="N333:N342"/>
    <mergeCell ref="N361:N370"/>
    <mergeCell ref="T226:T228"/>
    <mergeCell ref="T240:T242"/>
    <mergeCell ref="T254:T256"/>
    <mergeCell ref="T268:T270"/>
    <mergeCell ref="T282:T284"/>
    <mergeCell ref="N219:N228"/>
    <mergeCell ref="N389:N398"/>
    <mergeCell ref="N94:P95"/>
    <mergeCell ref="N96:P96"/>
    <mergeCell ref="L79:L80"/>
    <mergeCell ref="N90:P91"/>
    <mergeCell ref="L92:L93"/>
    <mergeCell ref="N92:P93"/>
    <mergeCell ref="N177:N186"/>
    <mergeCell ref="T184:T186"/>
    <mergeCell ref="T305:T310"/>
    <mergeCell ref="N163:N172"/>
    <mergeCell ref="N120:P121"/>
    <mergeCell ref="L122:L123"/>
    <mergeCell ref="N122:P123"/>
    <mergeCell ref="L124:L125"/>
    <mergeCell ref="N124:P125"/>
    <mergeCell ref="N126:P126"/>
    <mergeCell ref="N105:P106"/>
    <mergeCell ref="N233:N242"/>
    <mergeCell ref="N247:N256"/>
    <mergeCell ref="L107:L108"/>
    <mergeCell ref="N107:P108"/>
    <mergeCell ref="L120:L121"/>
    <mergeCell ref="L109:L110"/>
    <mergeCell ref="N75:P76"/>
    <mergeCell ref="N77:P78"/>
    <mergeCell ref="L77:L78"/>
    <mergeCell ref="L75:L76"/>
    <mergeCell ref="L90:L91"/>
    <mergeCell ref="F77:H77"/>
    <mergeCell ref="F78:H78"/>
    <mergeCell ref="F79:H79"/>
    <mergeCell ref="F80:H81"/>
    <mergeCell ref="N79:P80"/>
    <mergeCell ref="N81:P81"/>
    <mergeCell ref="F90:H90"/>
    <mergeCell ref="F91:H91"/>
    <mergeCell ref="F75:H75"/>
    <mergeCell ref="F76:H76"/>
    <mergeCell ref="T163:T168"/>
    <mergeCell ref="T177:T182"/>
    <mergeCell ref="N261:N270"/>
    <mergeCell ref="N275:N284"/>
    <mergeCell ref="B274:B284"/>
    <mergeCell ref="A274:A284"/>
    <mergeCell ref="N319:N328"/>
    <mergeCell ref="B318:B328"/>
    <mergeCell ref="A320:A328"/>
    <mergeCell ref="T170:T172"/>
    <mergeCell ref="B176:B186"/>
    <mergeCell ref="N305:N314"/>
    <mergeCell ref="T198:T200"/>
    <mergeCell ref="T212:T214"/>
    <mergeCell ref="N191:N200"/>
    <mergeCell ref="N205:N214"/>
    <mergeCell ref="A190:A200"/>
    <mergeCell ref="T319:T324"/>
    <mergeCell ref="T275:T280"/>
    <mergeCell ref="B304:B314"/>
    <mergeCell ref="A306:A314"/>
    <mergeCell ref="T312:T314"/>
    <mergeCell ref="B204:B214"/>
    <mergeCell ref="A1:B10"/>
    <mergeCell ref="N109:P110"/>
    <mergeCell ref="N111:P111"/>
    <mergeCell ref="T191:T196"/>
    <mergeCell ref="T205:T210"/>
    <mergeCell ref="T219:T224"/>
    <mergeCell ref="T233:T238"/>
    <mergeCell ref="T247:T252"/>
    <mergeCell ref="T261:T266"/>
    <mergeCell ref="A148:A158"/>
    <mergeCell ref="B148:B158"/>
    <mergeCell ref="S149:S154"/>
    <mergeCell ref="S156:S158"/>
    <mergeCell ref="N149:N158"/>
    <mergeCell ref="T149:T154"/>
    <mergeCell ref="T156:T158"/>
    <mergeCell ref="A246:A256"/>
    <mergeCell ref="A260:A270"/>
    <mergeCell ref="B232:B242"/>
    <mergeCell ref="B246:B256"/>
    <mergeCell ref="B260:B270"/>
    <mergeCell ref="E110:E111"/>
    <mergeCell ref="F110:H111"/>
    <mergeCell ref="A105:A111"/>
    <mergeCell ref="K7:L7"/>
    <mergeCell ref="K8:L9"/>
    <mergeCell ref="K1:L1"/>
    <mergeCell ref="K2:L3"/>
    <mergeCell ref="F1:H1"/>
    <mergeCell ref="F2:H3"/>
    <mergeCell ref="F7:H7"/>
    <mergeCell ref="F8:H9"/>
    <mergeCell ref="E2:E3"/>
    <mergeCell ref="E8:E9"/>
    <mergeCell ref="I7:J7"/>
    <mergeCell ref="I8:J9"/>
    <mergeCell ref="H13:I13"/>
    <mergeCell ref="H14:I14"/>
    <mergeCell ref="H15:I15"/>
    <mergeCell ref="H16:I16"/>
    <mergeCell ref="H17:I17"/>
    <mergeCell ref="H18:I18"/>
    <mergeCell ref="H19:I19"/>
    <mergeCell ref="H20:I20"/>
    <mergeCell ref="H21:I21"/>
    <mergeCell ref="J19:K19"/>
    <mergeCell ref="J20:K20"/>
    <mergeCell ref="J21:K21"/>
    <mergeCell ref="F18:G18"/>
    <mergeCell ref="F19:G19"/>
    <mergeCell ref="F20:G20"/>
    <mergeCell ref="F21:G21"/>
    <mergeCell ref="F22:G22"/>
    <mergeCell ref="F23:G23"/>
    <mergeCell ref="H22:I22"/>
    <mergeCell ref="F12:G12"/>
    <mergeCell ref="F10:H10"/>
    <mergeCell ref="I10:M10"/>
    <mergeCell ref="J22:K22"/>
    <mergeCell ref="J23:K23"/>
    <mergeCell ref="H23:I23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J13:K13"/>
    <mergeCell ref="J14:K14"/>
    <mergeCell ref="J15:K15"/>
    <mergeCell ref="J16:K16"/>
    <mergeCell ref="J17:K17"/>
    <mergeCell ref="J18:K18"/>
    <mergeCell ref="N21:O21"/>
    <mergeCell ref="N22:O22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</mergeCells>
  <conditionalFormatting sqref="P758">
    <cfRule type="expression" priority="7265">
      <formula>(P758="")</formula>
    </cfRule>
  </conditionalFormatting>
  <conditionalFormatting sqref="P4:P7">
    <cfRule type="cellIs" dxfId="743" priority="7685" operator="between">
      <formula>0</formula>
      <formula>-100</formula>
    </cfRule>
    <cfRule type="cellIs" dxfId="742" priority="7686" operator="between">
      <formula>2</formula>
      <formula>100</formula>
    </cfRule>
    <cfRule type="cellIs" dxfId="741" priority="7687" operator="between">
      <formula>1</formula>
      <formula>2</formula>
    </cfRule>
    <cfRule type="cellIs" dxfId="740" priority="7688" operator="between">
      <formula>0</formula>
      <formula>1</formula>
    </cfRule>
  </conditionalFormatting>
  <conditionalFormatting sqref="P759">
    <cfRule type="expression" priority="7264">
      <formula>(P759="")</formula>
    </cfRule>
  </conditionalFormatting>
  <conditionalFormatting sqref="P760">
    <cfRule type="expression" priority="7263">
      <formula>(P760="")</formula>
    </cfRule>
  </conditionalFormatting>
  <conditionalFormatting sqref="P761">
    <cfRule type="expression" priority="7262">
      <formula>(P761="")</formula>
    </cfRule>
  </conditionalFormatting>
  <conditionalFormatting sqref="P762">
    <cfRule type="expression" priority="7261">
      <formula>(P762="")</formula>
    </cfRule>
  </conditionalFormatting>
  <conditionalFormatting sqref="P763">
    <cfRule type="expression" priority="7260">
      <formula>(P763="")</formula>
    </cfRule>
  </conditionalFormatting>
  <conditionalFormatting sqref="P764">
    <cfRule type="expression" priority="7259">
      <formula>(P764="")</formula>
    </cfRule>
  </conditionalFormatting>
  <conditionalFormatting sqref="P758">
    <cfRule type="expression" priority="7258">
      <formula>(P758="")</formula>
    </cfRule>
  </conditionalFormatting>
  <conditionalFormatting sqref="P759">
    <cfRule type="expression" priority="7257">
      <formula>(P759="")</formula>
    </cfRule>
  </conditionalFormatting>
  <conditionalFormatting sqref="P760">
    <cfRule type="expression" priority="7256">
      <formula>(P760="")</formula>
    </cfRule>
  </conditionalFormatting>
  <conditionalFormatting sqref="P761">
    <cfRule type="expression" priority="7255">
      <formula>(P761="")</formula>
    </cfRule>
  </conditionalFormatting>
  <conditionalFormatting sqref="P762">
    <cfRule type="expression" priority="7254">
      <formula>(P762="")</formula>
    </cfRule>
  </conditionalFormatting>
  <conditionalFormatting sqref="P763">
    <cfRule type="expression" priority="7253">
      <formula>(P763="")</formula>
    </cfRule>
  </conditionalFormatting>
  <conditionalFormatting sqref="P764">
    <cfRule type="expression" priority="7252">
      <formula>(P764="")</formula>
    </cfRule>
  </conditionalFormatting>
  <conditionalFormatting sqref="P757:P764">
    <cfRule type="expression" dxfId="739" priority="7267">
      <formula>AND(NOT(K757=P757),NOT(P757=""))</formula>
    </cfRule>
    <cfRule type="expression" dxfId="738" priority="7268">
      <formula>AND((K757=P757),NOT(P757=""))</formula>
    </cfRule>
  </conditionalFormatting>
  <conditionalFormatting sqref="P757">
    <cfRule type="expression" priority="7266">
      <formula>(P757="")</formula>
    </cfRule>
  </conditionalFormatting>
  <conditionalFormatting sqref="R757:R764">
    <cfRule type="expression" dxfId="737" priority="7242">
      <formula>R757=0</formula>
    </cfRule>
  </conditionalFormatting>
  <conditionalFormatting sqref="R597">
    <cfRule type="expression" dxfId="736" priority="7108">
      <formula>R597=0</formula>
    </cfRule>
  </conditionalFormatting>
  <conditionalFormatting sqref="P617:P622">
    <cfRule type="expression" dxfId="735" priority="4266">
      <formula>AND(NOT(K617=P617),NOT(P617=""))</formula>
    </cfRule>
    <cfRule type="expression" dxfId="734" priority="4267">
      <formula>AND((K617=P617),NOT(P617=""))</formula>
    </cfRule>
  </conditionalFormatting>
  <conditionalFormatting sqref="P617">
    <cfRule type="expression" priority="4265">
      <formula>(P617="")</formula>
    </cfRule>
  </conditionalFormatting>
  <conditionalFormatting sqref="P618">
    <cfRule type="expression" dxfId="733" priority="4114">
      <formula>IF(L618="NO BET", TRUE, FALSE)</formula>
    </cfRule>
    <cfRule type="expression" priority="4264">
      <formula>(P618="")</formula>
    </cfRule>
  </conditionalFormatting>
  <conditionalFormatting sqref="P619">
    <cfRule type="expression" priority="4263">
      <formula>(P619="")</formula>
    </cfRule>
  </conditionalFormatting>
  <conditionalFormatting sqref="P620">
    <cfRule type="expression" priority="4262">
      <formula>(P620="")</formula>
    </cfRule>
  </conditionalFormatting>
  <conditionalFormatting sqref="P621">
    <cfRule type="expression" priority="4261">
      <formula>(P621="")</formula>
    </cfRule>
  </conditionalFormatting>
  <conditionalFormatting sqref="P622">
    <cfRule type="expression" priority="4260">
      <formula>(P622="")</formula>
    </cfRule>
  </conditionalFormatting>
  <conditionalFormatting sqref="P618">
    <cfRule type="expression" priority="4259">
      <formula>(P618="")</formula>
    </cfRule>
  </conditionalFormatting>
  <conditionalFormatting sqref="P619">
    <cfRule type="expression" priority="4258">
      <formula>(P619="")</formula>
    </cfRule>
  </conditionalFormatting>
  <conditionalFormatting sqref="P620">
    <cfRule type="expression" priority="4257">
      <formula>(P620="")</formula>
    </cfRule>
  </conditionalFormatting>
  <conditionalFormatting sqref="P621">
    <cfRule type="expression" priority="4256">
      <formula>(P621="")</formula>
    </cfRule>
  </conditionalFormatting>
  <conditionalFormatting sqref="P622">
    <cfRule type="expression" priority="4255">
      <formula>(P622="")</formula>
    </cfRule>
  </conditionalFormatting>
  <conditionalFormatting sqref="L631:M637">
    <cfRule type="cellIs" dxfId="732" priority="4251" operator="between">
      <formula>0</formula>
      <formula>-100</formula>
    </cfRule>
    <cfRule type="cellIs" dxfId="731" priority="4252" operator="between">
      <formula>2</formula>
      <formula>100</formula>
    </cfRule>
    <cfRule type="cellIs" dxfId="730" priority="4253" operator="between">
      <formula>1</formula>
      <formula>2</formula>
    </cfRule>
    <cfRule type="cellIs" dxfId="729" priority="4254" operator="between">
      <formula>0</formula>
      <formula>1</formula>
    </cfRule>
  </conditionalFormatting>
  <conditionalFormatting sqref="L639:M640">
    <cfRule type="cellIs" dxfId="728" priority="4243" operator="between">
      <formula>0</formula>
      <formula>-100</formula>
    </cfRule>
    <cfRule type="cellIs" dxfId="727" priority="4244" operator="between">
      <formula>2</formula>
      <formula>100</formula>
    </cfRule>
    <cfRule type="cellIs" dxfId="726" priority="4245" operator="between">
      <formula>1</formula>
      <formula>2</formula>
    </cfRule>
    <cfRule type="cellIs" dxfId="725" priority="4246" operator="between">
      <formula>0</formula>
      <formula>1</formula>
    </cfRule>
  </conditionalFormatting>
  <conditionalFormatting sqref="L638:M638">
    <cfRule type="cellIs" dxfId="724" priority="4247" operator="between">
      <formula>0</formula>
      <formula>-100</formula>
    </cfRule>
    <cfRule type="cellIs" dxfId="723" priority="4248" operator="between">
      <formula>2</formula>
      <formula>100</formula>
    </cfRule>
    <cfRule type="cellIs" dxfId="722" priority="4249" operator="between">
      <formula>1</formula>
      <formula>2</formula>
    </cfRule>
    <cfRule type="cellIs" dxfId="721" priority="4250" operator="between">
      <formula>0</formula>
      <formula>1</formula>
    </cfRule>
  </conditionalFormatting>
  <conditionalFormatting sqref="L617:M623">
    <cfRule type="cellIs" dxfId="720" priority="4239" operator="between">
      <formula>0</formula>
      <formula>-100</formula>
    </cfRule>
    <cfRule type="cellIs" dxfId="719" priority="4240" operator="between">
      <formula>2</formula>
      <formula>100</formula>
    </cfRule>
    <cfRule type="cellIs" dxfId="718" priority="4241" operator="between">
      <formula>1</formula>
      <formula>2</formula>
    </cfRule>
    <cfRule type="cellIs" dxfId="717" priority="4242" operator="between">
      <formula>0</formula>
      <formula>1</formula>
    </cfRule>
  </conditionalFormatting>
  <conditionalFormatting sqref="L625:M626">
    <cfRule type="cellIs" dxfId="716" priority="4231" operator="between">
      <formula>0</formula>
      <formula>-100</formula>
    </cfRule>
    <cfRule type="cellIs" dxfId="715" priority="4232" operator="between">
      <formula>2</formula>
      <formula>100</formula>
    </cfRule>
    <cfRule type="cellIs" dxfId="714" priority="4233" operator="between">
      <formula>1</formula>
      <formula>2</formula>
    </cfRule>
    <cfRule type="cellIs" dxfId="713" priority="4234" operator="between">
      <formula>0</formula>
      <formula>1</formula>
    </cfRule>
  </conditionalFormatting>
  <conditionalFormatting sqref="L624:M624">
    <cfRule type="cellIs" dxfId="712" priority="4235" operator="between">
      <formula>0</formula>
      <formula>-100</formula>
    </cfRule>
    <cfRule type="cellIs" dxfId="711" priority="4236" operator="between">
      <formula>2</formula>
      <formula>100</formula>
    </cfRule>
    <cfRule type="cellIs" dxfId="710" priority="4237" operator="between">
      <formula>1</formula>
      <formula>2</formula>
    </cfRule>
    <cfRule type="cellIs" dxfId="709" priority="4238" operator="between">
      <formula>0</formula>
      <formula>1</formula>
    </cfRule>
  </conditionalFormatting>
  <conditionalFormatting sqref="L659:M665">
    <cfRule type="cellIs" dxfId="708" priority="4215" operator="between">
      <formula>0</formula>
      <formula>-100</formula>
    </cfRule>
    <cfRule type="cellIs" dxfId="707" priority="4216" operator="between">
      <formula>2</formula>
      <formula>100</formula>
    </cfRule>
    <cfRule type="cellIs" dxfId="706" priority="4217" operator="between">
      <formula>1</formula>
      <formula>2</formula>
    </cfRule>
    <cfRule type="cellIs" dxfId="705" priority="4218" operator="between">
      <formula>0</formula>
      <formula>1</formula>
    </cfRule>
  </conditionalFormatting>
  <conditionalFormatting sqref="L667:M668">
    <cfRule type="cellIs" dxfId="704" priority="4207" operator="between">
      <formula>0</formula>
      <formula>-100</formula>
    </cfRule>
    <cfRule type="cellIs" dxfId="703" priority="4208" operator="between">
      <formula>2</formula>
      <formula>100</formula>
    </cfRule>
    <cfRule type="cellIs" dxfId="702" priority="4209" operator="between">
      <formula>1</formula>
      <formula>2</formula>
    </cfRule>
    <cfRule type="cellIs" dxfId="701" priority="4210" operator="between">
      <formula>0</formula>
      <formula>1</formula>
    </cfRule>
  </conditionalFormatting>
  <conditionalFormatting sqref="L666:M666">
    <cfRule type="cellIs" dxfId="700" priority="4211" operator="between">
      <formula>0</formula>
      <formula>-100</formula>
    </cfRule>
    <cfRule type="cellIs" dxfId="699" priority="4212" operator="between">
      <formula>2</formula>
      <formula>100</formula>
    </cfRule>
    <cfRule type="cellIs" dxfId="698" priority="4213" operator="between">
      <formula>1</formula>
      <formula>2</formula>
    </cfRule>
    <cfRule type="cellIs" dxfId="697" priority="4214" operator="between">
      <formula>0</formula>
      <formula>1</formula>
    </cfRule>
  </conditionalFormatting>
  <conditionalFormatting sqref="L687:M693">
    <cfRule type="cellIs" dxfId="696" priority="4203" operator="between">
      <formula>0</formula>
      <formula>-100</formula>
    </cfRule>
    <cfRule type="cellIs" dxfId="695" priority="4204" operator="between">
      <formula>2</formula>
      <formula>100</formula>
    </cfRule>
    <cfRule type="cellIs" dxfId="694" priority="4205" operator="between">
      <formula>1</formula>
      <formula>2</formula>
    </cfRule>
    <cfRule type="cellIs" dxfId="693" priority="4206" operator="between">
      <formula>0</formula>
      <formula>1</formula>
    </cfRule>
  </conditionalFormatting>
  <conditionalFormatting sqref="L695:M696">
    <cfRule type="cellIs" dxfId="692" priority="4195" operator="between">
      <formula>0</formula>
      <formula>-100</formula>
    </cfRule>
    <cfRule type="cellIs" dxfId="691" priority="4196" operator="between">
      <formula>2</formula>
      <formula>100</formula>
    </cfRule>
    <cfRule type="cellIs" dxfId="690" priority="4197" operator="between">
      <formula>1</formula>
      <formula>2</formula>
    </cfRule>
    <cfRule type="cellIs" dxfId="689" priority="4198" operator="between">
      <formula>0</formula>
      <formula>1</formula>
    </cfRule>
  </conditionalFormatting>
  <conditionalFormatting sqref="L694:M694">
    <cfRule type="cellIs" dxfId="688" priority="4199" operator="between">
      <formula>0</formula>
      <formula>-100</formula>
    </cfRule>
    <cfRule type="cellIs" dxfId="687" priority="4200" operator="between">
      <formula>2</formula>
      <formula>100</formula>
    </cfRule>
    <cfRule type="cellIs" dxfId="686" priority="4201" operator="between">
      <formula>1</formula>
      <formula>2</formula>
    </cfRule>
    <cfRule type="cellIs" dxfId="685" priority="4202" operator="between">
      <formula>0</formula>
      <formula>1</formula>
    </cfRule>
  </conditionalFormatting>
  <conditionalFormatting sqref="L701:M707">
    <cfRule type="cellIs" dxfId="684" priority="4179" operator="between">
      <formula>0</formula>
      <formula>-100</formula>
    </cfRule>
    <cfRule type="cellIs" dxfId="683" priority="4180" operator="between">
      <formula>2</formula>
      <formula>100</formula>
    </cfRule>
    <cfRule type="cellIs" dxfId="682" priority="4181" operator="between">
      <formula>1</formula>
      <formula>2</formula>
    </cfRule>
    <cfRule type="cellIs" dxfId="681" priority="4182" operator="between">
      <formula>0</formula>
      <formula>1</formula>
    </cfRule>
  </conditionalFormatting>
  <conditionalFormatting sqref="L709:M710">
    <cfRule type="cellIs" dxfId="680" priority="4171" operator="between">
      <formula>0</formula>
      <formula>-100</formula>
    </cfRule>
    <cfRule type="cellIs" dxfId="679" priority="4172" operator="between">
      <formula>2</formula>
      <formula>100</formula>
    </cfRule>
    <cfRule type="cellIs" dxfId="678" priority="4173" operator="between">
      <formula>1</formula>
      <formula>2</formula>
    </cfRule>
    <cfRule type="cellIs" dxfId="677" priority="4174" operator="between">
      <formula>0</formula>
      <formula>1</formula>
    </cfRule>
  </conditionalFormatting>
  <conditionalFormatting sqref="L708:M708">
    <cfRule type="cellIs" dxfId="676" priority="4175" operator="between">
      <formula>0</formula>
      <formula>-100</formula>
    </cfRule>
    <cfRule type="cellIs" dxfId="675" priority="4176" operator="between">
      <formula>2</formula>
      <formula>100</formula>
    </cfRule>
    <cfRule type="cellIs" dxfId="674" priority="4177" operator="between">
      <formula>1</formula>
      <formula>2</formula>
    </cfRule>
    <cfRule type="cellIs" dxfId="673" priority="4178" operator="between">
      <formula>0</formula>
      <formula>1</formula>
    </cfRule>
  </conditionalFormatting>
  <conditionalFormatting sqref="L715:M721">
    <cfRule type="cellIs" dxfId="672" priority="4167" operator="between">
      <formula>0</formula>
      <formula>-100</formula>
    </cfRule>
    <cfRule type="cellIs" dxfId="671" priority="4168" operator="between">
      <formula>2</formula>
      <formula>100</formula>
    </cfRule>
    <cfRule type="cellIs" dxfId="670" priority="4169" operator="between">
      <formula>1</formula>
      <formula>2</formula>
    </cfRule>
    <cfRule type="cellIs" dxfId="669" priority="4170" operator="between">
      <formula>0</formula>
      <formula>1</formula>
    </cfRule>
  </conditionalFormatting>
  <conditionalFormatting sqref="L723:M724">
    <cfRule type="cellIs" dxfId="668" priority="4159" operator="between">
      <formula>0</formula>
      <formula>-100</formula>
    </cfRule>
    <cfRule type="cellIs" dxfId="667" priority="4160" operator="between">
      <formula>2</formula>
      <formula>100</formula>
    </cfRule>
    <cfRule type="cellIs" dxfId="666" priority="4161" operator="between">
      <formula>1</formula>
      <formula>2</formula>
    </cfRule>
    <cfRule type="cellIs" dxfId="665" priority="4162" operator="between">
      <formula>0</formula>
      <formula>1</formula>
    </cfRule>
  </conditionalFormatting>
  <conditionalFormatting sqref="L722:M722">
    <cfRule type="cellIs" dxfId="664" priority="4163" operator="between">
      <formula>0</formula>
      <formula>-100</formula>
    </cfRule>
    <cfRule type="cellIs" dxfId="663" priority="4164" operator="between">
      <formula>2</formula>
      <formula>100</formula>
    </cfRule>
    <cfRule type="cellIs" dxfId="662" priority="4165" operator="between">
      <formula>1</formula>
      <formula>2</formula>
    </cfRule>
    <cfRule type="cellIs" dxfId="661" priority="4166" operator="between">
      <formula>0</formula>
      <formula>1</formula>
    </cfRule>
  </conditionalFormatting>
  <conditionalFormatting sqref="L729:M735">
    <cfRule type="cellIs" dxfId="660" priority="4155" operator="between">
      <formula>0</formula>
      <formula>-100</formula>
    </cfRule>
    <cfRule type="cellIs" dxfId="659" priority="4156" operator="between">
      <formula>2</formula>
      <formula>100</formula>
    </cfRule>
    <cfRule type="cellIs" dxfId="658" priority="4157" operator="between">
      <formula>1</formula>
      <formula>2</formula>
    </cfRule>
    <cfRule type="cellIs" dxfId="657" priority="4158" operator="between">
      <formula>0</formula>
      <formula>1</formula>
    </cfRule>
  </conditionalFormatting>
  <conditionalFormatting sqref="L737:M738">
    <cfRule type="cellIs" dxfId="656" priority="4147" operator="between">
      <formula>0</formula>
      <formula>-100</formula>
    </cfRule>
    <cfRule type="cellIs" dxfId="655" priority="4148" operator="between">
      <formula>2</formula>
      <formula>100</formula>
    </cfRule>
    <cfRule type="cellIs" dxfId="654" priority="4149" operator="between">
      <formula>1</formula>
      <formula>2</formula>
    </cfRule>
    <cfRule type="cellIs" dxfId="653" priority="4150" operator="between">
      <formula>0</formula>
      <formula>1</formula>
    </cfRule>
  </conditionalFormatting>
  <conditionalFormatting sqref="L736:M736">
    <cfRule type="cellIs" dxfId="652" priority="4151" operator="between">
      <formula>0</formula>
      <formula>-100</formula>
    </cfRule>
    <cfRule type="cellIs" dxfId="651" priority="4152" operator="between">
      <formula>2</formula>
      <formula>100</formula>
    </cfRule>
    <cfRule type="cellIs" dxfId="650" priority="4153" operator="between">
      <formula>1</formula>
      <formula>2</formula>
    </cfRule>
    <cfRule type="cellIs" dxfId="649" priority="4154" operator="between">
      <formula>0</formula>
      <formula>1</formula>
    </cfRule>
  </conditionalFormatting>
  <conditionalFormatting sqref="L743:M749">
    <cfRule type="cellIs" dxfId="648" priority="4143" operator="between">
      <formula>0</formula>
      <formula>-100</formula>
    </cfRule>
    <cfRule type="cellIs" dxfId="647" priority="4144" operator="between">
      <formula>2</formula>
      <formula>100</formula>
    </cfRule>
    <cfRule type="cellIs" dxfId="646" priority="4145" operator="between">
      <formula>1</formula>
      <formula>2</formula>
    </cfRule>
    <cfRule type="cellIs" dxfId="645" priority="4146" operator="between">
      <formula>0</formula>
      <formula>1</formula>
    </cfRule>
  </conditionalFormatting>
  <conditionalFormatting sqref="L751:M752">
    <cfRule type="cellIs" dxfId="644" priority="4135" operator="between">
      <formula>0</formula>
      <formula>-100</formula>
    </cfRule>
    <cfRule type="cellIs" dxfId="643" priority="4136" operator="between">
      <formula>2</formula>
      <formula>100</formula>
    </cfRule>
    <cfRule type="cellIs" dxfId="642" priority="4137" operator="between">
      <formula>1</formula>
      <formula>2</formula>
    </cfRule>
    <cfRule type="cellIs" dxfId="641" priority="4138" operator="between">
      <formula>0</formula>
      <formula>1</formula>
    </cfRule>
  </conditionalFormatting>
  <conditionalFormatting sqref="L750:M750">
    <cfRule type="cellIs" dxfId="640" priority="4139" operator="between">
      <formula>0</formula>
      <formula>-100</formula>
    </cfRule>
    <cfRule type="cellIs" dxfId="639" priority="4140" operator="between">
      <formula>2</formula>
      <formula>100</formula>
    </cfRule>
    <cfRule type="cellIs" dxfId="638" priority="4141" operator="between">
      <formula>1</formula>
      <formula>2</formula>
    </cfRule>
    <cfRule type="cellIs" dxfId="637" priority="4142" operator="between">
      <formula>0</formula>
      <formula>1</formula>
    </cfRule>
  </conditionalFormatting>
  <conditionalFormatting sqref="P617">
    <cfRule type="expression" dxfId="636" priority="4111">
      <formula>IF(L617="NO BET", TRUE, FALSE)</formula>
    </cfRule>
    <cfRule type="expression" priority="4113">
      <formula>(P617="")</formula>
    </cfRule>
  </conditionalFormatting>
  <conditionalFormatting sqref="P617">
    <cfRule type="expression" priority="4112">
      <formula>(P617="")</formula>
    </cfRule>
  </conditionalFormatting>
  <conditionalFormatting sqref="P619">
    <cfRule type="expression" priority="4110">
      <formula>(P619="")</formula>
    </cfRule>
  </conditionalFormatting>
  <conditionalFormatting sqref="P620">
    <cfRule type="expression" dxfId="635" priority="4107">
      <formula>IF(L620="NO BET", TRUE, FALSE)</formula>
    </cfRule>
    <cfRule type="expression" priority="4109">
      <formula>(P620="")</formula>
    </cfRule>
  </conditionalFormatting>
  <conditionalFormatting sqref="P620">
    <cfRule type="expression" priority="4108">
      <formula>(P620="")</formula>
    </cfRule>
  </conditionalFormatting>
  <conditionalFormatting sqref="P619">
    <cfRule type="expression" dxfId="634" priority="4104">
      <formula>IF(L619="NO BET", TRUE, FALSE)</formula>
    </cfRule>
    <cfRule type="expression" priority="4106">
      <formula>(P619="")</formula>
    </cfRule>
  </conditionalFormatting>
  <conditionalFormatting sqref="P619">
    <cfRule type="expression" priority="4105">
      <formula>(P619="")</formula>
    </cfRule>
  </conditionalFormatting>
  <conditionalFormatting sqref="P621">
    <cfRule type="expression" priority="4103">
      <formula>(P621="")</formula>
    </cfRule>
  </conditionalFormatting>
  <conditionalFormatting sqref="P622">
    <cfRule type="expression" dxfId="633" priority="4100">
      <formula>IF(L622="NO BET", TRUE, FALSE)</formula>
    </cfRule>
    <cfRule type="expression" priority="4102">
      <formula>(P622="")</formula>
    </cfRule>
  </conditionalFormatting>
  <conditionalFormatting sqref="P622">
    <cfRule type="expression" priority="4101">
      <formula>(P622="")</formula>
    </cfRule>
  </conditionalFormatting>
  <conditionalFormatting sqref="P621">
    <cfRule type="expression" dxfId="632" priority="4097">
      <formula>IF(L621="NO BET", TRUE, FALSE)</formula>
    </cfRule>
    <cfRule type="expression" priority="4099">
      <formula>(P621="")</formula>
    </cfRule>
  </conditionalFormatting>
  <conditionalFormatting sqref="P621">
    <cfRule type="expression" priority="4098">
      <formula>(P621="")</formula>
    </cfRule>
  </conditionalFormatting>
  <conditionalFormatting sqref="P623:P626">
    <cfRule type="expression" dxfId="631" priority="4095">
      <formula>AND(NOT(K623=P623),NOT(P623=""))</formula>
    </cfRule>
    <cfRule type="expression" dxfId="630" priority="4096">
      <formula>AND((K623=P623),NOT(P623=""))</formula>
    </cfRule>
  </conditionalFormatting>
  <conditionalFormatting sqref="P623">
    <cfRule type="expression" priority="4094">
      <formula>(P623="")</formula>
    </cfRule>
  </conditionalFormatting>
  <conditionalFormatting sqref="P624">
    <cfRule type="expression" dxfId="629" priority="4087">
      <formula>IF(L624="NO BET", TRUE, FALSE)</formula>
    </cfRule>
    <cfRule type="expression" priority="4093">
      <formula>(P624="")</formula>
    </cfRule>
  </conditionalFormatting>
  <conditionalFormatting sqref="P625">
    <cfRule type="expression" priority="4092">
      <formula>(P625="")</formula>
    </cfRule>
  </conditionalFormatting>
  <conditionalFormatting sqref="P626">
    <cfRule type="expression" priority="4091">
      <formula>(P626="")</formula>
    </cfRule>
  </conditionalFormatting>
  <conditionalFormatting sqref="P624">
    <cfRule type="expression" priority="4090">
      <formula>(P624="")</formula>
    </cfRule>
  </conditionalFormatting>
  <conditionalFormatting sqref="P625">
    <cfRule type="expression" priority="4089">
      <formula>(P625="")</formula>
    </cfRule>
  </conditionalFormatting>
  <conditionalFormatting sqref="P626">
    <cfRule type="expression" priority="4088">
      <formula>(P626="")</formula>
    </cfRule>
  </conditionalFormatting>
  <conditionalFormatting sqref="P623">
    <cfRule type="expression" dxfId="628" priority="4084">
      <formula>IF(L623="NO BET", TRUE, FALSE)</formula>
    </cfRule>
    <cfRule type="expression" priority="4086">
      <formula>(P623="")</formula>
    </cfRule>
  </conditionalFormatting>
  <conditionalFormatting sqref="P623">
    <cfRule type="expression" priority="4085">
      <formula>(P623="")</formula>
    </cfRule>
  </conditionalFormatting>
  <conditionalFormatting sqref="P625">
    <cfRule type="expression" priority="4083">
      <formula>(P625="")</formula>
    </cfRule>
  </conditionalFormatting>
  <conditionalFormatting sqref="P626">
    <cfRule type="expression" dxfId="627" priority="4080">
      <formula>IF(L626="NO BET", TRUE, FALSE)</formula>
    </cfRule>
    <cfRule type="expression" priority="4082">
      <formula>(P626="")</formula>
    </cfRule>
  </conditionalFormatting>
  <conditionalFormatting sqref="P626">
    <cfRule type="expression" priority="4081">
      <formula>(P626="")</formula>
    </cfRule>
  </conditionalFormatting>
  <conditionalFormatting sqref="P625">
    <cfRule type="expression" dxfId="626" priority="4077">
      <formula>IF(L625="NO BET", TRUE, FALSE)</formula>
    </cfRule>
    <cfRule type="expression" priority="4079">
      <formula>(P625="")</formula>
    </cfRule>
  </conditionalFormatting>
  <conditionalFormatting sqref="P625">
    <cfRule type="expression" priority="4078">
      <formula>(P625="")</formula>
    </cfRule>
  </conditionalFormatting>
  <conditionalFormatting sqref="P631:P636">
    <cfRule type="expression" dxfId="625" priority="4075">
      <formula>AND(NOT(K631=P631),NOT(P631=""))</formula>
    </cfRule>
    <cfRule type="expression" dxfId="624" priority="4076">
      <formula>AND((K631=P631),NOT(P631=""))</formula>
    </cfRule>
  </conditionalFormatting>
  <conditionalFormatting sqref="P631">
    <cfRule type="expression" priority="4074">
      <formula>(P631="")</formula>
    </cfRule>
  </conditionalFormatting>
  <conditionalFormatting sqref="P632">
    <cfRule type="expression" dxfId="623" priority="4063">
      <formula>IF(L632="NO BET", TRUE, FALSE)</formula>
    </cfRule>
    <cfRule type="expression" priority="4073">
      <formula>(P632="")</formula>
    </cfRule>
  </conditionalFormatting>
  <conditionalFormatting sqref="P633">
    <cfRule type="expression" priority="4072">
      <formula>(P633="")</formula>
    </cfRule>
  </conditionalFormatting>
  <conditionalFormatting sqref="P634">
    <cfRule type="expression" priority="4071">
      <formula>(P634="")</formula>
    </cfRule>
  </conditionalFormatting>
  <conditionalFormatting sqref="P635">
    <cfRule type="expression" priority="4070">
      <formula>(P635="")</formula>
    </cfRule>
  </conditionalFormatting>
  <conditionalFormatting sqref="P636">
    <cfRule type="expression" priority="4069">
      <formula>(P636="")</formula>
    </cfRule>
  </conditionalFormatting>
  <conditionalFormatting sqref="P632">
    <cfRule type="expression" priority="4068">
      <formula>(P632="")</formula>
    </cfRule>
  </conditionalFormatting>
  <conditionalFormatting sqref="P633">
    <cfRule type="expression" priority="4067">
      <formula>(P633="")</formula>
    </cfRule>
  </conditionalFormatting>
  <conditionalFormatting sqref="P634">
    <cfRule type="expression" priority="4066">
      <formula>(P634="")</formula>
    </cfRule>
  </conditionalFormatting>
  <conditionalFormatting sqref="P635">
    <cfRule type="expression" priority="4065">
      <formula>(P635="")</formula>
    </cfRule>
  </conditionalFormatting>
  <conditionalFormatting sqref="P636">
    <cfRule type="expression" priority="4064">
      <formula>(P636="")</formula>
    </cfRule>
  </conditionalFormatting>
  <conditionalFormatting sqref="P631">
    <cfRule type="expression" dxfId="622" priority="4060">
      <formula>IF(L631="NO BET", TRUE, FALSE)</formula>
    </cfRule>
    <cfRule type="expression" priority="4062">
      <formula>(P631="")</formula>
    </cfRule>
  </conditionalFormatting>
  <conditionalFormatting sqref="P631">
    <cfRule type="expression" priority="4061">
      <formula>(P631="")</formula>
    </cfRule>
  </conditionalFormatting>
  <conditionalFormatting sqref="P633">
    <cfRule type="expression" priority="4059">
      <formula>(P633="")</formula>
    </cfRule>
  </conditionalFormatting>
  <conditionalFormatting sqref="P634">
    <cfRule type="expression" dxfId="621" priority="4056">
      <formula>IF(L634="NO BET", TRUE, FALSE)</formula>
    </cfRule>
    <cfRule type="expression" priority="4058">
      <formula>(P634="")</formula>
    </cfRule>
  </conditionalFormatting>
  <conditionalFormatting sqref="P634">
    <cfRule type="expression" priority="4057">
      <formula>(P634="")</formula>
    </cfRule>
  </conditionalFormatting>
  <conditionalFormatting sqref="P633">
    <cfRule type="expression" dxfId="620" priority="4053">
      <formula>IF(L633="NO BET", TRUE, FALSE)</formula>
    </cfRule>
    <cfRule type="expression" priority="4055">
      <formula>(P633="")</formula>
    </cfRule>
  </conditionalFormatting>
  <conditionalFormatting sqref="P633">
    <cfRule type="expression" priority="4054">
      <formula>(P633="")</formula>
    </cfRule>
  </conditionalFormatting>
  <conditionalFormatting sqref="P635">
    <cfRule type="expression" priority="4052">
      <formula>(P635="")</formula>
    </cfRule>
  </conditionalFormatting>
  <conditionalFormatting sqref="P636">
    <cfRule type="expression" dxfId="619" priority="4049">
      <formula>IF(L636="NO BET", TRUE, FALSE)</formula>
    </cfRule>
    <cfRule type="expression" priority="4051">
      <formula>(P636="")</formula>
    </cfRule>
  </conditionalFormatting>
  <conditionalFormatting sqref="P636">
    <cfRule type="expression" priority="4050">
      <formula>(P636="")</formula>
    </cfRule>
  </conditionalFormatting>
  <conditionalFormatting sqref="P635">
    <cfRule type="expression" dxfId="618" priority="4046">
      <formula>IF(L635="NO BET", TRUE, FALSE)</formula>
    </cfRule>
    <cfRule type="expression" priority="4048">
      <formula>(P635="")</formula>
    </cfRule>
  </conditionalFormatting>
  <conditionalFormatting sqref="P635">
    <cfRule type="expression" priority="4047">
      <formula>(P635="")</formula>
    </cfRule>
  </conditionalFormatting>
  <conditionalFormatting sqref="P637:P640">
    <cfRule type="expression" dxfId="617" priority="4044">
      <formula>AND(NOT(K637=P637),NOT(P637=""))</formula>
    </cfRule>
    <cfRule type="expression" dxfId="616" priority="4045">
      <formula>AND((K637=P637),NOT(P637=""))</formula>
    </cfRule>
  </conditionalFormatting>
  <conditionalFormatting sqref="P637">
    <cfRule type="expression" priority="4043">
      <formula>(P637="")</formula>
    </cfRule>
  </conditionalFormatting>
  <conditionalFormatting sqref="P638">
    <cfRule type="expression" dxfId="615" priority="4036">
      <formula>IF(L638="NO BET", TRUE, FALSE)</formula>
    </cfRule>
    <cfRule type="expression" priority="4042">
      <formula>(P638="")</formula>
    </cfRule>
  </conditionalFormatting>
  <conditionalFormatting sqref="P639">
    <cfRule type="expression" priority="4041">
      <formula>(P639="")</formula>
    </cfRule>
  </conditionalFormatting>
  <conditionalFormatting sqref="P640">
    <cfRule type="expression" priority="4040">
      <formula>(P640="")</formula>
    </cfRule>
  </conditionalFormatting>
  <conditionalFormatting sqref="P638">
    <cfRule type="expression" priority="4039">
      <formula>(P638="")</formula>
    </cfRule>
  </conditionalFormatting>
  <conditionalFormatting sqref="P639">
    <cfRule type="expression" priority="4038">
      <formula>(P639="")</formula>
    </cfRule>
  </conditionalFormatting>
  <conditionalFormatting sqref="P640">
    <cfRule type="expression" priority="4037">
      <formula>(P640="")</formula>
    </cfRule>
  </conditionalFormatting>
  <conditionalFormatting sqref="P637">
    <cfRule type="expression" dxfId="614" priority="4033">
      <formula>IF(L637="NO BET", TRUE, FALSE)</formula>
    </cfRule>
    <cfRule type="expression" priority="4035">
      <formula>(P637="")</formula>
    </cfRule>
  </conditionalFormatting>
  <conditionalFormatting sqref="P637">
    <cfRule type="expression" priority="4034">
      <formula>(P637="")</formula>
    </cfRule>
  </conditionalFormatting>
  <conditionalFormatting sqref="P639">
    <cfRule type="expression" priority="4032">
      <formula>(P639="")</formula>
    </cfRule>
  </conditionalFormatting>
  <conditionalFormatting sqref="P640">
    <cfRule type="expression" dxfId="613" priority="4029">
      <formula>IF(L640="NO BET", TRUE, FALSE)</formula>
    </cfRule>
    <cfRule type="expression" priority="4031">
      <formula>(P640="")</formula>
    </cfRule>
  </conditionalFormatting>
  <conditionalFormatting sqref="P640">
    <cfRule type="expression" priority="4030">
      <formula>(P640="")</formula>
    </cfRule>
  </conditionalFormatting>
  <conditionalFormatting sqref="P639">
    <cfRule type="expression" dxfId="612" priority="4026">
      <formula>IF(L639="NO BET", TRUE, FALSE)</formula>
    </cfRule>
    <cfRule type="expression" priority="4028">
      <formula>(P639="")</formula>
    </cfRule>
  </conditionalFormatting>
  <conditionalFormatting sqref="P639">
    <cfRule type="expression" priority="4027">
      <formula>(P639="")</formula>
    </cfRule>
  </conditionalFormatting>
  <conditionalFormatting sqref="P645:P650">
    <cfRule type="expression" dxfId="611" priority="4024">
      <formula>AND(NOT(K645=P645),NOT(P645=""))</formula>
    </cfRule>
    <cfRule type="expression" dxfId="610" priority="4025">
      <formula>AND((K645=P645),NOT(P645=""))</formula>
    </cfRule>
  </conditionalFormatting>
  <conditionalFormatting sqref="P645">
    <cfRule type="expression" priority="4023">
      <formula>(P645="")</formula>
    </cfRule>
  </conditionalFormatting>
  <conditionalFormatting sqref="P646">
    <cfRule type="expression" dxfId="609" priority="4012">
      <formula>IF(L646="NO BET", TRUE, FALSE)</formula>
    </cfRule>
    <cfRule type="expression" priority="4022">
      <formula>(P646="")</formula>
    </cfRule>
  </conditionalFormatting>
  <conditionalFormatting sqref="P647">
    <cfRule type="expression" priority="4021">
      <formula>(P647="")</formula>
    </cfRule>
  </conditionalFormatting>
  <conditionalFormatting sqref="P648">
    <cfRule type="expression" priority="4020">
      <formula>(P648="")</formula>
    </cfRule>
  </conditionalFormatting>
  <conditionalFormatting sqref="P649">
    <cfRule type="expression" priority="4019">
      <formula>(P649="")</formula>
    </cfRule>
  </conditionalFormatting>
  <conditionalFormatting sqref="P650">
    <cfRule type="expression" priority="4018">
      <formula>(P650="")</formula>
    </cfRule>
  </conditionalFormatting>
  <conditionalFormatting sqref="P646">
    <cfRule type="expression" priority="4017">
      <formula>(P646="")</formula>
    </cfRule>
  </conditionalFormatting>
  <conditionalFormatting sqref="P647">
    <cfRule type="expression" priority="4016">
      <formula>(P647="")</formula>
    </cfRule>
  </conditionalFormatting>
  <conditionalFormatting sqref="P648">
    <cfRule type="expression" priority="4015">
      <formula>(P648="")</formula>
    </cfRule>
  </conditionalFormatting>
  <conditionalFormatting sqref="P649">
    <cfRule type="expression" priority="4014">
      <formula>(P649="")</formula>
    </cfRule>
  </conditionalFormatting>
  <conditionalFormatting sqref="P650">
    <cfRule type="expression" priority="4013">
      <formula>(P650="")</formula>
    </cfRule>
  </conditionalFormatting>
  <conditionalFormatting sqref="P645">
    <cfRule type="expression" dxfId="608" priority="4009">
      <formula>IF(L645="NO BET", TRUE, FALSE)</formula>
    </cfRule>
    <cfRule type="expression" priority="4011">
      <formula>(P645="")</formula>
    </cfRule>
  </conditionalFormatting>
  <conditionalFormatting sqref="P645">
    <cfRule type="expression" priority="4010">
      <formula>(P645="")</formula>
    </cfRule>
  </conditionalFormatting>
  <conditionalFormatting sqref="P647">
    <cfRule type="expression" priority="4008">
      <formula>(P647="")</formula>
    </cfRule>
  </conditionalFormatting>
  <conditionalFormatting sqref="P648">
    <cfRule type="expression" dxfId="607" priority="4005">
      <formula>IF(L648="NO BET", TRUE, FALSE)</formula>
    </cfRule>
    <cfRule type="expression" priority="4007">
      <formula>(P648="")</formula>
    </cfRule>
  </conditionalFormatting>
  <conditionalFormatting sqref="P648">
    <cfRule type="expression" priority="4006">
      <formula>(P648="")</formula>
    </cfRule>
  </conditionalFormatting>
  <conditionalFormatting sqref="P647">
    <cfRule type="expression" dxfId="606" priority="4002">
      <formula>IF(L647="NO BET", TRUE, FALSE)</formula>
    </cfRule>
    <cfRule type="expression" priority="4004">
      <formula>(P647="")</formula>
    </cfRule>
  </conditionalFormatting>
  <conditionalFormatting sqref="P647">
    <cfRule type="expression" priority="4003">
      <formula>(P647="")</formula>
    </cfRule>
  </conditionalFormatting>
  <conditionalFormatting sqref="P649">
    <cfRule type="expression" priority="4001">
      <formula>(P649="")</formula>
    </cfRule>
  </conditionalFormatting>
  <conditionalFormatting sqref="P650">
    <cfRule type="expression" dxfId="605" priority="3998">
      <formula>IF(L650="NO BET", TRUE, FALSE)</formula>
    </cfRule>
    <cfRule type="expression" priority="4000">
      <formula>(P650="")</formula>
    </cfRule>
  </conditionalFormatting>
  <conditionalFormatting sqref="P650">
    <cfRule type="expression" priority="3999">
      <formula>(P650="")</formula>
    </cfRule>
  </conditionalFormatting>
  <conditionalFormatting sqref="P649">
    <cfRule type="expression" dxfId="604" priority="3995">
      <formula>IF(L649="NO BET", TRUE, FALSE)</formula>
    </cfRule>
    <cfRule type="expression" priority="3997">
      <formula>(P649="")</formula>
    </cfRule>
  </conditionalFormatting>
  <conditionalFormatting sqref="P649">
    <cfRule type="expression" priority="3996">
      <formula>(P649="")</formula>
    </cfRule>
  </conditionalFormatting>
  <conditionalFormatting sqref="P651:P654">
    <cfRule type="expression" dxfId="603" priority="3993">
      <formula>AND(NOT(K651=P651),NOT(P651=""))</formula>
    </cfRule>
    <cfRule type="expression" dxfId="602" priority="3994">
      <formula>AND((K651=P651),NOT(P651=""))</formula>
    </cfRule>
  </conditionalFormatting>
  <conditionalFormatting sqref="P651">
    <cfRule type="expression" priority="3992">
      <formula>(P651="")</formula>
    </cfRule>
  </conditionalFormatting>
  <conditionalFormatting sqref="P652">
    <cfRule type="expression" dxfId="601" priority="3985">
      <formula>IF(L652="NO BET", TRUE, FALSE)</formula>
    </cfRule>
    <cfRule type="expression" priority="3991">
      <formula>(P652="")</formula>
    </cfRule>
  </conditionalFormatting>
  <conditionalFormatting sqref="P653">
    <cfRule type="expression" priority="3990">
      <formula>(P653="")</formula>
    </cfRule>
  </conditionalFormatting>
  <conditionalFormatting sqref="P654">
    <cfRule type="expression" priority="3989">
      <formula>(P654="")</formula>
    </cfRule>
  </conditionalFormatting>
  <conditionalFormatting sqref="P652">
    <cfRule type="expression" priority="3988">
      <formula>(P652="")</formula>
    </cfRule>
  </conditionalFormatting>
  <conditionalFormatting sqref="P653">
    <cfRule type="expression" priority="3987">
      <formula>(P653="")</formula>
    </cfRule>
  </conditionalFormatting>
  <conditionalFormatting sqref="P654">
    <cfRule type="expression" priority="3986">
      <formula>(P654="")</formula>
    </cfRule>
  </conditionalFormatting>
  <conditionalFormatting sqref="P651">
    <cfRule type="expression" dxfId="600" priority="3982">
      <formula>IF(L651="NO BET", TRUE, FALSE)</formula>
    </cfRule>
    <cfRule type="expression" priority="3984">
      <formula>(P651="")</formula>
    </cfRule>
  </conditionalFormatting>
  <conditionalFormatting sqref="P651">
    <cfRule type="expression" priority="3983">
      <formula>(P651="")</formula>
    </cfRule>
  </conditionalFormatting>
  <conditionalFormatting sqref="P653">
    <cfRule type="expression" priority="3981">
      <formula>(P653="")</formula>
    </cfRule>
  </conditionalFormatting>
  <conditionalFormatting sqref="P654">
    <cfRule type="expression" dxfId="599" priority="3978">
      <formula>IF(L654="NO BET", TRUE, FALSE)</formula>
    </cfRule>
    <cfRule type="expression" priority="3980">
      <formula>(P654="")</formula>
    </cfRule>
  </conditionalFormatting>
  <conditionalFormatting sqref="P654">
    <cfRule type="expression" priority="3979">
      <formula>(P654="")</formula>
    </cfRule>
  </conditionalFormatting>
  <conditionalFormatting sqref="P653">
    <cfRule type="expression" dxfId="598" priority="3975">
      <formula>IF(L653="NO BET", TRUE, FALSE)</formula>
    </cfRule>
    <cfRule type="expression" priority="3977">
      <formula>(P653="")</formula>
    </cfRule>
  </conditionalFormatting>
  <conditionalFormatting sqref="P653">
    <cfRule type="expression" priority="3976">
      <formula>(P653="")</formula>
    </cfRule>
  </conditionalFormatting>
  <conditionalFormatting sqref="P659:P664">
    <cfRule type="expression" dxfId="597" priority="3973">
      <formula>AND(NOT(K659=P659),NOT(P659=""))</formula>
    </cfRule>
    <cfRule type="expression" dxfId="596" priority="3974">
      <formula>AND((K659=P659),NOT(P659=""))</formula>
    </cfRule>
  </conditionalFormatting>
  <conditionalFormatting sqref="P659">
    <cfRule type="expression" priority="3972">
      <formula>(P659="")</formula>
    </cfRule>
  </conditionalFormatting>
  <conditionalFormatting sqref="P660">
    <cfRule type="expression" dxfId="595" priority="3961">
      <formula>IF(L660="NO BET", TRUE, FALSE)</formula>
    </cfRule>
    <cfRule type="expression" priority="3971">
      <formula>(P660="")</formula>
    </cfRule>
  </conditionalFormatting>
  <conditionalFormatting sqref="P661">
    <cfRule type="expression" priority="3970">
      <formula>(P661="")</formula>
    </cfRule>
  </conditionalFormatting>
  <conditionalFormatting sqref="P662">
    <cfRule type="expression" priority="3969">
      <formula>(P662="")</formula>
    </cfRule>
  </conditionalFormatting>
  <conditionalFormatting sqref="P663">
    <cfRule type="expression" priority="3968">
      <formula>(P663="")</formula>
    </cfRule>
  </conditionalFormatting>
  <conditionalFormatting sqref="P664">
    <cfRule type="expression" priority="3967">
      <formula>(P664="")</formula>
    </cfRule>
  </conditionalFormatting>
  <conditionalFormatting sqref="P660">
    <cfRule type="expression" priority="3966">
      <formula>(P660="")</formula>
    </cfRule>
  </conditionalFormatting>
  <conditionalFormatting sqref="P661">
    <cfRule type="expression" priority="3965">
      <formula>(P661="")</formula>
    </cfRule>
  </conditionalFormatting>
  <conditionalFormatting sqref="P662">
    <cfRule type="expression" priority="3964">
      <formula>(P662="")</formula>
    </cfRule>
  </conditionalFormatting>
  <conditionalFormatting sqref="P663">
    <cfRule type="expression" priority="3963">
      <formula>(P663="")</formula>
    </cfRule>
  </conditionalFormatting>
  <conditionalFormatting sqref="P664">
    <cfRule type="expression" priority="3962">
      <formula>(P664="")</formula>
    </cfRule>
  </conditionalFormatting>
  <conditionalFormatting sqref="P659">
    <cfRule type="expression" dxfId="594" priority="3958">
      <formula>IF(L659="NO BET", TRUE, FALSE)</formula>
    </cfRule>
    <cfRule type="expression" priority="3960">
      <formula>(P659="")</formula>
    </cfRule>
  </conditionalFormatting>
  <conditionalFormatting sqref="P659">
    <cfRule type="expression" priority="3959">
      <formula>(P659="")</formula>
    </cfRule>
  </conditionalFormatting>
  <conditionalFormatting sqref="P661">
    <cfRule type="expression" priority="3957">
      <formula>(P661="")</formula>
    </cfRule>
  </conditionalFormatting>
  <conditionalFormatting sqref="P662">
    <cfRule type="expression" dxfId="593" priority="3954">
      <formula>IF(L662="NO BET", TRUE, FALSE)</formula>
    </cfRule>
    <cfRule type="expression" priority="3956">
      <formula>(P662="")</formula>
    </cfRule>
  </conditionalFormatting>
  <conditionalFormatting sqref="P662">
    <cfRule type="expression" priority="3955">
      <formula>(P662="")</formula>
    </cfRule>
  </conditionalFormatting>
  <conditionalFormatting sqref="P661">
    <cfRule type="expression" dxfId="592" priority="3951">
      <formula>IF(L661="NO BET", TRUE, FALSE)</formula>
    </cfRule>
    <cfRule type="expression" priority="3953">
      <formula>(P661="")</formula>
    </cfRule>
  </conditionalFormatting>
  <conditionalFormatting sqref="P661">
    <cfRule type="expression" priority="3952">
      <formula>(P661="")</formula>
    </cfRule>
  </conditionalFormatting>
  <conditionalFormatting sqref="P663">
    <cfRule type="expression" priority="3950">
      <formula>(P663="")</formula>
    </cfRule>
  </conditionalFormatting>
  <conditionalFormatting sqref="P664">
    <cfRule type="expression" dxfId="591" priority="3947">
      <formula>IF(L664="NO BET", TRUE, FALSE)</formula>
    </cfRule>
    <cfRule type="expression" priority="3949">
      <formula>(P664="")</formula>
    </cfRule>
  </conditionalFormatting>
  <conditionalFormatting sqref="P664">
    <cfRule type="expression" priority="3948">
      <formula>(P664="")</formula>
    </cfRule>
  </conditionalFormatting>
  <conditionalFormatting sqref="P663">
    <cfRule type="expression" dxfId="590" priority="3944">
      <formula>IF(L663="NO BET", TRUE, FALSE)</formula>
    </cfRule>
    <cfRule type="expression" priority="3946">
      <formula>(P663="")</formula>
    </cfRule>
  </conditionalFormatting>
  <conditionalFormatting sqref="P663">
    <cfRule type="expression" priority="3945">
      <formula>(P663="")</formula>
    </cfRule>
  </conditionalFormatting>
  <conditionalFormatting sqref="P665:P668">
    <cfRule type="expression" dxfId="589" priority="3942">
      <formula>AND(NOT(K665=P665),NOT(P665=""))</formula>
    </cfRule>
    <cfRule type="expression" dxfId="588" priority="3943">
      <formula>AND((K665=P665),NOT(P665=""))</formula>
    </cfRule>
  </conditionalFormatting>
  <conditionalFormatting sqref="P665">
    <cfRule type="expression" priority="3941">
      <formula>(P665="")</formula>
    </cfRule>
  </conditionalFormatting>
  <conditionalFormatting sqref="P666">
    <cfRule type="expression" dxfId="587" priority="3934">
      <formula>IF(L666="NO BET", TRUE, FALSE)</formula>
    </cfRule>
    <cfRule type="expression" priority="3940">
      <formula>(P666="")</formula>
    </cfRule>
  </conditionalFormatting>
  <conditionalFormatting sqref="P667">
    <cfRule type="expression" priority="3939">
      <formula>(P667="")</formula>
    </cfRule>
  </conditionalFormatting>
  <conditionalFormatting sqref="P668">
    <cfRule type="expression" priority="3938">
      <formula>(P668="")</formula>
    </cfRule>
  </conditionalFormatting>
  <conditionalFormatting sqref="P666">
    <cfRule type="expression" priority="3937">
      <formula>(P666="")</formula>
    </cfRule>
  </conditionalFormatting>
  <conditionalFormatting sqref="P667">
    <cfRule type="expression" priority="3936">
      <formula>(P667="")</formula>
    </cfRule>
  </conditionalFormatting>
  <conditionalFormatting sqref="P668">
    <cfRule type="expression" priority="3935">
      <formula>(P668="")</formula>
    </cfRule>
  </conditionalFormatting>
  <conditionalFormatting sqref="P665">
    <cfRule type="expression" dxfId="586" priority="3931">
      <formula>IF(L665="NO BET", TRUE, FALSE)</formula>
    </cfRule>
    <cfRule type="expression" priority="3933">
      <formula>(P665="")</formula>
    </cfRule>
  </conditionalFormatting>
  <conditionalFormatting sqref="P665">
    <cfRule type="expression" priority="3932">
      <formula>(P665="")</formula>
    </cfRule>
  </conditionalFormatting>
  <conditionalFormatting sqref="P667">
    <cfRule type="expression" priority="3930">
      <formula>(P667="")</formula>
    </cfRule>
  </conditionalFormatting>
  <conditionalFormatting sqref="P668">
    <cfRule type="expression" dxfId="585" priority="3927">
      <formula>IF(L668="NO BET", TRUE, FALSE)</formula>
    </cfRule>
    <cfRule type="expression" priority="3929">
      <formula>(P668="")</formula>
    </cfRule>
  </conditionalFormatting>
  <conditionalFormatting sqref="P668">
    <cfRule type="expression" priority="3928">
      <formula>(P668="")</formula>
    </cfRule>
  </conditionalFormatting>
  <conditionalFormatting sqref="P667">
    <cfRule type="expression" dxfId="584" priority="3924">
      <formula>IF(L667="NO BET", TRUE, FALSE)</formula>
    </cfRule>
    <cfRule type="expression" priority="3926">
      <formula>(P667="")</formula>
    </cfRule>
  </conditionalFormatting>
  <conditionalFormatting sqref="P667">
    <cfRule type="expression" priority="3925">
      <formula>(P667="")</formula>
    </cfRule>
  </conditionalFormatting>
  <conditionalFormatting sqref="P673">
    <cfRule type="expression" priority="3921">
      <formula>(P673="")</formula>
    </cfRule>
  </conditionalFormatting>
  <conditionalFormatting sqref="P675">
    <cfRule type="expression" priority="3919">
      <formula>(P675="")</formula>
    </cfRule>
  </conditionalFormatting>
  <conditionalFormatting sqref="P676">
    <cfRule type="expression" priority="3918">
      <formula>(P676="")</formula>
    </cfRule>
  </conditionalFormatting>
  <conditionalFormatting sqref="P677">
    <cfRule type="expression" priority="3917">
      <formula>(P677="")</formula>
    </cfRule>
  </conditionalFormatting>
  <conditionalFormatting sqref="P678">
    <cfRule type="expression" priority="3916">
      <formula>(P678="")</formula>
    </cfRule>
  </conditionalFormatting>
  <conditionalFormatting sqref="P674">
    <cfRule type="expression" priority="3915">
      <formula>(P674="")</formula>
    </cfRule>
  </conditionalFormatting>
  <conditionalFormatting sqref="P675">
    <cfRule type="expression" priority="3914">
      <formula>(P675="")</formula>
    </cfRule>
  </conditionalFormatting>
  <conditionalFormatting sqref="P676">
    <cfRule type="expression" priority="3913">
      <formula>(P676="")</formula>
    </cfRule>
  </conditionalFormatting>
  <conditionalFormatting sqref="P677">
    <cfRule type="expression" priority="3912">
      <formula>(P677="")</formula>
    </cfRule>
  </conditionalFormatting>
  <conditionalFormatting sqref="P678">
    <cfRule type="expression" priority="3911">
      <formula>(P678="")</formula>
    </cfRule>
  </conditionalFormatting>
  <conditionalFormatting sqref="P673">
    <cfRule type="expression" priority="3908">
      <formula>(P673="")</formula>
    </cfRule>
  </conditionalFormatting>
  <conditionalFormatting sqref="P675">
    <cfRule type="expression" priority="3906">
      <formula>(P675="")</formula>
    </cfRule>
  </conditionalFormatting>
  <conditionalFormatting sqref="P676">
    <cfRule type="expression" priority="3904">
      <formula>(P676="")</formula>
    </cfRule>
  </conditionalFormatting>
  <conditionalFormatting sqref="P675">
    <cfRule type="expression" priority="3901">
      <formula>(P675="")</formula>
    </cfRule>
  </conditionalFormatting>
  <conditionalFormatting sqref="P677">
    <cfRule type="expression" priority="3899">
      <formula>(P677="")</formula>
    </cfRule>
  </conditionalFormatting>
  <conditionalFormatting sqref="P678">
    <cfRule type="expression" priority="3897">
      <formula>(P678="")</formula>
    </cfRule>
  </conditionalFormatting>
  <conditionalFormatting sqref="P677">
    <cfRule type="expression" priority="3894">
      <formula>(P677="")</formula>
    </cfRule>
  </conditionalFormatting>
  <conditionalFormatting sqref="P679">
    <cfRule type="expression" priority="3890">
      <formula>(P679="")</formula>
    </cfRule>
  </conditionalFormatting>
  <conditionalFormatting sqref="P681">
    <cfRule type="expression" priority="3888">
      <formula>(P681="")</formula>
    </cfRule>
  </conditionalFormatting>
  <conditionalFormatting sqref="P682">
    <cfRule type="expression" priority="3887">
      <formula>(P682="")</formula>
    </cfRule>
  </conditionalFormatting>
  <conditionalFormatting sqref="P680">
    <cfRule type="expression" priority="3886">
      <formula>(P680="")</formula>
    </cfRule>
  </conditionalFormatting>
  <conditionalFormatting sqref="P681">
    <cfRule type="expression" priority="3885">
      <formula>(P681="")</formula>
    </cfRule>
  </conditionalFormatting>
  <conditionalFormatting sqref="P682">
    <cfRule type="expression" priority="3884">
      <formula>(P682="")</formula>
    </cfRule>
  </conditionalFormatting>
  <conditionalFormatting sqref="P679">
    <cfRule type="expression" priority="3881">
      <formula>(P679="")</formula>
    </cfRule>
  </conditionalFormatting>
  <conditionalFormatting sqref="P681">
    <cfRule type="expression" priority="3879">
      <formula>(P681="")</formula>
    </cfRule>
  </conditionalFormatting>
  <conditionalFormatting sqref="P682">
    <cfRule type="expression" priority="3877">
      <formula>(P682="")</formula>
    </cfRule>
  </conditionalFormatting>
  <conditionalFormatting sqref="P681">
    <cfRule type="expression" priority="3874">
      <formula>(P681="")</formula>
    </cfRule>
  </conditionalFormatting>
  <conditionalFormatting sqref="P701:P706">
    <cfRule type="expression" dxfId="583" priority="3820">
      <formula>AND(NOT(K701=P701),NOT(P701=""))</formula>
    </cfRule>
    <cfRule type="expression" dxfId="582" priority="3821">
      <formula>AND((K701=P701),NOT(P701=""))</formula>
    </cfRule>
  </conditionalFormatting>
  <conditionalFormatting sqref="P701">
    <cfRule type="expression" priority="3819">
      <formula>(P701="")</formula>
    </cfRule>
  </conditionalFormatting>
  <conditionalFormatting sqref="P702">
    <cfRule type="expression" dxfId="581" priority="3808">
      <formula>IF(L702="NO BET", TRUE, FALSE)</formula>
    </cfRule>
    <cfRule type="expression" priority="3818">
      <formula>(P702="")</formula>
    </cfRule>
  </conditionalFormatting>
  <conditionalFormatting sqref="P703">
    <cfRule type="expression" priority="3817">
      <formula>(P703="")</formula>
    </cfRule>
  </conditionalFormatting>
  <conditionalFormatting sqref="P704">
    <cfRule type="expression" priority="3816">
      <formula>(P704="")</formula>
    </cfRule>
  </conditionalFormatting>
  <conditionalFormatting sqref="P705">
    <cfRule type="expression" priority="3815">
      <formula>(P705="")</formula>
    </cfRule>
  </conditionalFormatting>
  <conditionalFormatting sqref="P706">
    <cfRule type="expression" priority="3814">
      <formula>(P706="")</formula>
    </cfRule>
  </conditionalFormatting>
  <conditionalFormatting sqref="P702">
    <cfRule type="expression" priority="3813">
      <formula>(P702="")</formula>
    </cfRule>
  </conditionalFormatting>
  <conditionalFormatting sqref="P703">
    <cfRule type="expression" priority="3812">
      <formula>(P703="")</formula>
    </cfRule>
  </conditionalFormatting>
  <conditionalFormatting sqref="P704">
    <cfRule type="expression" priority="3811">
      <formula>(P704="")</formula>
    </cfRule>
  </conditionalFormatting>
  <conditionalFormatting sqref="P705">
    <cfRule type="expression" priority="3810">
      <formula>(P705="")</formula>
    </cfRule>
  </conditionalFormatting>
  <conditionalFormatting sqref="P706">
    <cfRule type="expression" priority="3809">
      <formula>(P706="")</formula>
    </cfRule>
  </conditionalFormatting>
  <conditionalFormatting sqref="P701">
    <cfRule type="expression" dxfId="580" priority="3805">
      <formula>IF(L701="NO BET", TRUE, FALSE)</formula>
    </cfRule>
    <cfRule type="expression" priority="3807">
      <formula>(P701="")</formula>
    </cfRule>
  </conditionalFormatting>
  <conditionalFormatting sqref="P701">
    <cfRule type="expression" priority="3806">
      <formula>(P701="")</formula>
    </cfRule>
  </conditionalFormatting>
  <conditionalFormatting sqref="P703">
    <cfRule type="expression" priority="3804">
      <formula>(P703="")</formula>
    </cfRule>
  </conditionalFormatting>
  <conditionalFormatting sqref="P704">
    <cfRule type="expression" dxfId="579" priority="3801">
      <formula>IF(L704="NO BET", TRUE, FALSE)</formula>
    </cfRule>
    <cfRule type="expression" priority="3803">
      <formula>(P704="")</formula>
    </cfRule>
  </conditionalFormatting>
  <conditionalFormatting sqref="P704">
    <cfRule type="expression" priority="3802">
      <formula>(P704="")</formula>
    </cfRule>
  </conditionalFormatting>
  <conditionalFormatting sqref="P703">
    <cfRule type="expression" dxfId="578" priority="3798">
      <formula>IF(L703="NO BET", TRUE, FALSE)</formula>
    </cfRule>
    <cfRule type="expression" priority="3800">
      <formula>(P703="")</formula>
    </cfRule>
  </conditionalFormatting>
  <conditionalFormatting sqref="P703">
    <cfRule type="expression" priority="3799">
      <formula>(P703="")</formula>
    </cfRule>
  </conditionalFormatting>
  <conditionalFormatting sqref="P705">
    <cfRule type="expression" priority="3797">
      <formula>(P705="")</formula>
    </cfRule>
  </conditionalFormatting>
  <conditionalFormatting sqref="P706">
    <cfRule type="expression" dxfId="577" priority="3794">
      <formula>IF(L706="NO BET", TRUE, FALSE)</formula>
    </cfRule>
    <cfRule type="expression" priority="3796">
      <formula>(P706="")</formula>
    </cfRule>
  </conditionalFormatting>
  <conditionalFormatting sqref="P706">
    <cfRule type="expression" priority="3795">
      <formula>(P706="")</formula>
    </cfRule>
  </conditionalFormatting>
  <conditionalFormatting sqref="P705">
    <cfRule type="expression" dxfId="576" priority="3791">
      <formula>IF(L705="NO BET", TRUE, FALSE)</formula>
    </cfRule>
    <cfRule type="expression" priority="3793">
      <formula>(P705="")</formula>
    </cfRule>
  </conditionalFormatting>
  <conditionalFormatting sqref="P705">
    <cfRule type="expression" priority="3792">
      <formula>(P705="")</formula>
    </cfRule>
  </conditionalFormatting>
  <conditionalFormatting sqref="P707:P710">
    <cfRule type="expression" dxfId="575" priority="3789">
      <formula>AND(NOT(K707=P707),NOT(P707=""))</formula>
    </cfRule>
    <cfRule type="expression" dxfId="574" priority="3790">
      <formula>AND((K707=P707),NOT(P707=""))</formula>
    </cfRule>
  </conditionalFormatting>
  <conditionalFormatting sqref="P707">
    <cfRule type="expression" priority="3788">
      <formula>(P707="")</formula>
    </cfRule>
  </conditionalFormatting>
  <conditionalFormatting sqref="P708">
    <cfRule type="expression" dxfId="573" priority="3781">
      <formula>IF(L708="NO BET", TRUE, FALSE)</formula>
    </cfRule>
    <cfRule type="expression" priority="3787">
      <formula>(P708="")</formula>
    </cfRule>
  </conditionalFormatting>
  <conditionalFormatting sqref="P709">
    <cfRule type="expression" priority="3786">
      <formula>(P709="")</formula>
    </cfRule>
  </conditionalFormatting>
  <conditionalFormatting sqref="P710">
    <cfRule type="expression" priority="3785">
      <formula>(P710="")</formula>
    </cfRule>
  </conditionalFormatting>
  <conditionalFormatting sqref="P708">
    <cfRule type="expression" priority="3784">
      <formula>(P708="")</formula>
    </cfRule>
  </conditionalFormatting>
  <conditionalFormatting sqref="P709">
    <cfRule type="expression" priority="3783">
      <formula>(P709="")</formula>
    </cfRule>
  </conditionalFormatting>
  <conditionalFormatting sqref="P710">
    <cfRule type="expression" priority="3782">
      <formula>(P710="")</formula>
    </cfRule>
  </conditionalFormatting>
  <conditionalFormatting sqref="P707">
    <cfRule type="expression" dxfId="572" priority="3778">
      <formula>IF(L707="NO BET", TRUE, FALSE)</formula>
    </cfRule>
    <cfRule type="expression" priority="3780">
      <formula>(P707="")</formula>
    </cfRule>
  </conditionalFormatting>
  <conditionalFormatting sqref="P707">
    <cfRule type="expression" priority="3779">
      <formula>(P707="")</formula>
    </cfRule>
  </conditionalFormatting>
  <conditionalFormatting sqref="P709">
    <cfRule type="expression" priority="3777">
      <formula>(P709="")</formula>
    </cfRule>
  </conditionalFormatting>
  <conditionalFormatting sqref="P710">
    <cfRule type="expression" dxfId="571" priority="3774">
      <formula>IF(L710="NO BET", TRUE, FALSE)</formula>
    </cfRule>
    <cfRule type="expression" priority="3776">
      <formula>(P710="")</formula>
    </cfRule>
  </conditionalFormatting>
  <conditionalFormatting sqref="P710">
    <cfRule type="expression" priority="3775">
      <formula>(P710="")</formula>
    </cfRule>
  </conditionalFormatting>
  <conditionalFormatting sqref="P709">
    <cfRule type="expression" dxfId="570" priority="3771">
      <formula>IF(L709="NO BET", TRUE, FALSE)</formula>
    </cfRule>
    <cfRule type="expression" priority="3773">
      <formula>(P709="")</formula>
    </cfRule>
  </conditionalFormatting>
  <conditionalFormatting sqref="P709">
    <cfRule type="expression" priority="3772">
      <formula>(P709="")</formula>
    </cfRule>
  </conditionalFormatting>
  <conditionalFormatting sqref="P715:P720">
    <cfRule type="expression" dxfId="569" priority="3769">
      <formula>AND(NOT(K715=P715),NOT(P715=""))</formula>
    </cfRule>
    <cfRule type="expression" dxfId="568" priority="3770">
      <formula>AND((K715=P715),NOT(P715=""))</formula>
    </cfRule>
  </conditionalFormatting>
  <conditionalFormatting sqref="P715">
    <cfRule type="expression" priority="3768">
      <formula>(P715="")</formula>
    </cfRule>
  </conditionalFormatting>
  <conditionalFormatting sqref="P716">
    <cfRule type="expression" dxfId="567" priority="3757">
      <formula>IF(L716="NO BET", TRUE, FALSE)</formula>
    </cfRule>
    <cfRule type="expression" priority="3767">
      <formula>(P716="")</formula>
    </cfRule>
  </conditionalFormatting>
  <conditionalFormatting sqref="P717">
    <cfRule type="expression" priority="3766">
      <formula>(P717="")</formula>
    </cfRule>
  </conditionalFormatting>
  <conditionalFormatting sqref="P718">
    <cfRule type="expression" priority="3765">
      <formula>(P718="")</formula>
    </cfRule>
  </conditionalFormatting>
  <conditionalFormatting sqref="P719">
    <cfRule type="expression" priority="3764">
      <formula>(P719="")</formula>
    </cfRule>
  </conditionalFormatting>
  <conditionalFormatting sqref="P720">
    <cfRule type="expression" priority="3763">
      <formula>(P720="")</formula>
    </cfRule>
  </conditionalFormatting>
  <conditionalFormatting sqref="P716">
    <cfRule type="expression" priority="3762">
      <formula>(P716="")</formula>
    </cfRule>
  </conditionalFormatting>
  <conditionalFormatting sqref="P717">
    <cfRule type="expression" priority="3761">
      <formula>(P717="")</formula>
    </cfRule>
  </conditionalFormatting>
  <conditionalFormatting sqref="P718">
    <cfRule type="expression" priority="3760">
      <formula>(P718="")</formula>
    </cfRule>
  </conditionalFormatting>
  <conditionalFormatting sqref="P719">
    <cfRule type="expression" priority="3759">
      <formula>(P719="")</formula>
    </cfRule>
  </conditionalFormatting>
  <conditionalFormatting sqref="P720">
    <cfRule type="expression" priority="3758">
      <formula>(P720="")</formula>
    </cfRule>
  </conditionalFormatting>
  <conditionalFormatting sqref="P715">
    <cfRule type="expression" dxfId="566" priority="3754">
      <formula>IF(L715="NO BET", TRUE, FALSE)</formula>
    </cfRule>
    <cfRule type="expression" priority="3756">
      <formula>(P715="")</formula>
    </cfRule>
  </conditionalFormatting>
  <conditionalFormatting sqref="P715">
    <cfRule type="expression" priority="3755">
      <formula>(P715="")</formula>
    </cfRule>
  </conditionalFormatting>
  <conditionalFormatting sqref="P717">
    <cfRule type="expression" priority="3753">
      <formula>(P717="")</formula>
    </cfRule>
  </conditionalFormatting>
  <conditionalFormatting sqref="P718">
    <cfRule type="expression" dxfId="565" priority="3750">
      <formula>IF(L718="NO BET", TRUE, FALSE)</formula>
    </cfRule>
    <cfRule type="expression" priority="3752">
      <formula>(P718="")</formula>
    </cfRule>
  </conditionalFormatting>
  <conditionalFormatting sqref="P718">
    <cfRule type="expression" priority="3751">
      <formula>(P718="")</formula>
    </cfRule>
  </conditionalFormatting>
  <conditionalFormatting sqref="P717">
    <cfRule type="expression" dxfId="564" priority="3747">
      <formula>IF(L717="NO BET", TRUE, FALSE)</formula>
    </cfRule>
    <cfRule type="expression" priority="3749">
      <formula>(P717="")</formula>
    </cfRule>
  </conditionalFormatting>
  <conditionalFormatting sqref="P717">
    <cfRule type="expression" priority="3748">
      <formula>(P717="")</formula>
    </cfRule>
  </conditionalFormatting>
  <conditionalFormatting sqref="P719">
    <cfRule type="expression" priority="3746">
      <formula>(P719="")</formula>
    </cfRule>
  </conditionalFormatting>
  <conditionalFormatting sqref="P720">
    <cfRule type="expression" dxfId="563" priority="3743">
      <formula>IF(L720="NO BET", TRUE, FALSE)</formula>
    </cfRule>
    <cfRule type="expression" priority="3745">
      <formula>(P720="")</formula>
    </cfRule>
  </conditionalFormatting>
  <conditionalFormatting sqref="P720">
    <cfRule type="expression" priority="3744">
      <formula>(P720="")</formula>
    </cfRule>
  </conditionalFormatting>
  <conditionalFormatting sqref="P719">
    <cfRule type="expression" dxfId="562" priority="3740">
      <formula>IF(L719="NO BET", TRUE, FALSE)</formula>
    </cfRule>
    <cfRule type="expression" priority="3742">
      <formula>(P719="")</formula>
    </cfRule>
  </conditionalFormatting>
  <conditionalFormatting sqref="P719">
    <cfRule type="expression" priority="3741">
      <formula>(P719="")</formula>
    </cfRule>
  </conditionalFormatting>
  <conditionalFormatting sqref="P721:P724">
    <cfRule type="expression" dxfId="561" priority="3738">
      <formula>AND(NOT(K721=P721),NOT(P721=""))</formula>
    </cfRule>
    <cfRule type="expression" dxfId="560" priority="3739">
      <formula>AND((K721=P721),NOT(P721=""))</formula>
    </cfRule>
  </conditionalFormatting>
  <conditionalFormatting sqref="P721">
    <cfRule type="expression" priority="3737">
      <formula>(P721="")</formula>
    </cfRule>
  </conditionalFormatting>
  <conditionalFormatting sqref="P722">
    <cfRule type="expression" dxfId="559" priority="3730">
      <formula>IF(L722="NO BET", TRUE, FALSE)</formula>
    </cfRule>
    <cfRule type="expression" priority="3736">
      <formula>(P722="")</formula>
    </cfRule>
  </conditionalFormatting>
  <conditionalFormatting sqref="P723">
    <cfRule type="expression" priority="3735">
      <formula>(P723="")</formula>
    </cfRule>
  </conditionalFormatting>
  <conditionalFormatting sqref="P724">
    <cfRule type="expression" priority="3734">
      <formula>(P724="")</formula>
    </cfRule>
  </conditionalFormatting>
  <conditionalFormatting sqref="P722">
    <cfRule type="expression" priority="3733">
      <formula>(P722="")</formula>
    </cfRule>
  </conditionalFormatting>
  <conditionalFormatting sqref="P723">
    <cfRule type="expression" priority="3732">
      <formula>(P723="")</formula>
    </cfRule>
  </conditionalFormatting>
  <conditionalFormatting sqref="P724">
    <cfRule type="expression" priority="3731">
      <formula>(P724="")</formula>
    </cfRule>
  </conditionalFormatting>
  <conditionalFormatting sqref="P721">
    <cfRule type="expression" dxfId="558" priority="3727">
      <formula>IF(L721="NO BET", TRUE, FALSE)</formula>
    </cfRule>
    <cfRule type="expression" priority="3729">
      <formula>(P721="")</formula>
    </cfRule>
  </conditionalFormatting>
  <conditionalFormatting sqref="P721">
    <cfRule type="expression" priority="3728">
      <formula>(P721="")</formula>
    </cfRule>
  </conditionalFormatting>
  <conditionalFormatting sqref="P723">
    <cfRule type="expression" priority="3726">
      <formula>(P723="")</formula>
    </cfRule>
  </conditionalFormatting>
  <conditionalFormatting sqref="P724">
    <cfRule type="expression" dxfId="557" priority="3723">
      <formula>IF(L724="NO BET", TRUE, FALSE)</formula>
    </cfRule>
    <cfRule type="expression" priority="3725">
      <formula>(P724="")</formula>
    </cfRule>
  </conditionalFormatting>
  <conditionalFormatting sqref="P724">
    <cfRule type="expression" priority="3724">
      <formula>(P724="")</formula>
    </cfRule>
  </conditionalFormatting>
  <conditionalFormatting sqref="P723">
    <cfRule type="expression" dxfId="556" priority="3720">
      <formula>IF(L723="NO BET", TRUE, FALSE)</formula>
    </cfRule>
    <cfRule type="expression" priority="3722">
      <formula>(P723="")</formula>
    </cfRule>
  </conditionalFormatting>
  <conditionalFormatting sqref="P723">
    <cfRule type="expression" priority="3721">
      <formula>(P723="")</formula>
    </cfRule>
  </conditionalFormatting>
  <conditionalFormatting sqref="P729:P734">
    <cfRule type="expression" dxfId="555" priority="3718">
      <formula>AND(NOT(K729=P729),NOT(P729=""))</formula>
    </cfRule>
    <cfRule type="expression" dxfId="554" priority="3719">
      <formula>AND((K729=P729),NOT(P729=""))</formula>
    </cfRule>
  </conditionalFormatting>
  <conditionalFormatting sqref="P729">
    <cfRule type="expression" priority="3717">
      <formula>(P729="")</formula>
    </cfRule>
  </conditionalFormatting>
  <conditionalFormatting sqref="P730">
    <cfRule type="expression" dxfId="553" priority="3706">
      <formula>IF(L730="NO BET", TRUE, FALSE)</formula>
    </cfRule>
    <cfRule type="expression" priority="3716">
      <formula>(P730="")</formula>
    </cfRule>
  </conditionalFormatting>
  <conditionalFormatting sqref="P731">
    <cfRule type="expression" priority="3715">
      <formula>(P731="")</formula>
    </cfRule>
  </conditionalFormatting>
  <conditionalFormatting sqref="P732">
    <cfRule type="expression" priority="3714">
      <formula>(P732="")</formula>
    </cfRule>
  </conditionalFormatting>
  <conditionalFormatting sqref="P733">
    <cfRule type="expression" priority="3713">
      <formula>(P733="")</formula>
    </cfRule>
  </conditionalFormatting>
  <conditionalFormatting sqref="P734">
    <cfRule type="expression" priority="3712">
      <formula>(P734="")</formula>
    </cfRule>
  </conditionalFormatting>
  <conditionalFormatting sqref="P730">
    <cfRule type="expression" priority="3711">
      <formula>(P730="")</formula>
    </cfRule>
  </conditionalFormatting>
  <conditionalFormatting sqref="P731">
    <cfRule type="expression" priority="3710">
      <formula>(P731="")</formula>
    </cfRule>
  </conditionalFormatting>
  <conditionalFormatting sqref="P732">
    <cfRule type="expression" priority="3709">
      <formula>(P732="")</formula>
    </cfRule>
  </conditionalFormatting>
  <conditionalFormatting sqref="P733">
    <cfRule type="expression" priority="3708">
      <formula>(P733="")</formula>
    </cfRule>
  </conditionalFormatting>
  <conditionalFormatting sqref="P734">
    <cfRule type="expression" priority="3707">
      <formula>(P734="")</formula>
    </cfRule>
  </conditionalFormatting>
  <conditionalFormatting sqref="P729">
    <cfRule type="expression" dxfId="552" priority="3703">
      <formula>IF(L729="NO BET", TRUE, FALSE)</formula>
    </cfRule>
    <cfRule type="expression" priority="3705">
      <formula>(P729="")</formula>
    </cfRule>
  </conditionalFormatting>
  <conditionalFormatting sqref="P729">
    <cfRule type="expression" priority="3704">
      <formula>(P729="")</formula>
    </cfRule>
  </conditionalFormatting>
  <conditionalFormatting sqref="P731">
    <cfRule type="expression" priority="3702">
      <formula>(P731="")</formula>
    </cfRule>
  </conditionalFormatting>
  <conditionalFormatting sqref="P732">
    <cfRule type="expression" dxfId="551" priority="3699">
      <formula>IF(L732="NO BET", TRUE, FALSE)</formula>
    </cfRule>
    <cfRule type="expression" priority="3701">
      <formula>(P732="")</formula>
    </cfRule>
  </conditionalFormatting>
  <conditionalFormatting sqref="P732">
    <cfRule type="expression" priority="3700">
      <formula>(P732="")</formula>
    </cfRule>
  </conditionalFormatting>
  <conditionalFormatting sqref="P731">
    <cfRule type="expression" dxfId="550" priority="3696">
      <formula>IF(L731="NO BET", TRUE, FALSE)</formula>
    </cfRule>
    <cfRule type="expression" priority="3698">
      <formula>(P731="")</formula>
    </cfRule>
  </conditionalFormatting>
  <conditionalFormatting sqref="P731">
    <cfRule type="expression" priority="3697">
      <formula>(P731="")</formula>
    </cfRule>
  </conditionalFormatting>
  <conditionalFormatting sqref="P733">
    <cfRule type="expression" priority="3695">
      <formula>(P733="")</formula>
    </cfRule>
  </conditionalFormatting>
  <conditionalFormatting sqref="P734">
    <cfRule type="expression" dxfId="549" priority="3692">
      <formula>IF(L734="NO BET", TRUE, FALSE)</formula>
    </cfRule>
    <cfRule type="expression" priority="3694">
      <formula>(P734="")</formula>
    </cfRule>
  </conditionalFormatting>
  <conditionalFormatting sqref="P734">
    <cfRule type="expression" priority="3693">
      <formula>(P734="")</formula>
    </cfRule>
  </conditionalFormatting>
  <conditionalFormatting sqref="P733">
    <cfRule type="expression" dxfId="548" priority="3689">
      <formula>IF(L733="NO BET", TRUE, FALSE)</formula>
    </cfRule>
    <cfRule type="expression" priority="3691">
      <formula>(P733="")</formula>
    </cfRule>
  </conditionalFormatting>
  <conditionalFormatting sqref="P733">
    <cfRule type="expression" priority="3690">
      <formula>(P733="")</formula>
    </cfRule>
  </conditionalFormatting>
  <conditionalFormatting sqref="P735:P738">
    <cfRule type="expression" dxfId="547" priority="3687">
      <formula>AND(NOT(K735=P735),NOT(P735=""))</formula>
    </cfRule>
    <cfRule type="expression" dxfId="546" priority="3688">
      <formula>AND((K735=P735),NOT(P735=""))</formula>
    </cfRule>
  </conditionalFormatting>
  <conditionalFormatting sqref="P735">
    <cfRule type="expression" priority="3686">
      <formula>(P735="")</formula>
    </cfRule>
  </conditionalFormatting>
  <conditionalFormatting sqref="P736">
    <cfRule type="expression" dxfId="545" priority="3679">
      <formula>IF(L736="NO BET", TRUE, FALSE)</formula>
    </cfRule>
    <cfRule type="expression" priority="3685">
      <formula>(P736="")</formula>
    </cfRule>
  </conditionalFormatting>
  <conditionalFormatting sqref="P737">
    <cfRule type="expression" priority="3684">
      <formula>(P737="")</formula>
    </cfRule>
  </conditionalFormatting>
  <conditionalFormatting sqref="P738">
    <cfRule type="expression" priority="3683">
      <formula>(P738="")</formula>
    </cfRule>
  </conditionalFormatting>
  <conditionalFormatting sqref="P736">
    <cfRule type="expression" priority="3682">
      <formula>(P736="")</formula>
    </cfRule>
  </conditionalFormatting>
  <conditionalFormatting sqref="P737">
    <cfRule type="expression" priority="3681">
      <formula>(P737="")</formula>
    </cfRule>
  </conditionalFormatting>
  <conditionalFormatting sqref="P738">
    <cfRule type="expression" priority="3680">
      <formula>(P738="")</formula>
    </cfRule>
  </conditionalFormatting>
  <conditionalFormatting sqref="P735">
    <cfRule type="expression" dxfId="544" priority="3676">
      <formula>IF(L735="NO BET", TRUE, FALSE)</formula>
    </cfRule>
    <cfRule type="expression" priority="3678">
      <formula>(P735="")</formula>
    </cfRule>
  </conditionalFormatting>
  <conditionalFormatting sqref="P735">
    <cfRule type="expression" priority="3677">
      <formula>(P735="")</formula>
    </cfRule>
  </conditionalFormatting>
  <conditionalFormatting sqref="P737">
    <cfRule type="expression" priority="3675">
      <formula>(P737="")</formula>
    </cfRule>
  </conditionalFormatting>
  <conditionalFormatting sqref="P738">
    <cfRule type="expression" dxfId="543" priority="3672">
      <formula>IF(L738="NO BET", TRUE, FALSE)</formula>
    </cfRule>
    <cfRule type="expression" priority="3674">
      <formula>(P738="")</formula>
    </cfRule>
  </conditionalFormatting>
  <conditionalFormatting sqref="P738">
    <cfRule type="expression" priority="3673">
      <formula>(P738="")</formula>
    </cfRule>
  </conditionalFormatting>
  <conditionalFormatting sqref="P737">
    <cfRule type="expression" dxfId="542" priority="3669">
      <formula>IF(L737="NO BET", TRUE, FALSE)</formula>
    </cfRule>
    <cfRule type="expression" priority="3671">
      <formula>(P737="")</formula>
    </cfRule>
  </conditionalFormatting>
  <conditionalFormatting sqref="P737">
    <cfRule type="expression" priority="3670">
      <formula>(P737="")</formula>
    </cfRule>
  </conditionalFormatting>
  <conditionalFormatting sqref="P743:P748">
    <cfRule type="expression" dxfId="541" priority="3667">
      <formula>AND(NOT(K743=P743),NOT(P743=""))</formula>
    </cfRule>
    <cfRule type="expression" dxfId="540" priority="3668">
      <formula>AND((K743=P743),NOT(P743=""))</formula>
    </cfRule>
  </conditionalFormatting>
  <conditionalFormatting sqref="P743">
    <cfRule type="expression" priority="3666">
      <formula>(P743="")</formula>
    </cfRule>
  </conditionalFormatting>
  <conditionalFormatting sqref="P744">
    <cfRule type="expression" dxfId="539" priority="3655">
      <formula>IF(L744="NO BET", TRUE, FALSE)</formula>
    </cfRule>
    <cfRule type="expression" priority="3665">
      <formula>(P744="")</formula>
    </cfRule>
  </conditionalFormatting>
  <conditionalFormatting sqref="P745">
    <cfRule type="expression" priority="3664">
      <formula>(P745="")</formula>
    </cfRule>
  </conditionalFormatting>
  <conditionalFormatting sqref="P746">
    <cfRule type="expression" priority="3663">
      <formula>(P746="")</formula>
    </cfRule>
  </conditionalFormatting>
  <conditionalFormatting sqref="P747">
    <cfRule type="expression" priority="3662">
      <formula>(P747="")</formula>
    </cfRule>
  </conditionalFormatting>
  <conditionalFormatting sqref="P748">
    <cfRule type="expression" priority="3661">
      <formula>(P748="")</formula>
    </cfRule>
  </conditionalFormatting>
  <conditionalFormatting sqref="P744">
    <cfRule type="expression" priority="3660">
      <formula>(P744="")</formula>
    </cfRule>
  </conditionalFormatting>
  <conditionalFormatting sqref="P745">
    <cfRule type="expression" priority="3659">
      <formula>(P745="")</formula>
    </cfRule>
  </conditionalFormatting>
  <conditionalFormatting sqref="P746">
    <cfRule type="expression" priority="3658">
      <formula>(P746="")</formula>
    </cfRule>
  </conditionalFormatting>
  <conditionalFormatting sqref="P747">
    <cfRule type="expression" priority="3657">
      <formula>(P747="")</formula>
    </cfRule>
  </conditionalFormatting>
  <conditionalFormatting sqref="P748">
    <cfRule type="expression" priority="3656">
      <formula>(P748="")</formula>
    </cfRule>
  </conditionalFormatting>
  <conditionalFormatting sqref="P743">
    <cfRule type="expression" dxfId="538" priority="3652">
      <formula>IF(L743="NO BET", TRUE, FALSE)</formula>
    </cfRule>
    <cfRule type="expression" priority="3654">
      <formula>(P743="")</formula>
    </cfRule>
  </conditionalFormatting>
  <conditionalFormatting sqref="P743">
    <cfRule type="expression" priority="3653">
      <formula>(P743="")</formula>
    </cfRule>
  </conditionalFormatting>
  <conditionalFormatting sqref="P745">
    <cfRule type="expression" priority="3651">
      <formula>(P745="")</formula>
    </cfRule>
  </conditionalFormatting>
  <conditionalFormatting sqref="P746">
    <cfRule type="expression" dxfId="537" priority="3648">
      <formula>IF(L746="NO BET", TRUE, FALSE)</formula>
    </cfRule>
    <cfRule type="expression" priority="3650">
      <formula>(P746="")</formula>
    </cfRule>
  </conditionalFormatting>
  <conditionalFormatting sqref="P746">
    <cfRule type="expression" priority="3649">
      <formula>(P746="")</formula>
    </cfRule>
  </conditionalFormatting>
  <conditionalFormatting sqref="P745">
    <cfRule type="expression" dxfId="536" priority="3645">
      <formula>IF(L745="NO BET", TRUE, FALSE)</formula>
    </cfRule>
    <cfRule type="expression" priority="3647">
      <formula>(P745="")</formula>
    </cfRule>
  </conditionalFormatting>
  <conditionalFormatting sqref="P745">
    <cfRule type="expression" priority="3646">
      <formula>(P745="")</formula>
    </cfRule>
  </conditionalFormatting>
  <conditionalFormatting sqref="P747">
    <cfRule type="expression" priority="3644">
      <formula>(P747="")</formula>
    </cfRule>
  </conditionalFormatting>
  <conditionalFormatting sqref="P748">
    <cfRule type="expression" dxfId="535" priority="3641">
      <formula>IF(L748="NO BET", TRUE, FALSE)</formula>
    </cfRule>
    <cfRule type="expression" priority="3643">
      <formula>(P748="")</formula>
    </cfRule>
  </conditionalFormatting>
  <conditionalFormatting sqref="P748">
    <cfRule type="expression" priority="3642">
      <formula>(P748="")</formula>
    </cfRule>
  </conditionalFormatting>
  <conditionalFormatting sqref="P747">
    <cfRule type="expression" dxfId="534" priority="3638">
      <formula>IF(L747="NO BET", TRUE, FALSE)</formula>
    </cfRule>
    <cfRule type="expression" priority="3640">
      <formula>(P747="")</formula>
    </cfRule>
  </conditionalFormatting>
  <conditionalFormatting sqref="P747">
    <cfRule type="expression" priority="3639">
      <formula>(P747="")</formula>
    </cfRule>
  </conditionalFormatting>
  <conditionalFormatting sqref="P749:P752">
    <cfRule type="expression" dxfId="533" priority="3636">
      <formula>AND(NOT(K749=P749),NOT(P749=""))</formula>
    </cfRule>
    <cfRule type="expression" dxfId="532" priority="3637">
      <formula>AND((K749=P749),NOT(P749=""))</formula>
    </cfRule>
  </conditionalFormatting>
  <conditionalFormatting sqref="P749">
    <cfRule type="expression" priority="3635">
      <formula>(P749="")</formula>
    </cfRule>
  </conditionalFormatting>
  <conditionalFormatting sqref="P750">
    <cfRule type="expression" dxfId="531" priority="3628">
      <formula>IF(L750="NO BET", TRUE, FALSE)</formula>
    </cfRule>
    <cfRule type="expression" priority="3634">
      <formula>(P750="")</formula>
    </cfRule>
  </conditionalFormatting>
  <conditionalFormatting sqref="P751">
    <cfRule type="expression" priority="3633">
      <formula>(P751="")</formula>
    </cfRule>
  </conditionalFormatting>
  <conditionalFormatting sqref="P752">
    <cfRule type="expression" priority="3632">
      <formula>(P752="")</formula>
    </cfRule>
  </conditionalFormatting>
  <conditionalFormatting sqref="P750">
    <cfRule type="expression" priority="3631">
      <formula>(P750="")</formula>
    </cfRule>
  </conditionalFormatting>
  <conditionalFormatting sqref="P751">
    <cfRule type="expression" priority="3630">
      <formula>(P751="")</formula>
    </cfRule>
  </conditionalFormatting>
  <conditionalFormatting sqref="P752">
    <cfRule type="expression" priority="3629">
      <formula>(P752="")</formula>
    </cfRule>
  </conditionalFormatting>
  <conditionalFormatting sqref="P749">
    <cfRule type="expression" dxfId="530" priority="3625">
      <formula>IF(L749="NO BET", TRUE, FALSE)</formula>
    </cfRule>
    <cfRule type="expression" priority="3627">
      <formula>(P749="")</formula>
    </cfRule>
  </conditionalFormatting>
  <conditionalFormatting sqref="P749">
    <cfRule type="expression" priority="3626">
      <formula>(P749="")</formula>
    </cfRule>
  </conditionalFormatting>
  <conditionalFormatting sqref="P751">
    <cfRule type="expression" priority="3624">
      <formula>(P751="")</formula>
    </cfRule>
  </conditionalFormatting>
  <conditionalFormatting sqref="P752">
    <cfRule type="expression" dxfId="529" priority="3621">
      <formula>IF(L752="NO BET", TRUE, FALSE)</formula>
    </cfRule>
    <cfRule type="expression" priority="3623">
      <formula>(P752="")</formula>
    </cfRule>
  </conditionalFormatting>
  <conditionalFormatting sqref="P752">
    <cfRule type="expression" priority="3622">
      <formula>(P752="")</formula>
    </cfRule>
  </conditionalFormatting>
  <conditionalFormatting sqref="P751">
    <cfRule type="expression" dxfId="528" priority="3618">
      <formula>IF(L751="NO BET", TRUE, FALSE)</formula>
    </cfRule>
    <cfRule type="expression" priority="3620">
      <formula>(P751="")</formula>
    </cfRule>
  </conditionalFormatting>
  <conditionalFormatting sqref="P751">
    <cfRule type="expression" priority="3619">
      <formula>(P751="")</formula>
    </cfRule>
  </conditionalFormatting>
  <conditionalFormatting sqref="R631:R640">
    <cfRule type="expression" dxfId="527" priority="3616">
      <formula>R631=0</formula>
    </cfRule>
  </conditionalFormatting>
  <conditionalFormatting sqref="R659:R668">
    <cfRule type="expression" dxfId="526" priority="3614">
      <formula>R659=0</formula>
    </cfRule>
  </conditionalFormatting>
  <conditionalFormatting sqref="R673:R682">
    <cfRule type="expression" dxfId="525" priority="3613">
      <formula>R673=0</formula>
    </cfRule>
  </conditionalFormatting>
  <conditionalFormatting sqref="R701:R710">
    <cfRule type="expression" dxfId="524" priority="3611">
      <formula>R701=0</formula>
    </cfRule>
  </conditionalFormatting>
  <conditionalFormatting sqref="R715:R724">
    <cfRule type="expression" dxfId="523" priority="3610">
      <formula>R715=0</formula>
    </cfRule>
  </conditionalFormatting>
  <conditionalFormatting sqref="R729:R738">
    <cfRule type="expression" dxfId="522" priority="3609">
      <formula>R729=0</formula>
    </cfRule>
  </conditionalFormatting>
  <conditionalFormatting sqref="R743:R752">
    <cfRule type="expression" dxfId="521" priority="3608">
      <formula>R743=0</formula>
    </cfRule>
  </conditionalFormatting>
  <conditionalFormatting sqref="L783:M789">
    <cfRule type="cellIs" dxfId="520" priority="3497" operator="between">
      <formula>0</formula>
      <formula>-100</formula>
    </cfRule>
    <cfRule type="cellIs" dxfId="519" priority="3498" operator="between">
      <formula>2</formula>
      <formula>100</formula>
    </cfRule>
    <cfRule type="cellIs" dxfId="518" priority="3499" operator="between">
      <formula>1</formula>
      <formula>2</formula>
    </cfRule>
    <cfRule type="cellIs" dxfId="517" priority="3500" operator="between">
      <formula>0</formula>
      <formula>1</formula>
    </cfRule>
  </conditionalFormatting>
  <conditionalFormatting sqref="L791:M792">
    <cfRule type="cellIs" dxfId="516" priority="3489" operator="between">
      <formula>0</formula>
      <formula>-100</formula>
    </cfRule>
    <cfRule type="cellIs" dxfId="515" priority="3490" operator="between">
      <formula>2</formula>
      <formula>100</formula>
    </cfRule>
    <cfRule type="cellIs" dxfId="514" priority="3491" operator="between">
      <formula>1</formula>
      <formula>2</formula>
    </cfRule>
    <cfRule type="cellIs" dxfId="513" priority="3492" operator="between">
      <formula>0</formula>
      <formula>1</formula>
    </cfRule>
  </conditionalFormatting>
  <conditionalFormatting sqref="L790:M790">
    <cfRule type="cellIs" dxfId="512" priority="3493" operator="between">
      <formula>0</formula>
      <formula>-100</formula>
    </cfRule>
    <cfRule type="cellIs" dxfId="511" priority="3494" operator="between">
      <formula>2</formula>
      <formula>100</formula>
    </cfRule>
    <cfRule type="cellIs" dxfId="510" priority="3495" operator="between">
      <formula>1</formula>
      <formula>2</formula>
    </cfRule>
    <cfRule type="cellIs" dxfId="509" priority="3496" operator="between">
      <formula>0</formula>
      <formula>1</formula>
    </cfRule>
  </conditionalFormatting>
  <conditionalFormatting sqref="P783:P788">
    <cfRule type="expression" dxfId="508" priority="3485">
      <formula>AND(NOT(K783=P783),NOT(P783=""))</formula>
    </cfRule>
    <cfRule type="expression" dxfId="507" priority="3486">
      <formula>AND((K783=P783),NOT(P783=""))</formula>
    </cfRule>
  </conditionalFormatting>
  <conditionalFormatting sqref="P783">
    <cfRule type="expression" priority="3484">
      <formula>(P783="")</formula>
    </cfRule>
  </conditionalFormatting>
  <conditionalFormatting sqref="P784">
    <cfRule type="expression" dxfId="506" priority="3473">
      <formula>IF(L784="NO BET", TRUE, FALSE)</formula>
    </cfRule>
    <cfRule type="expression" priority="3483">
      <formula>(P784="")</formula>
    </cfRule>
  </conditionalFormatting>
  <conditionalFormatting sqref="P785">
    <cfRule type="expression" priority="3482">
      <formula>(P785="")</formula>
    </cfRule>
  </conditionalFormatting>
  <conditionalFormatting sqref="P786">
    <cfRule type="expression" priority="3481">
      <formula>(P786="")</formula>
    </cfRule>
  </conditionalFormatting>
  <conditionalFormatting sqref="P787">
    <cfRule type="expression" priority="3480">
      <formula>(P787="")</formula>
    </cfRule>
  </conditionalFormatting>
  <conditionalFormatting sqref="P788">
    <cfRule type="expression" priority="3479">
      <formula>(P788="")</formula>
    </cfRule>
  </conditionalFormatting>
  <conditionalFormatting sqref="P784">
    <cfRule type="expression" priority="3478">
      <formula>(P784="")</formula>
    </cfRule>
  </conditionalFormatting>
  <conditionalFormatting sqref="P785">
    <cfRule type="expression" priority="3477">
      <formula>(P785="")</formula>
    </cfRule>
  </conditionalFormatting>
  <conditionalFormatting sqref="P786">
    <cfRule type="expression" priority="3476">
      <formula>(P786="")</formula>
    </cfRule>
  </conditionalFormatting>
  <conditionalFormatting sqref="P787">
    <cfRule type="expression" priority="3475">
      <formula>(P787="")</formula>
    </cfRule>
  </conditionalFormatting>
  <conditionalFormatting sqref="P788">
    <cfRule type="expression" priority="3474">
      <formula>(P788="")</formula>
    </cfRule>
  </conditionalFormatting>
  <conditionalFormatting sqref="P783">
    <cfRule type="expression" dxfId="505" priority="3470">
      <formula>IF(L783="NO BET", TRUE, FALSE)</formula>
    </cfRule>
    <cfRule type="expression" priority="3472">
      <formula>(P783="")</formula>
    </cfRule>
  </conditionalFormatting>
  <conditionalFormatting sqref="P783">
    <cfRule type="expression" priority="3471">
      <formula>(P783="")</formula>
    </cfRule>
  </conditionalFormatting>
  <conditionalFormatting sqref="P785">
    <cfRule type="expression" priority="3469">
      <formula>(P785="")</formula>
    </cfRule>
  </conditionalFormatting>
  <conditionalFormatting sqref="P786">
    <cfRule type="expression" dxfId="504" priority="3466">
      <formula>IF(L786="NO BET", TRUE, FALSE)</formula>
    </cfRule>
    <cfRule type="expression" priority="3468">
      <formula>(P786="")</formula>
    </cfRule>
  </conditionalFormatting>
  <conditionalFormatting sqref="P786">
    <cfRule type="expression" priority="3467">
      <formula>(P786="")</formula>
    </cfRule>
  </conditionalFormatting>
  <conditionalFormatting sqref="P785">
    <cfRule type="expression" dxfId="503" priority="3463">
      <formula>IF(L785="NO BET", TRUE, FALSE)</formula>
    </cfRule>
    <cfRule type="expression" priority="3465">
      <formula>(P785="")</formula>
    </cfRule>
  </conditionalFormatting>
  <conditionalFormatting sqref="P785">
    <cfRule type="expression" priority="3464">
      <formula>(P785="")</formula>
    </cfRule>
  </conditionalFormatting>
  <conditionalFormatting sqref="P787">
    <cfRule type="expression" priority="3462">
      <formula>(P787="")</formula>
    </cfRule>
  </conditionalFormatting>
  <conditionalFormatting sqref="P788">
    <cfRule type="expression" dxfId="502" priority="3459">
      <formula>IF(L788="NO BET", TRUE, FALSE)</formula>
    </cfRule>
    <cfRule type="expression" priority="3461">
      <formula>(P788="")</formula>
    </cfRule>
  </conditionalFormatting>
  <conditionalFormatting sqref="P788">
    <cfRule type="expression" priority="3460">
      <formula>(P788="")</formula>
    </cfRule>
  </conditionalFormatting>
  <conditionalFormatting sqref="P787">
    <cfRule type="expression" dxfId="501" priority="3456">
      <formula>IF(L787="NO BET", TRUE, FALSE)</formula>
    </cfRule>
    <cfRule type="expression" priority="3458">
      <formula>(P787="")</formula>
    </cfRule>
  </conditionalFormatting>
  <conditionalFormatting sqref="P787">
    <cfRule type="expression" priority="3457">
      <formula>(P787="")</formula>
    </cfRule>
  </conditionalFormatting>
  <conditionalFormatting sqref="P789:P792">
    <cfRule type="expression" dxfId="500" priority="3454">
      <formula>AND(NOT(K789=P789),NOT(P789=""))</formula>
    </cfRule>
    <cfRule type="expression" dxfId="499" priority="3455">
      <formula>AND((K789=P789),NOT(P789=""))</formula>
    </cfRule>
  </conditionalFormatting>
  <conditionalFormatting sqref="P789">
    <cfRule type="expression" priority="3453">
      <formula>(P789="")</formula>
    </cfRule>
  </conditionalFormatting>
  <conditionalFormatting sqref="P790">
    <cfRule type="expression" dxfId="498" priority="3446">
      <formula>IF(L790="NO BET", TRUE, FALSE)</formula>
    </cfRule>
    <cfRule type="expression" priority="3452">
      <formula>(P790="")</formula>
    </cfRule>
  </conditionalFormatting>
  <conditionalFormatting sqref="P791">
    <cfRule type="expression" priority="3451">
      <formula>(P791="")</formula>
    </cfRule>
  </conditionalFormatting>
  <conditionalFormatting sqref="P792">
    <cfRule type="expression" priority="3450">
      <formula>(P792="")</formula>
    </cfRule>
  </conditionalFormatting>
  <conditionalFormatting sqref="P790">
    <cfRule type="expression" priority="3449">
      <formula>(P790="")</formula>
    </cfRule>
  </conditionalFormatting>
  <conditionalFormatting sqref="P791">
    <cfRule type="expression" priority="3448">
      <formula>(P791="")</formula>
    </cfRule>
  </conditionalFormatting>
  <conditionalFormatting sqref="P792">
    <cfRule type="expression" priority="3447">
      <formula>(P792="")</formula>
    </cfRule>
  </conditionalFormatting>
  <conditionalFormatting sqref="P789">
    <cfRule type="expression" dxfId="497" priority="3443">
      <formula>IF(L789="NO BET", TRUE, FALSE)</formula>
    </cfRule>
    <cfRule type="expression" priority="3445">
      <formula>(P789="")</formula>
    </cfRule>
  </conditionalFormatting>
  <conditionalFormatting sqref="P789">
    <cfRule type="expression" priority="3444">
      <formula>(P789="")</formula>
    </cfRule>
  </conditionalFormatting>
  <conditionalFormatting sqref="P791">
    <cfRule type="expression" priority="3442">
      <formula>(P791="")</formula>
    </cfRule>
  </conditionalFormatting>
  <conditionalFormatting sqref="P792">
    <cfRule type="expression" dxfId="496" priority="3439">
      <formula>IF(L792="NO BET", TRUE, FALSE)</formula>
    </cfRule>
    <cfRule type="expression" priority="3441">
      <formula>(P792="")</formula>
    </cfRule>
  </conditionalFormatting>
  <conditionalFormatting sqref="P792">
    <cfRule type="expression" priority="3440">
      <formula>(P792="")</formula>
    </cfRule>
  </conditionalFormatting>
  <conditionalFormatting sqref="P791">
    <cfRule type="expression" dxfId="495" priority="3436">
      <formula>IF(L791="NO BET", TRUE, FALSE)</formula>
    </cfRule>
    <cfRule type="expression" priority="3438">
      <formula>(P791="")</formula>
    </cfRule>
  </conditionalFormatting>
  <conditionalFormatting sqref="P791">
    <cfRule type="expression" priority="3437">
      <formula>(P791="")</formula>
    </cfRule>
  </conditionalFormatting>
  <conditionalFormatting sqref="R783:R792">
    <cfRule type="expression" dxfId="494" priority="3435">
      <formula>R783=0</formula>
    </cfRule>
  </conditionalFormatting>
  <conditionalFormatting sqref="P794:P799">
    <cfRule type="expression" dxfId="493" priority="3411">
      <formula>AND(NOT(K794=P794),NOT(P794=""))</formula>
    </cfRule>
    <cfRule type="expression" dxfId="492" priority="3412">
      <formula>AND((K794=P794),NOT(P794=""))</formula>
    </cfRule>
  </conditionalFormatting>
  <conditionalFormatting sqref="P794">
    <cfRule type="expression" priority="3410">
      <formula>(P794="")</formula>
    </cfRule>
  </conditionalFormatting>
  <conditionalFormatting sqref="P795">
    <cfRule type="expression" dxfId="491" priority="3399">
      <formula>IF(L795="NO BET", TRUE, FALSE)</formula>
    </cfRule>
    <cfRule type="expression" priority="3409">
      <formula>(P795="")</formula>
    </cfRule>
  </conditionalFormatting>
  <conditionalFormatting sqref="P796">
    <cfRule type="expression" priority="3408">
      <formula>(P796="")</formula>
    </cfRule>
  </conditionalFormatting>
  <conditionalFormatting sqref="P797">
    <cfRule type="expression" priority="3407">
      <formula>(P797="")</formula>
    </cfRule>
  </conditionalFormatting>
  <conditionalFormatting sqref="P798">
    <cfRule type="expression" priority="3406">
      <formula>(P798="")</formula>
    </cfRule>
  </conditionalFormatting>
  <conditionalFormatting sqref="P799">
    <cfRule type="expression" priority="3405">
      <formula>(P799="")</formula>
    </cfRule>
  </conditionalFormatting>
  <conditionalFormatting sqref="P795">
    <cfRule type="expression" priority="3404">
      <formula>(P795="")</formula>
    </cfRule>
  </conditionalFormatting>
  <conditionalFormatting sqref="P796">
    <cfRule type="expression" priority="3403">
      <formula>(P796="")</formula>
    </cfRule>
  </conditionalFormatting>
  <conditionalFormatting sqref="P797">
    <cfRule type="expression" priority="3402">
      <formula>(P797="")</formula>
    </cfRule>
  </conditionalFormatting>
  <conditionalFormatting sqref="P798">
    <cfRule type="expression" priority="3401">
      <formula>(P798="")</formula>
    </cfRule>
  </conditionalFormatting>
  <conditionalFormatting sqref="P799">
    <cfRule type="expression" priority="3400">
      <formula>(P799="")</formula>
    </cfRule>
  </conditionalFormatting>
  <conditionalFormatting sqref="P794">
    <cfRule type="expression" dxfId="490" priority="3396">
      <formula>IF(L794="NO BET", TRUE, FALSE)</formula>
    </cfRule>
    <cfRule type="expression" priority="3398">
      <formula>(P794="")</formula>
    </cfRule>
  </conditionalFormatting>
  <conditionalFormatting sqref="P794">
    <cfRule type="expression" priority="3397">
      <formula>(P794="")</formula>
    </cfRule>
  </conditionalFormatting>
  <conditionalFormatting sqref="P796">
    <cfRule type="expression" priority="3395">
      <formula>(P796="")</formula>
    </cfRule>
  </conditionalFormatting>
  <conditionalFormatting sqref="P797">
    <cfRule type="expression" dxfId="489" priority="3392">
      <formula>IF(L797="NO BET", TRUE, FALSE)</formula>
    </cfRule>
    <cfRule type="expression" priority="3394">
      <formula>(P797="")</formula>
    </cfRule>
  </conditionalFormatting>
  <conditionalFormatting sqref="P797">
    <cfRule type="expression" priority="3393">
      <formula>(P797="")</formula>
    </cfRule>
  </conditionalFormatting>
  <conditionalFormatting sqref="P796">
    <cfRule type="expression" dxfId="488" priority="3389">
      <formula>IF(L796="NO BET", TRUE, FALSE)</formula>
    </cfRule>
    <cfRule type="expression" priority="3391">
      <formula>(P796="")</formula>
    </cfRule>
  </conditionalFormatting>
  <conditionalFormatting sqref="P796">
    <cfRule type="expression" priority="3390">
      <formula>(P796="")</formula>
    </cfRule>
  </conditionalFormatting>
  <conditionalFormatting sqref="P798">
    <cfRule type="expression" priority="3388">
      <formula>(P798="")</formula>
    </cfRule>
  </conditionalFormatting>
  <conditionalFormatting sqref="P799">
    <cfRule type="expression" dxfId="487" priority="3385">
      <formula>IF(L799="NO BET", TRUE, FALSE)</formula>
    </cfRule>
    <cfRule type="expression" priority="3387">
      <formula>(P799="")</formula>
    </cfRule>
  </conditionalFormatting>
  <conditionalFormatting sqref="P799">
    <cfRule type="expression" priority="3386">
      <formula>(P799="")</formula>
    </cfRule>
  </conditionalFormatting>
  <conditionalFormatting sqref="P798">
    <cfRule type="expression" dxfId="486" priority="3382">
      <formula>IF(L798="NO BET", TRUE, FALSE)</formula>
    </cfRule>
    <cfRule type="expression" priority="3384">
      <formula>(P798="")</formula>
    </cfRule>
  </conditionalFormatting>
  <conditionalFormatting sqref="P798">
    <cfRule type="expression" priority="3383">
      <formula>(P798="")</formula>
    </cfRule>
  </conditionalFormatting>
  <conditionalFormatting sqref="P800:P803">
    <cfRule type="expression" dxfId="485" priority="3380">
      <formula>AND(NOT(K800=P800),NOT(P800=""))</formula>
    </cfRule>
    <cfRule type="expression" dxfId="484" priority="3381">
      <formula>AND((K800=P800),NOT(P800=""))</formula>
    </cfRule>
  </conditionalFormatting>
  <conditionalFormatting sqref="P800">
    <cfRule type="expression" priority="3379">
      <formula>(P800="")</formula>
    </cfRule>
  </conditionalFormatting>
  <conditionalFormatting sqref="P801">
    <cfRule type="expression" dxfId="483" priority="3372">
      <formula>IF(L801="NO BET", TRUE, FALSE)</formula>
    </cfRule>
    <cfRule type="expression" priority="3378">
      <formula>(P801="")</formula>
    </cfRule>
  </conditionalFormatting>
  <conditionalFormatting sqref="P802">
    <cfRule type="expression" priority="3377">
      <formula>(P802="")</formula>
    </cfRule>
  </conditionalFormatting>
  <conditionalFormatting sqref="P803">
    <cfRule type="expression" priority="3376">
      <formula>(P803="")</formula>
    </cfRule>
  </conditionalFormatting>
  <conditionalFormatting sqref="P801">
    <cfRule type="expression" priority="3375">
      <formula>(P801="")</formula>
    </cfRule>
  </conditionalFormatting>
  <conditionalFormatting sqref="P802">
    <cfRule type="expression" priority="3374">
      <formula>(P802="")</formula>
    </cfRule>
  </conditionalFormatting>
  <conditionalFormatting sqref="P803">
    <cfRule type="expression" priority="3373">
      <formula>(P803="")</formula>
    </cfRule>
  </conditionalFormatting>
  <conditionalFormatting sqref="P800">
    <cfRule type="expression" dxfId="482" priority="3369">
      <formula>IF(L800="NO BET", TRUE, FALSE)</formula>
    </cfRule>
    <cfRule type="expression" priority="3371">
      <formula>(P800="")</formula>
    </cfRule>
  </conditionalFormatting>
  <conditionalFormatting sqref="P800">
    <cfRule type="expression" priority="3370">
      <formula>(P800="")</formula>
    </cfRule>
  </conditionalFormatting>
  <conditionalFormatting sqref="P802">
    <cfRule type="expression" priority="3368">
      <formula>(P802="")</formula>
    </cfRule>
  </conditionalFormatting>
  <conditionalFormatting sqref="P803">
    <cfRule type="expression" dxfId="481" priority="3365">
      <formula>IF(L803="NO BET", TRUE, FALSE)</formula>
    </cfRule>
    <cfRule type="expression" priority="3367">
      <formula>(P803="")</formula>
    </cfRule>
  </conditionalFormatting>
  <conditionalFormatting sqref="P803">
    <cfRule type="expression" priority="3366">
      <formula>(P803="")</formula>
    </cfRule>
  </conditionalFormatting>
  <conditionalFormatting sqref="P802">
    <cfRule type="expression" dxfId="480" priority="3362">
      <formula>IF(L802="NO BET", TRUE, FALSE)</formula>
    </cfRule>
    <cfRule type="expression" priority="3364">
      <formula>(P802="")</formula>
    </cfRule>
  </conditionalFormatting>
  <conditionalFormatting sqref="P802">
    <cfRule type="expression" priority="3363">
      <formula>(P802="")</formula>
    </cfRule>
  </conditionalFormatting>
  <conditionalFormatting sqref="R794:R803">
    <cfRule type="expression" dxfId="479" priority="3361">
      <formula>R794=0</formula>
    </cfRule>
  </conditionalFormatting>
  <conditionalFormatting sqref="L794:M799">
    <cfRule type="cellIs" dxfId="478" priority="3349" operator="between">
      <formula>0</formula>
      <formula>-100</formula>
    </cfRule>
    <cfRule type="cellIs" dxfId="477" priority="3350" operator="between">
      <formula>2</formula>
      <formula>100</formula>
    </cfRule>
    <cfRule type="cellIs" dxfId="476" priority="3351" operator="between">
      <formula>1</formula>
      <formula>2</formula>
    </cfRule>
    <cfRule type="cellIs" dxfId="475" priority="3352" operator="between">
      <formula>0</formula>
      <formula>1</formula>
    </cfRule>
  </conditionalFormatting>
  <conditionalFormatting sqref="L802:M803">
    <cfRule type="cellIs" dxfId="474" priority="3341" operator="between">
      <formula>0</formula>
      <formula>-100</formula>
    </cfRule>
    <cfRule type="cellIs" dxfId="473" priority="3342" operator="between">
      <formula>2</formula>
      <formula>100</formula>
    </cfRule>
    <cfRule type="cellIs" dxfId="472" priority="3343" operator="between">
      <formula>1</formula>
      <formula>2</formula>
    </cfRule>
    <cfRule type="cellIs" dxfId="471" priority="3344" operator="between">
      <formula>0</formula>
      <formula>1</formula>
    </cfRule>
  </conditionalFormatting>
  <conditionalFormatting sqref="L801:M801">
    <cfRule type="cellIs" dxfId="470" priority="3345" operator="between">
      <formula>0</formula>
      <formula>-100</formula>
    </cfRule>
    <cfRule type="cellIs" dxfId="469" priority="3346" operator="between">
      <formula>2</formula>
      <formula>100</formula>
    </cfRule>
    <cfRule type="cellIs" dxfId="468" priority="3347" operator="between">
      <formula>1</formula>
      <formula>2</formula>
    </cfRule>
    <cfRule type="cellIs" dxfId="467" priority="3348" operator="between">
      <formula>0</formula>
      <formula>1</formula>
    </cfRule>
  </conditionalFormatting>
  <conditionalFormatting sqref="L800:M800">
    <cfRule type="cellIs" dxfId="466" priority="3337" operator="between">
      <formula>0</formula>
      <formula>-100</formula>
    </cfRule>
    <cfRule type="cellIs" dxfId="465" priority="3338" operator="between">
      <formula>2</formula>
      <formula>100</formula>
    </cfRule>
    <cfRule type="cellIs" dxfId="464" priority="3339" operator="between">
      <formula>1</formula>
      <formula>2</formula>
    </cfRule>
    <cfRule type="cellIs" dxfId="463" priority="3340" operator="between">
      <formula>0</formula>
      <formula>1</formula>
    </cfRule>
  </conditionalFormatting>
  <conditionalFormatting sqref="P673:P682">
    <cfRule type="expression" dxfId="462" priority="8532">
      <formula>AND(NOT(K687=P673),NOT(P673=""))</formula>
    </cfRule>
    <cfRule type="expression" dxfId="461" priority="8533">
      <formula>AND((K687=P673),NOT(P673=""))</formula>
    </cfRule>
  </conditionalFormatting>
  <conditionalFormatting sqref="P673:P682">
    <cfRule type="expression" dxfId="460" priority="8534">
      <formula>IF(L687="NO BET", TRUE, FALSE)</formula>
    </cfRule>
    <cfRule type="expression" priority="8535">
      <formula>(P673="")</formula>
    </cfRule>
  </conditionalFormatting>
  <conditionalFormatting sqref="L673:M679">
    <cfRule type="cellIs" dxfId="459" priority="3329" operator="between">
      <formula>0</formula>
      <formula>-100</formula>
    </cfRule>
    <cfRule type="cellIs" dxfId="458" priority="3330" operator="between">
      <formula>2</formula>
      <formula>100</formula>
    </cfRule>
    <cfRule type="cellIs" dxfId="457" priority="3331" operator="between">
      <formula>1</formula>
      <formula>2</formula>
    </cfRule>
    <cfRule type="cellIs" dxfId="456" priority="3332" operator="between">
      <formula>0</formula>
      <formula>1</formula>
    </cfRule>
  </conditionalFormatting>
  <conditionalFormatting sqref="L681:M682">
    <cfRule type="cellIs" dxfId="455" priority="3321" operator="between">
      <formula>0</formula>
      <formula>-100</formula>
    </cfRule>
    <cfRule type="cellIs" dxfId="454" priority="3322" operator="between">
      <formula>2</formula>
      <formula>100</formula>
    </cfRule>
    <cfRule type="cellIs" dxfId="453" priority="3323" operator="between">
      <formula>1</formula>
      <formula>2</formula>
    </cfRule>
    <cfRule type="cellIs" dxfId="452" priority="3324" operator="between">
      <formula>0</formula>
      <formula>1</formula>
    </cfRule>
  </conditionalFormatting>
  <conditionalFormatting sqref="L680:M680">
    <cfRule type="cellIs" dxfId="451" priority="3325" operator="between">
      <formula>0</formula>
      <formula>-100</formula>
    </cfRule>
    <cfRule type="cellIs" dxfId="450" priority="3326" operator="between">
      <formula>2</formula>
      <formula>100</formula>
    </cfRule>
    <cfRule type="cellIs" dxfId="449" priority="3327" operator="between">
      <formula>1</formula>
      <formula>2</formula>
    </cfRule>
    <cfRule type="cellIs" dxfId="448" priority="3328" operator="between">
      <formula>0</formula>
      <formula>1</formula>
    </cfRule>
  </conditionalFormatting>
  <conditionalFormatting sqref="P687:P692">
    <cfRule type="expression" dxfId="447" priority="3234">
      <formula>AND(NOT(K687=P687),NOT(P687=""))</formula>
    </cfRule>
    <cfRule type="expression" dxfId="446" priority="3235">
      <formula>AND((K687=P687),NOT(P687=""))</formula>
    </cfRule>
  </conditionalFormatting>
  <conditionalFormatting sqref="P687">
    <cfRule type="expression" priority="3233">
      <formula>(P687="")</formula>
    </cfRule>
  </conditionalFormatting>
  <conditionalFormatting sqref="P688">
    <cfRule type="expression" dxfId="445" priority="3222">
      <formula>IF(L688="NO BET", TRUE, FALSE)</formula>
    </cfRule>
    <cfRule type="expression" priority="3232">
      <formula>(P688="")</formula>
    </cfRule>
  </conditionalFormatting>
  <conditionalFormatting sqref="P689">
    <cfRule type="expression" priority="3231">
      <formula>(P689="")</formula>
    </cfRule>
  </conditionalFormatting>
  <conditionalFormatting sqref="P690">
    <cfRule type="expression" priority="3230">
      <formula>(P690="")</formula>
    </cfRule>
  </conditionalFormatting>
  <conditionalFormatting sqref="P691">
    <cfRule type="expression" priority="3229">
      <formula>(P691="")</formula>
    </cfRule>
  </conditionalFormatting>
  <conditionalFormatting sqref="P692">
    <cfRule type="expression" priority="3228">
      <formula>(P692="")</formula>
    </cfRule>
  </conditionalFormatting>
  <conditionalFormatting sqref="P688">
    <cfRule type="expression" priority="3227">
      <formula>(P688="")</formula>
    </cfRule>
  </conditionalFormatting>
  <conditionalFormatting sqref="P689">
    <cfRule type="expression" priority="3226">
      <formula>(P689="")</formula>
    </cfRule>
  </conditionalFormatting>
  <conditionalFormatting sqref="P690">
    <cfRule type="expression" priority="3225">
      <formula>(P690="")</formula>
    </cfRule>
  </conditionalFormatting>
  <conditionalFormatting sqref="P691">
    <cfRule type="expression" priority="3224">
      <formula>(P691="")</formula>
    </cfRule>
  </conditionalFormatting>
  <conditionalFormatting sqref="P692">
    <cfRule type="expression" priority="3223">
      <formula>(P692="")</formula>
    </cfRule>
  </conditionalFormatting>
  <conditionalFormatting sqref="P687">
    <cfRule type="expression" dxfId="444" priority="3219">
      <formula>IF(L687="NO BET", TRUE, FALSE)</formula>
    </cfRule>
    <cfRule type="expression" priority="3221">
      <formula>(P687="")</formula>
    </cfRule>
  </conditionalFormatting>
  <conditionalFormatting sqref="P687">
    <cfRule type="expression" priority="3220">
      <formula>(P687="")</formula>
    </cfRule>
  </conditionalFormatting>
  <conditionalFormatting sqref="P689">
    <cfRule type="expression" priority="3218">
      <formula>(P689="")</formula>
    </cfRule>
  </conditionalFormatting>
  <conditionalFormatting sqref="P690">
    <cfRule type="expression" dxfId="443" priority="3215">
      <formula>IF(L690="NO BET", TRUE, FALSE)</formula>
    </cfRule>
    <cfRule type="expression" priority="3217">
      <formula>(P690="")</formula>
    </cfRule>
  </conditionalFormatting>
  <conditionalFormatting sqref="P690">
    <cfRule type="expression" priority="3216">
      <formula>(P690="")</formula>
    </cfRule>
  </conditionalFormatting>
  <conditionalFormatting sqref="P689">
    <cfRule type="expression" dxfId="442" priority="3212">
      <formula>IF(L689="NO BET", TRUE, FALSE)</formula>
    </cfRule>
    <cfRule type="expression" priority="3214">
      <formula>(P689="")</formula>
    </cfRule>
  </conditionalFormatting>
  <conditionalFormatting sqref="P689">
    <cfRule type="expression" priority="3213">
      <formula>(P689="")</formula>
    </cfRule>
  </conditionalFormatting>
  <conditionalFormatting sqref="P691">
    <cfRule type="expression" priority="3211">
      <formula>(P691="")</formula>
    </cfRule>
  </conditionalFormatting>
  <conditionalFormatting sqref="P692">
    <cfRule type="expression" dxfId="441" priority="3208">
      <formula>IF(L692="NO BET", TRUE, FALSE)</formula>
    </cfRule>
    <cfRule type="expression" priority="3210">
      <formula>(P692="")</formula>
    </cfRule>
  </conditionalFormatting>
  <conditionalFormatting sqref="P692">
    <cfRule type="expression" priority="3209">
      <formula>(P692="")</formula>
    </cfRule>
  </conditionalFormatting>
  <conditionalFormatting sqref="P691">
    <cfRule type="expression" dxfId="440" priority="3205">
      <formula>IF(L691="NO BET", TRUE, FALSE)</formula>
    </cfRule>
    <cfRule type="expression" priority="3207">
      <formula>(P691="")</formula>
    </cfRule>
  </conditionalFormatting>
  <conditionalFormatting sqref="P691">
    <cfRule type="expression" priority="3206">
      <formula>(P691="")</formula>
    </cfRule>
  </conditionalFormatting>
  <conditionalFormatting sqref="P693:P696">
    <cfRule type="expression" dxfId="439" priority="3203">
      <formula>AND(NOT(K693=P693),NOT(P693=""))</formula>
    </cfRule>
    <cfRule type="expression" dxfId="438" priority="3204">
      <formula>AND((K693=P693),NOT(P693=""))</formula>
    </cfRule>
  </conditionalFormatting>
  <conditionalFormatting sqref="P693">
    <cfRule type="expression" priority="3202">
      <formula>(P693="")</formula>
    </cfRule>
  </conditionalFormatting>
  <conditionalFormatting sqref="P694">
    <cfRule type="expression" dxfId="437" priority="3195">
      <formula>IF(L694="NO BET", TRUE, FALSE)</formula>
    </cfRule>
    <cfRule type="expression" priority="3201">
      <formula>(P694="")</formula>
    </cfRule>
  </conditionalFormatting>
  <conditionalFormatting sqref="P695">
    <cfRule type="expression" priority="3200">
      <formula>(P695="")</formula>
    </cfRule>
  </conditionalFormatting>
  <conditionalFormatting sqref="P696">
    <cfRule type="expression" priority="3199">
      <formula>(P696="")</formula>
    </cfRule>
  </conditionalFormatting>
  <conditionalFormatting sqref="P694">
    <cfRule type="expression" priority="3198">
      <formula>(P694="")</formula>
    </cfRule>
  </conditionalFormatting>
  <conditionalFormatting sqref="P695">
    <cfRule type="expression" priority="3197">
      <formula>(P695="")</formula>
    </cfRule>
  </conditionalFormatting>
  <conditionalFormatting sqref="P696">
    <cfRule type="expression" priority="3196">
      <formula>(P696="")</formula>
    </cfRule>
  </conditionalFormatting>
  <conditionalFormatting sqref="P693">
    <cfRule type="expression" dxfId="436" priority="3192">
      <formula>IF(L693="NO BET", TRUE, FALSE)</formula>
    </cfRule>
    <cfRule type="expression" priority="3194">
      <formula>(P693="")</formula>
    </cfRule>
  </conditionalFormatting>
  <conditionalFormatting sqref="P693">
    <cfRule type="expression" priority="3193">
      <formula>(P693="")</formula>
    </cfRule>
  </conditionalFormatting>
  <conditionalFormatting sqref="P695">
    <cfRule type="expression" priority="3191">
      <formula>(P695="")</formula>
    </cfRule>
  </conditionalFormatting>
  <conditionalFormatting sqref="P696">
    <cfRule type="expression" dxfId="435" priority="3188">
      <formula>IF(L696="NO BET", TRUE, FALSE)</formula>
    </cfRule>
    <cfRule type="expression" priority="3190">
      <formula>(P696="")</formula>
    </cfRule>
  </conditionalFormatting>
  <conditionalFormatting sqref="P696">
    <cfRule type="expression" priority="3189">
      <formula>(P696="")</formula>
    </cfRule>
  </conditionalFormatting>
  <conditionalFormatting sqref="P695">
    <cfRule type="expression" dxfId="434" priority="3185">
      <formula>IF(L695="NO BET", TRUE, FALSE)</formula>
    </cfRule>
    <cfRule type="expression" priority="3187">
      <formula>(P695="")</formula>
    </cfRule>
  </conditionalFormatting>
  <conditionalFormatting sqref="P695">
    <cfRule type="expression" priority="3186">
      <formula>(P695="")</formula>
    </cfRule>
  </conditionalFormatting>
  <conditionalFormatting sqref="R687:R696">
    <cfRule type="expression" dxfId="433" priority="3184">
      <formula>R687=0</formula>
    </cfRule>
  </conditionalFormatting>
  <conditionalFormatting sqref="R645:R654">
    <cfRule type="expression" dxfId="432" priority="3119">
      <formula>R645=0</formula>
    </cfRule>
  </conditionalFormatting>
  <conditionalFormatting sqref="L645:M651">
    <cfRule type="cellIs" dxfId="431" priority="3115" operator="between">
      <formula>0</formula>
      <formula>-100</formula>
    </cfRule>
    <cfRule type="cellIs" dxfId="430" priority="3116" operator="between">
      <formula>2</formula>
      <formula>100</formula>
    </cfRule>
    <cfRule type="cellIs" dxfId="429" priority="3117" operator="between">
      <formula>1</formula>
      <formula>2</formula>
    </cfRule>
    <cfRule type="cellIs" dxfId="428" priority="3118" operator="between">
      <formula>0</formula>
      <formula>1</formula>
    </cfRule>
  </conditionalFormatting>
  <conditionalFormatting sqref="L653:M654">
    <cfRule type="cellIs" dxfId="427" priority="3107" operator="between">
      <formula>0</formula>
      <formula>-100</formula>
    </cfRule>
    <cfRule type="cellIs" dxfId="426" priority="3108" operator="between">
      <formula>2</formula>
      <formula>100</formula>
    </cfRule>
    <cfRule type="cellIs" dxfId="425" priority="3109" operator="between">
      <formula>1</formula>
      <formula>2</formula>
    </cfRule>
    <cfRule type="cellIs" dxfId="424" priority="3110" operator="between">
      <formula>0</formula>
      <formula>1</formula>
    </cfRule>
  </conditionalFormatting>
  <conditionalFormatting sqref="L652:M652">
    <cfRule type="cellIs" dxfId="423" priority="3111" operator="between">
      <formula>0</formula>
      <formula>-100</formula>
    </cfRule>
    <cfRule type="cellIs" dxfId="422" priority="3112" operator="between">
      <formula>2</formula>
      <formula>100</formula>
    </cfRule>
    <cfRule type="cellIs" dxfId="421" priority="3113" operator="between">
      <formula>1</formula>
      <formula>2</formula>
    </cfRule>
    <cfRule type="cellIs" dxfId="420" priority="3114" operator="between">
      <formula>0</formula>
      <formula>1</formula>
    </cfRule>
  </conditionalFormatting>
  <conditionalFormatting sqref="D163 D396:D398">
    <cfRule type="expression" priority="2491">
      <formula>_xlfn.IFS(K163="",TRUE)</formula>
    </cfRule>
    <cfRule type="expression" dxfId="419" priority="2492">
      <formula>_xlfn.IFS(K163="T1",TRUE)</formula>
    </cfRule>
  </conditionalFormatting>
  <conditionalFormatting sqref="E163 E396:E398">
    <cfRule type="expression" priority="2489">
      <formula>_xlfn.IFS(L163="",TRUE)</formula>
    </cfRule>
    <cfRule type="expression" dxfId="418" priority="2490">
      <formula>_xlfn.IFS(K163="T2",TRUE)</formula>
    </cfRule>
  </conditionalFormatting>
  <conditionalFormatting sqref="D164:D172">
    <cfRule type="expression" priority="2487">
      <formula>_xlfn.IFS(K164="",TRUE)</formula>
    </cfRule>
    <cfRule type="expression" dxfId="417" priority="2488">
      <formula>_xlfn.IFS(K164="T1",TRUE)</formula>
    </cfRule>
  </conditionalFormatting>
  <conditionalFormatting sqref="E164:E172">
    <cfRule type="expression" priority="2485">
      <formula>_xlfn.IFS(L164="",TRUE)</formula>
    </cfRule>
    <cfRule type="expression" dxfId="416" priority="2486">
      <formula>_xlfn.IFS(K164="T2",TRUE)</formula>
    </cfRule>
  </conditionalFormatting>
  <conditionalFormatting sqref="D177">
    <cfRule type="expression" priority="2483">
      <formula>_xlfn.IFS(K177="",TRUE)</formula>
    </cfRule>
    <cfRule type="expression" dxfId="415" priority="2484">
      <formula>_xlfn.IFS(K177="T1",TRUE)</formula>
    </cfRule>
  </conditionalFormatting>
  <conditionalFormatting sqref="E177">
    <cfRule type="expression" priority="2481">
      <formula>_xlfn.IFS(L177="",TRUE)</formula>
    </cfRule>
    <cfRule type="expression" dxfId="414" priority="2482">
      <formula>_xlfn.IFS(K177="T2",TRUE)</formula>
    </cfRule>
  </conditionalFormatting>
  <conditionalFormatting sqref="D178:D186">
    <cfRule type="expression" priority="2479">
      <formula>_xlfn.IFS(K178="",TRUE)</formula>
    </cfRule>
    <cfRule type="expression" dxfId="413" priority="2480">
      <formula>_xlfn.IFS(K178="T1",TRUE)</formula>
    </cfRule>
  </conditionalFormatting>
  <conditionalFormatting sqref="E178:E186">
    <cfRule type="expression" priority="2477">
      <formula>_xlfn.IFS(L178="",TRUE)</formula>
    </cfRule>
    <cfRule type="expression" dxfId="412" priority="2478">
      <formula>_xlfn.IFS(K178="T2",TRUE)</formula>
    </cfRule>
  </conditionalFormatting>
  <conditionalFormatting sqref="D191">
    <cfRule type="expression" priority="2475">
      <formula>_xlfn.IFS(K191="",TRUE)</formula>
    </cfRule>
    <cfRule type="expression" dxfId="411" priority="2476">
      <formula>_xlfn.IFS(K191="T1",TRUE)</formula>
    </cfRule>
  </conditionalFormatting>
  <conditionalFormatting sqref="E191">
    <cfRule type="expression" priority="2473">
      <formula>_xlfn.IFS(L191="",TRUE)</formula>
    </cfRule>
    <cfRule type="expression" dxfId="410" priority="2474">
      <formula>_xlfn.IFS(K191="T2",TRUE)</formula>
    </cfRule>
  </conditionalFormatting>
  <conditionalFormatting sqref="D192:D200">
    <cfRule type="expression" priority="2471">
      <formula>_xlfn.IFS(K192="",TRUE)</formula>
    </cfRule>
    <cfRule type="expression" dxfId="409" priority="2472">
      <formula>_xlfn.IFS(K192="T1",TRUE)</formula>
    </cfRule>
  </conditionalFormatting>
  <conditionalFormatting sqref="E192:E200">
    <cfRule type="expression" priority="2469">
      <formula>_xlfn.IFS(L192="",TRUE)</formula>
    </cfRule>
    <cfRule type="expression" dxfId="408" priority="2470">
      <formula>_xlfn.IFS(K192="T2",TRUE)</formula>
    </cfRule>
  </conditionalFormatting>
  <conditionalFormatting sqref="D205">
    <cfRule type="expression" priority="2467">
      <formula>_xlfn.IFS(K205="",TRUE)</formula>
    </cfRule>
    <cfRule type="expression" dxfId="407" priority="2468">
      <formula>_xlfn.IFS(K205="T1",TRUE)</formula>
    </cfRule>
  </conditionalFormatting>
  <conditionalFormatting sqref="E205">
    <cfRule type="expression" priority="2465">
      <formula>_xlfn.IFS(L205="",TRUE)</formula>
    </cfRule>
    <cfRule type="expression" dxfId="406" priority="2466">
      <formula>_xlfn.IFS(K205="T2",TRUE)</formula>
    </cfRule>
  </conditionalFormatting>
  <conditionalFormatting sqref="D206:D214">
    <cfRule type="expression" priority="2463">
      <formula>_xlfn.IFS(K206="",TRUE)</formula>
    </cfRule>
    <cfRule type="expression" dxfId="405" priority="2464">
      <formula>_xlfn.IFS(K206="T1",TRUE)</formula>
    </cfRule>
  </conditionalFormatting>
  <conditionalFormatting sqref="E206:E214">
    <cfRule type="expression" priority="2461">
      <formula>_xlfn.IFS(L206="",TRUE)</formula>
    </cfRule>
    <cfRule type="expression" dxfId="404" priority="2462">
      <formula>_xlfn.IFS(K206="T2",TRUE)</formula>
    </cfRule>
  </conditionalFormatting>
  <conditionalFormatting sqref="D219">
    <cfRule type="expression" priority="2459">
      <formula>_xlfn.IFS(K219="",TRUE)</formula>
    </cfRule>
    <cfRule type="expression" dxfId="403" priority="2460">
      <formula>_xlfn.IFS(K219="T1",TRUE)</formula>
    </cfRule>
  </conditionalFormatting>
  <conditionalFormatting sqref="E219">
    <cfRule type="expression" priority="2457">
      <formula>_xlfn.IFS(L219="",TRUE)</formula>
    </cfRule>
    <cfRule type="expression" dxfId="402" priority="2458">
      <formula>_xlfn.IFS(K219="T2",TRUE)</formula>
    </cfRule>
  </conditionalFormatting>
  <conditionalFormatting sqref="D220:D228">
    <cfRule type="expression" priority="2455">
      <formula>_xlfn.IFS(K220="",TRUE)</formula>
    </cfRule>
    <cfRule type="expression" dxfId="401" priority="2456">
      <formula>_xlfn.IFS(K220="T1",TRUE)</formula>
    </cfRule>
  </conditionalFormatting>
  <conditionalFormatting sqref="E220:E228">
    <cfRule type="expression" priority="2453">
      <formula>_xlfn.IFS(L220="",TRUE)</formula>
    </cfRule>
    <cfRule type="expression" dxfId="400" priority="2454">
      <formula>_xlfn.IFS(K220="T2",TRUE)</formula>
    </cfRule>
  </conditionalFormatting>
  <conditionalFormatting sqref="D233">
    <cfRule type="expression" priority="2451">
      <formula>_xlfn.IFS(K233="",TRUE)</formula>
    </cfRule>
    <cfRule type="expression" dxfId="399" priority="2452">
      <formula>_xlfn.IFS(K233="T1",TRUE)</formula>
    </cfRule>
  </conditionalFormatting>
  <conditionalFormatting sqref="E233">
    <cfRule type="expression" priority="2449">
      <formula>_xlfn.IFS(L233="",TRUE)</formula>
    </cfRule>
    <cfRule type="expression" dxfId="398" priority="2450">
      <formula>_xlfn.IFS(K233="T2",TRUE)</formula>
    </cfRule>
  </conditionalFormatting>
  <conditionalFormatting sqref="D234:D242">
    <cfRule type="expression" priority="2447">
      <formula>_xlfn.IFS(K234="",TRUE)</formula>
    </cfRule>
    <cfRule type="expression" dxfId="397" priority="2448">
      <formula>_xlfn.IFS(K234="T1",TRUE)</formula>
    </cfRule>
  </conditionalFormatting>
  <conditionalFormatting sqref="E234:E242">
    <cfRule type="expression" priority="2445">
      <formula>_xlfn.IFS(L234="",TRUE)</formula>
    </cfRule>
    <cfRule type="expression" dxfId="396" priority="2446">
      <formula>_xlfn.IFS(K234="T2",TRUE)</formula>
    </cfRule>
  </conditionalFormatting>
  <conditionalFormatting sqref="D247">
    <cfRule type="expression" priority="2443">
      <formula>_xlfn.IFS(K247="",TRUE)</formula>
    </cfRule>
    <cfRule type="expression" dxfId="395" priority="2444">
      <formula>_xlfn.IFS(K247="T1",TRUE)</formula>
    </cfRule>
  </conditionalFormatting>
  <conditionalFormatting sqref="E247">
    <cfRule type="expression" priority="2441">
      <formula>_xlfn.IFS(L247="",TRUE)</formula>
    </cfRule>
    <cfRule type="expression" dxfId="394" priority="2442">
      <formula>_xlfn.IFS(K247="T2",TRUE)</formula>
    </cfRule>
  </conditionalFormatting>
  <conditionalFormatting sqref="D248:D256">
    <cfRule type="expression" priority="2439">
      <formula>_xlfn.IFS(K248="",TRUE)</formula>
    </cfRule>
    <cfRule type="expression" dxfId="393" priority="2440">
      <formula>_xlfn.IFS(K248="T1",TRUE)</formula>
    </cfRule>
  </conditionalFormatting>
  <conditionalFormatting sqref="E248:E256">
    <cfRule type="expression" priority="2437">
      <formula>_xlfn.IFS(L248="",TRUE)</formula>
    </cfRule>
    <cfRule type="expression" dxfId="392" priority="2438">
      <formula>_xlfn.IFS(K248="T2",TRUE)</formula>
    </cfRule>
  </conditionalFormatting>
  <conditionalFormatting sqref="D261">
    <cfRule type="expression" priority="2435">
      <formula>_xlfn.IFS(K261="",TRUE)</formula>
    </cfRule>
    <cfRule type="expression" dxfId="391" priority="2436">
      <formula>_xlfn.IFS(K261="T1",TRUE)</formula>
    </cfRule>
  </conditionalFormatting>
  <conditionalFormatting sqref="E261">
    <cfRule type="expression" priority="2433">
      <formula>_xlfn.IFS(L261="",TRUE)</formula>
    </cfRule>
    <cfRule type="expression" dxfId="390" priority="2434">
      <formula>_xlfn.IFS(K261="T2",TRUE)</formula>
    </cfRule>
  </conditionalFormatting>
  <conditionalFormatting sqref="D262:D270">
    <cfRule type="expression" priority="2431">
      <formula>_xlfn.IFS(K262="",TRUE)</formula>
    </cfRule>
    <cfRule type="expression" dxfId="389" priority="2432">
      <formula>_xlfn.IFS(K262="T1",TRUE)</formula>
    </cfRule>
  </conditionalFormatting>
  <conditionalFormatting sqref="E262:E270">
    <cfRule type="expression" priority="2429">
      <formula>_xlfn.IFS(L262="",TRUE)</formula>
    </cfRule>
    <cfRule type="expression" dxfId="388" priority="2430">
      <formula>_xlfn.IFS(K262="T2",TRUE)</formula>
    </cfRule>
  </conditionalFormatting>
  <conditionalFormatting sqref="D275">
    <cfRule type="expression" priority="2427">
      <formula>_xlfn.IFS(K275="",TRUE)</formula>
    </cfRule>
    <cfRule type="expression" dxfId="387" priority="2428">
      <formula>_xlfn.IFS(K275="T1",TRUE)</formula>
    </cfRule>
  </conditionalFormatting>
  <conditionalFormatting sqref="E275">
    <cfRule type="expression" priority="2425">
      <formula>_xlfn.IFS(L275="",TRUE)</formula>
    </cfRule>
    <cfRule type="expression" dxfId="386" priority="2426">
      <formula>_xlfn.IFS(K275="T2",TRUE)</formula>
    </cfRule>
  </conditionalFormatting>
  <conditionalFormatting sqref="D276:D284">
    <cfRule type="expression" priority="2423">
      <formula>_xlfn.IFS(K276="",TRUE)</formula>
    </cfRule>
    <cfRule type="expression" dxfId="385" priority="2424">
      <formula>_xlfn.IFS(K276="T1",TRUE)</formula>
    </cfRule>
  </conditionalFormatting>
  <conditionalFormatting sqref="E276:E284">
    <cfRule type="expression" priority="2421">
      <formula>_xlfn.IFS(L276="",TRUE)</formula>
    </cfRule>
    <cfRule type="expression" dxfId="384" priority="2422">
      <formula>_xlfn.IFS(K276="T2",TRUE)</formula>
    </cfRule>
  </conditionalFormatting>
  <conditionalFormatting sqref="D319">
    <cfRule type="expression" priority="2419">
      <formula>_xlfn.IFS(K319="",TRUE)</formula>
    </cfRule>
    <cfRule type="expression" dxfId="383" priority="2420">
      <formula>_xlfn.IFS(K319="T1",TRUE)</formula>
    </cfRule>
  </conditionalFormatting>
  <conditionalFormatting sqref="E319">
    <cfRule type="expression" priority="2417">
      <formula>_xlfn.IFS(L319="",TRUE)</formula>
    </cfRule>
    <cfRule type="expression" dxfId="382" priority="2418">
      <formula>_xlfn.IFS(K319="T2",TRUE)</formula>
    </cfRule>
  </conditionalFormatting>
  <conditionalFormatting sqref="D320:D328">
    <cfRule type="expression" priority="2415">
      <formula>_xlfn.IFS(K320="",TRUE)</formula>
    </cfRule>
    <cfRule type="expression" dxfId="381" priority="2416">
      <formula>_xlfn.IFS(K320="T1",TRUE)</formula>
    </cfRule>
  </conditionalFormatting>
  <conditionalFormatting sqref="E320:E328">
    <cfRule type="expression" priority="2413">
      <formula>_xlfn.IFS(L320="",TRUE)</formula>
    </cfRule>
    <cfRule type="expression" dxfId="380" priority="2414">
      <formula>_xlfn.IFS(K320="T2",TRUE)</formula>
    </cfRule>
  </conditionalFormatting>
  <conditionalFormatting sqref="D333">
    <cfRule type="expression" priority="2411">
      <formula>_xlfn.IFS(K333="",TRUE)</formula>
    </cfRule>
    <cfRule type="expression" dxfId="379" priority="2412">
      <formula>_xlfn.IFS(K333="T1",TRUE)</formula>
    </cfRule>
  </conditionalFormatting>
  <conditionalFormatting sqref="E333">
    <cfRule type="expression" priority="2409">
      <formula>_xlfn.IFS(L333="",TRUE)</formula>
    </cfRule>
    <cfRule type="expression" dxfId="378" priority="2410">
      <formula>_xlfn.IFS(K333="T2",TRUE)</formula>
    </cfRule>
  </conditionalFormatting>
  <conditionalFormatting sqref="D334:D342">
    <cfRule type="expression" priority="2407">
      <formula>_xlfn.IFS(K334="",TRUE)</formula>
    </cfRule>
    <cfRule type="expression" dxfId="377" priority="2408">
      <formula>_xlfn.IFS(K334="T1",TRUE)</formula>
    </cfRule>
  </conditionalFormatting>
  <conditionalFormatting sqref="E334:E342">
    <cfRule type="expression" priority="2405">
      <formula>_xlfn.IFS(L334="",TRUE)</formula>
    </cfRule>
    <cfRule type="expression" dxfId="376" priority="2406">
      <formula>_xlfn.IFS(K334="T2",TRUE)</formula>
    </cfRule>
  </conditionalFormatting>
  <conditionalFormatting sqref="D347">
    <cfRule type="expression" priority="2403">
      <formula>_xlfn.IFS(K347="",TRUE)</formula>
    </cfRule>
    <cfRule type="expression" dxfId="375" priority="2404">
      <formula>_xlfn.IFS(K347="T1",TRUE)</formula>
    </cfRule>
  </conditionalFormatting>
  <conditionalFormatting sqref="E347">
    <cfRule type="expression" priority="2401">
      <formula>_xlfn.IFS(L347="",TRUE)</formula>
    </cfRule>
    <cfRule type="expression" dxfId="374" priority="2402">
      <formula>_xlfn.IFS(K347="T2",TRUE)</formula>
    </cfRule>
  </conditionalFormatting>
  <conditionalFormatting sqref="D348:D356">
    <cfRule type="expression" priority="2399">
      <formula>_xlfn.IFS(K348="",TRUE)</formula>
    </cfRule>
    <cfRule type="expression" dxfId="373" priority="2400">
      <formula>_xlfn.IFS(K348="T1",TRUE)</formula>
    </cfRule>
  </conditionalFormatting>
  <conditionalFormatting sqref="E348:E356">
    <cfRule type="expression" priority="2397">
      <formula>_xlfn.IFS(L348="",TRUE)</formula>
    </cfRule>
    <cfRule type="expression" dxfId="372" priority="2398">
      <formula>_xlfn.IFS(K348="T2",TRUE)</formula>
    </cfRule>
  </conditionalFormatting>
  <conditionalFormatting sqref="D361">
    <cfRule type="expression" priority="2395">
      <formula>_xlfn.IFS(K361="",TRUE)</formula>
    </cfRule>
    <cfRule type="expression" dxfId="371" priority="2396">
      <formula>_xlfn.IFS(K361="T1",TRUE)</formula>
    </cfRule>
  </conditionalFormatting>
  <conditionalFormatting sqref="E361">
    <cfRule type="expression" priority="2393">
      <formula>_xlfn.IFS(L361="",TRUE)</formula>
    </cfRule>
    <cfRule type="expression" dxfId="370" priority="2394">
      <formula>_xlfn.IFS(K361="T2",TRUE)</formula>
    </cfRule>
  </conditionalFormatting>
  <conditionalFormatting sqref="D362:D370">
    <cfRule type="expression" priority="2391">
      <formula>_xlfn.IFS(K362="",TRUE)</formula>
    </cfRule>
    <cfRule type="expression" dxfId="369" priority="2392">
      <formula>_xlfn.IFS(K362="T1",TRUE)</formula>
    </cfRule>
  </conditionalFormatting>
  <conditionalFormatting sqref="E362:E370">
    <cfRule type="expression" priority="2389">
      <formula>_xlfn.IFS(L362="",TRUE)</formula>
    </cfRule>
    <cfRule type="expression" dxfId="368" priority="2390">
      <formula>_xlfn.IFS(K362="T2",TRUE)</formula>
    </cfRule>
  </conditionalFormatting>
  <conditionalFormatting sqref="D375">
    <cfRule type="expression" priority="2387">
      <formula>_xlfn.IFS(K375="",TRUE)</formula>
    </cfRule>
    <cfRule type="expression" dxfId="367" priority="2388">
      <formula>_xlfn.IFS(K375="T1",TRUE)</formula>
    </cfRule>
  </conditionalFormatting>
  <conditionalFormatting sqref="E375">
    <cfRule type="expression" priority="2385">
      <formula>_xlfn.IFS(L375="",TRUE)</formula>
    </cfRule>
    <cfRule type="expression" dxfId="366" priority="2386">
      <formula>_xlfn.IFS(K375="T2",TRUE)</formula>
    </cfRule>
  </conditionalFormatting>
  <conditionalFormatting sqref="D376:D384">
    <cfRule type="expression" priority="2383">
      <formula>_xlfn.IFS(K376="",TRUE)</formula>
    </cfRule>
    <cfRule type="expression" dxfId="365" priority="2384">
      <formula>_xlfn.IFS(K376="T1",TRUE)</formula>
    </cfRule>
  </conditionalFormatting>
  <conditionalFormatting sqref="E376:E384">
    <cfRule type="expression" priority="2381">
      <formula>_xlfn.IFS(L376="",TRUE)</formula>
    </cfRule>
    <cfRule type="expression" dxfId="364" priority="2382">
      <formula>_xlfn.IFS(K376="T2",TRUE)</formula>
    </cfRule>
  </conditionalFormatting>
  <conditionalFormatting sqref="D403">
    <cfRule type="expression" priority="2379">
      <formula>_xlfn.IFS(K403="",TRUE)</formula>
    </cfRule>
    <cfRule type="expression" dxfId="363" priority="2380">
      <formula>_xlfn.IFS(K403="T1",TRUE)</formula>
    </cfRule>
  </conditionalFormatting>
  <conditionalFormatting sqref="E403">
    <cfRule type="expression" priority="2377">
      <formula>_xlfn.IFS(L403="",TRUE)</formula>
    </cfRule>
    <cfRule type="expression" dxfId="362" priority="2378">
      <formula>_xlfn.IFS(K403="T2",TRUE)</formula>
    </cfRule>
  </conditionalFormatting>
  <conditionalFormatting sqref="D404:D412">
    <cfRule type="expression" priority="2375">
      <formula>_xlfn.IFS(K404="",TRUE)</formula>
    </cfRule>
    <cfRule type="expression" dxfId="361" priority="2376">
      <formula>_xlfn.IFS(K404="T1",TRUE)</formula>
    </cfRule>
  </conditionalFormatting>
  <conditionalFormatting sqref="E404:E412">
    <cfRule type="expression" priority="2373">
      <formula>_xlfn.IFS(L404="",TRUE)</formula>
    </cfRule>
    <cfRule type="expression" dxfId="360" priority="2374">
      <formula>_xlfn.IFS(K404="T2",TRUE)</formula>
    </cfRule>
  </conditionalFormatting>
  <conditionalFormatting sqref="D417">
    <cfRule type="expression" priority="2371">
      <formula>_xlfn.IFS(K417="",TRUE)</formula>
    </cfRule>
    <cfRule type="expression" dxfId="359" priority="2372">
      <formula>_xlfn.IFS(K417="T1",TRUE)</formula>
    </cfRule>
  </conditionalFormatting>
  <conditionalFormatting sqref="E417">
    <cfRule type="expression" priority="2369">
      <formula>_xlfn.IFS(L417="",TRUE)</formula>
    </cfRule>
    <cfRule type="expression" dxfId="358" priority="2370">
      <formula>_xlfn.IFS(K417="T2",TRUE)</formula>
    </cfRule>
  </conditionalFormatting>
  <conditionalFormatting sqref="D418:D426">
    <cfRule type="expression" priority="2367">
      <formula>_xlfn.IFS(K418="",TRUE)</formula>
    </cfRule>
    <cfRule type="expression" dxfId="357" priority="2368">
      <formula>_xlfn.IFS(K418="T1",TRUE)</formula>
    </cfRule>
  </conditionalFormatting>
  <conditionalFormatting sqref="E418:E426">
    <cfRule type="expression" priority="2365">
      <formula>_xlfn.IFS(L418="",TRUE)</formula>
    </cfRule>
    <cfRule type="expression" dxfId="356" priority="2366">
      <formula>_xlfn.IFS(K418="T2",TRUE)</formula>
    </cfRule>
  </conditionalFormatting>
  <conditionalFormatting sqref="D431">
    <cfRule type="expression" priority="2363">
      <formula>_xlfn.IFS(K431="",TRUE)</formula>
    </cfRule>
    <cfRule type="expression" dxfId="355" priority="2364">
      <formula>_xlfn.IFS(K431="T1",TRUE)</formula>
    </cfRule>
  </conditionalFormatting>
  <conditionalFormatting sqref="E431">
    <cfRule type="expression" priority="2361">
      <formula>_xlfn.IFS(L431="",TRUE)</formula>
    </cfRule>
    <cfRule type="expression" dxfId="354" priority="2362">
      <formula>_xlfn.IFS(K431="T2",TRUE)</formula>
    </cfRule>
  </conditionalFormatting>
  <conditionalFormatting sqref="D432:D440">
    <cfRule type="expression" priority="2359">
      <formula>_xlfn.IFS(K432="",TRUE)</formula>
    </cfRule>
    <cfRule type="expression" dxfId="353" priority="2360">
      <formula>_xlfn.IFS(K432="T1",TRUE)</formula>
    </cfRule>
  </conditionalFormatting>
  <conditionalFormatting sqref="E432:E440">
    <cfRule type="expression" priority="2357">
      <formula>_xlfn.IFS(L432="",TRUE)</formula>
    </cfRule>
    <cfRule type="expression" dxfId="352" priority="2358">
      <formula>_xlfn.IFS(K432="T2",TRUE)</formula>
    </cfRule>
  </conditionalFormatting>
  <conditionalFormatting sqref="D475">
    <cfRule type="expression" priority="2355">
      <formula>_xlfn.IFS(K475="",TRUE)</formula>
    </cfRule>
    <cfRule type="expression" dxfId="351" priority="2356">
      <formula>_xlfn.IFS(K475="T1",TRUE)</formula>
    </cfRule>
  </conditionalFormatting>
  <conditionalFormatting sqref="E475">
    <cfRule type="expression" priority="2353">
      <formula>_xlfn.IFS(L475="",TRUE)</formula>
    </cfRule>
    <cfRule type="expression" dxfId="350" priority="2354">
      <formula>_xlfn.IFS(K475="T2",TRUE)</formula>
    </cfRule>
  </conditionalFormatting>
  <conditionalFormatting sqref="D476:D484">
    <cfRule type="expression" priority="2351">
      <formula>_xlfn.IFS(K476="",TRUE)</formula>
    </cfRule>
    <cfRule type="expression" dxfId="349" priority="2352">
      <formula>_xlfn.IFS(K476="T1",TRUE)</formula>
    </cfRule>
  </conditionalFormatting>
  <conditionalFormatting sqref="E476:E484">
    <cfRule type="expression" priority="2349">
      <formula>_xlfn.IFS(L476="",TRUE)</formula>
    </cfRule>
    <cfRule type="expression" dxfId="348" priority="2350">
      <formula>_xlfn.IFS(K476="T2",TRUE)</formula>
    </cfRule>
  </conditionalFormatting>
  <conditionalFormatting sqref="D489">
    <cfRule type="expression" priority="2347">
      <formula>_xlfn.IFS(K489="",TRUE)</formula>
    </cfRule>
    <cfRule type="expression" dxfId="347" priority="2348">
      <formula>_xlfn.IFS(K489="T1",TRUE)</formula>
    </cfRule>
  </conditionalFormatting>
  <conditionalFormatting sqref="E489">
    <cfRule type="expression" priority="2345">
      <formula>_xlfn.IFS(L489="",TRUE)</formula>
    </cfRule>
    <cfRule type="expression" dxfId="346" priority="2346">
      <formula>_xlfn.IFS(K489="T2",TRUE)</formula>
    </cfRule>
  </conditionalFormatting>
  <conditionalFormatting sqref="D490:D498">
    <cfRule type="expression" priority="2343">
      <formula>_xlfn.IFS(K490="",TRUE)</formula>
    </cfRule>
    <cfRule type="expression" dxfId="345" priority="2344">
      <formula>_xlfn.IFS(K490="T1",TRUE)</formula>
    </cfRule>
  </conditionalFormatting>
  <conditionalFormatting sqref="E490:E498">
    <cfRule type="expression" priority="2341">
      <formula>_xlfn.IFS(L490="",TRUE)</formula>
    </cfRule>
    <cfRule type="expression" dxfId="344" priority="2342">
      <formula>_xlfn.IFS(K490="T2",TRUE)</formula>
    </cfRule>
  </conditionalFormatting>
  <conditionalFormatting sqref="D503">
    <cfRule type="expression" priority="2339">
      <formula>_xlfn.IFS(K503="",TRUE)</formula>
    </cfRule>
    <cfRule type="expression" dxfId="343" priority="2340">
      <formula>_xlfn.IFS(K503="T1",TRUE)</formula>
    </cfRule>
  </conditionalFormatting>
  <conditionalFormatting sqref="E503">
    <cfRule type="expression" priority="2337">
      <formula>_xlfn.IFS(L503="",TRUE)</formula>
    </cfRule>
    <cfRule type="expression" dxfId="342" priority="2338">
      <formula>_xlfn.IFS(K503="T2",TRUE)</formula>
    </cfRule>
  </conditionalFormatting>
  <conditionalFormatting sqref="D504:D512">
    <cfRule type="expression" priority="2335">
      <formula>_xlfn.IFS(K504="",TRUE)</formula>
    </cfRule>
    <cfRule type="expression" dxfId="341" priority="2336">
      <formula>_xlfn.IFS(K504="T1",TRUE)</formula>
    </cfRule>
  </conditionalFormatting>
  <conditionalFormatting sqref="E504:E512">
    <cfRule type="expression" priority="2333">
      <formula>_xlfn.IFS(L504="",TRUE)</formula>
    </cfRule>
    <cfRule type="expression" dxfId="340" priority="2334">
      <formula>_xlfn.IFS(K504="T2",TRUE)</formula>
    </cfRule>
  </conditionalFormatting>
  <conditionalFormatting sqref="D517">
    <cfRule type="expression" priority="2331">
      <formula>_xlfn.IFS(K517="",TRUE)</formula>
    </cfRule>
    <cfRule type="expression" dxfId="339" priority="2332">
      <formula>_xlfn.IFS(K517="T1",TRUE)</formula>
    </cfRule>
  </conditionalFormatting>
  <conditionalFormatting sqref="E517">
    <cfRule type="expression" priority="2329">
      <formula>_xlfn.IFS(L517="",TRUE)</formula>
    </cfRule>
    <cfRule type="expression" dxfId="338" priority="2330">
      <formula>_xlfn.IFS(K517="T2",TRUE)</formula>
    </cfRule>
  </conditionalFormatting>
  <conditionalFormatting sqref="D518:D526">
    <cfRule type="expression" priority="2327">
      <formula>_xlfn.IFS(K518="",TRUE)</formula>
    </cfRule>
    <cfRule type="expression" dxfId="337" priority="2328">
      <formula>_xlfn.IFS(K518="T1",TRUE)</formula>
    </cfRule>
  </conditionalFormatting>
  <conditionalFormatting sqref="E518:E526">
    <cfRule type="expression" priority="2325">
      <formula>_xlfn.IFS(L518="",TRUE)</formula>
    </cfRule>
    <cfRule type="expression" dxfId="336" priority="2326">
      <formula>_xlfn.IFS(K518="T2",TRUE)</formula>
    </cfRule>
  </conditionalFormatting>
  <conditionalFormatting sqref="D531">
    <cfRule type="expression" priority="2323">
      <formula>_xlfn.IFS(K531="",TRUE)</formula>
    </cfRule>
    <cfRule type="expression" dxfId="335" priority="2324">
      <formula>_xlfn.IFS(K531="T1",TRUE)</formula>
    </cfRule>
  </conditionalFormatting>
  <conditionalFormatting sqref="E531">
    <cfRule type="expression" priority="2321">
      <formula>_xlfn.IFS(L531="",TRUE)</formula>
    </cfRule>
    <cfRule type="expression" dxfId="334" priority="2322">
      <formula>_xlfn.IFS(K531="T2",TRUE)</formula>
    </cfRule>
  </conditionalFormatting>
  <conditionalFormatting sqref="D532:D540">
    <cfRule type="expression" priority="2319">
      <formula>_xlfn.IFS(K532="",TRUE)</formula>
    </cfRule>
    <cfRule type="expression" dxfId="333" priority="2320">
      <formula>_xlfn.IFS(K532="T1",TRUE)</formula>
    </cfRule>
  </conditionalFormatting>
  <conditionalFormatting sqref="E532:E540">
    <cfRule type="expression" priority="2317">
      <formula>_xlfn.IFS(L532="",TRUE)</formula>
    </cfRule>
    <cfRule type="expression" dxfId="332" priority="2318">
      <formula>_xlfn.IFS(K532="T2",TRUE)</formula>
    </cfRule>
  </conditionalFormatting>
  <conditionalFormatting sqref="D545">
    <cfRule type="expression" priority="2315">
      <formula>_xlfn.IFS(K545="",TRUE)</formula>
    </cfRule>
    <cfRule type="expression" dxfId="331" priority="2316">
      <formula>_xlfn.IFS(K545="T1",TRUE)</formula>
    </cfRule>
  </conditionalFormatting>
  <conditionalFormatting sqref="E545">
    <cfRule type="expression" priority="2313">
      <formula>_xlfn.IFS(L545="",TRUE)</formula>
    </cfRule>
    <cfRule type="expression" dxfId="330" priority="2314">
      <formula>_xlfn.IFS(K545="T2",TRUE)</formula>
    </cfRule>
  </conditionalFormatting>
  <conditionalFormatting sqref="D546:D554">
    <cfRule type="expression" priority="2311">
      <formula>_xlfn.IFS(K546="",TRUE)</formula>
    </cfRule>
    <cfRule type="expression" dxfId="329" priority="2312">
      <formula>_xlfn.IFS(K546="T1",TRUE)</formula>
    </cfRule>
  </conditionalFormatting>
  <conditionalFormatting sqref="E546:E554">
    <cfRule type="expression" priority="2309">
      <formula>_xlfn.IFS(L546="",TRUE)</formula>
    </cfRule>
    <cfRule type="expression" dxfId="328" priority="2310">
      <formula>_xlfn.IFS(K546="T2",TRUE)</formula>
    </cfRule>
  </conditionalFormatting>
  <conditionalFormatting sqref="D559">
    <cfRule type="expression" priority="2307">
      <formula>_xlfn.IFS(K559="",TRUE)</formula>
    </cfRule>
    <cfRule type="expression" dxfId="327" priority="2308">
      <formula>_xlfn.IFS(K559="T1",TRUE)</formula>
    </cfRule>
  </conditionalFormatting>
  <conditionalFormatting sqref="E559">
    <cfRule type="expression" priority="2305">
      <formula>_xlfn.IFS(L559="",TRUE)</formula>
    </cfRule>
    <cfRule type="expression" dxfId="326" priority="2306">
      <formula>_xlfn.IFS(K559="T2",TRUE)</formula>
    </cfRule>
  </conditionalFormatting>
  <conditionalFormatting sqref="D560:D568">
    <cfRule type="expression" priority="2303">
      <formula>_xlfn.IFS(K560="",TRUE)</formula>
    </cfRule>
    <cfRule type="expression" dxfId="325" priority="2304">
      <formula>_xlfn.IFS(K560="T1",TRUE)</formula>
    </cfRule>
  </conditionalFormatting>
  <conditionalFormatting sqref="E560:E568">
    <cfRule type="expression" priority="2301">
      <formula>_xlfn.IFS(L560="",TRUE)</formula>
    </cfRule>
    <cfRule type="expression" dxfId="324" priority="2302">
      <formula>_xlfn.IFS(K560="T2",TRUE)</formula>
    </cfRule>
  </conditionalFormatting>
  <conditionalFormatting sqref="D573">
    <cfRule type="expression" priority="2299">
      <formula>_xlfn.IFS(K573="",TRUE)</formula>
    </cfRule>
    <cfRule type="expression" dxfId="323" priority="2300">
      <formula>_xlfn.IFS(K573="T1",TRUE)</formula>
    </cfRule>
  </conditionalFormatting>
  <conditionalFormatting sqref="E573">
    <cfRule type="expression" priority="2297">
      <formula>_xlfn.IFS(L573="",TRUE)</formula>
    </cfRule>
    <cfRule type="expression" dxfId="322" priority="2298">
      <formula>_xlfn.IFS(K573="T2",TRUE)</formula>
    </cfRule>
  </conditionalFormatting>
  <conditionalFormatting sqref="D574:D582">
    <cfRule type="expression" priority="2295">
      <formula>_xlfn.IFS(K574="",TRUE)</formula>
    </cfRule>
    <cfRule type="expression" dxfId="321" priority="2296">
      <formula>_xlfn.IFS(K574="T1",TRUE)</formula>
    </cfRule>
  </conditionalFormatting>
  <conditionalFormatting sqref="E574:E582">
    <cfRule type="expression" priority="2293">
      <formula>_xlfn.IFS(L574="",TRUE)</formula>
    </cfRule>
    <cfRule type="expression" dxfId="320" priority="2294">
      <formula>_xlfn.IFS(K574="T2",TRUE)</formula>
    </cfRule>
  </conditionalFormatting>
  <conditionalFormatting sqref="D587">
    <cfRule type="expression" priority="2291">
      <formula>_xlfn.IFS(K587="",TRUE)</formula>
    </cfRule>
    <cfRule type="expression" dxfId="319" priority="2292">
      <formula>_xlfn.IFS(K587="T1",TRUE)</formula>
    </cfRule>
  </conditionalFormatting>
  <conditionalFormatting sqref="E587">
    <cfRule type="expression" priority="2289">
      <formula>_xlfn.IFS(L587="",TRUE)</formula>
    </cfRule>
    <cfRule type="expression" dxfId="318" priority="2290">
      <formula>_xlfn.IFS(K587="T2",TRUE)</formula>
    </cfRule>
  </conditionalFormatting>
  <conditionalFormatting sqref="D588:D596">
    <cfRule type="expression" priority="2287">
      <formula>_xlfn.IFS(K588="",TRUE)</formula>
    </cfRule>
    <cfRule type="expression" dxfId="317" priority="2288">
      <formula>_xlfn.IFS(K588="T1",TRUE)</formula>
    </cfRule>
  </conditionalFormatting>
  <conditionalFormatting sqref="E588:E596">
    <cfRule type="expression" priority="2285">
      <formula>_xlfn.IFS(L588="",TRUE)</formula>
    </cfRule>
    <cfRule type="expression" dxfId="316" priority="2286">
      <formula>_xlfn.IFS(K588="T2",TRUE)</formula>
    </cfRule>
  </conditionalFormatting>
  <conditionalFormatting sqref="D631">
    <cfRule type="expression" priority="2283">
      <formula>_xlfn.IFS(K631="",TRUE)</formula>
    </cfRule>
    <cfRule type="expression" dxfId="315" priority="2284">
      <formula>_xlfn.IFS(K631="T1",TRUE)</formula>
    </cfRule>
  </conditionalFormatting>
  <conditionalFormatting sqref="E631">
    <cfRule type="expression" priority="2281">
      <formula>_xlfn.IFS(L631="",TRUE)</formula>
    </cfRule>
    <cfRule type="expression" dxfId="314" priority="2282">
      <formula>_xlfn.IFS(K631="T2",TRUE)</formula>
    </cfRule>
  </conditionalFormatting>
  <conditionalFormatting sqref="D632:D637">
    <cfRule type="expression" priority="2279">
      <formula>_xlfn.IFS(K632="",TRUE)</formula>
    </cfRule>
    <cfRule type="expression" dxfId="313" priority="2280">
      <formula>_xlfn.IFS(K632="T1",TRUE)</formula>
    </cfRule>
  </conditionalFormatting>
  <conditionalFormatting sqref="E632:E637">
    <cfRule type="expression" priority="2277">
      <formula>_xlfn.IFS(L632="",TRUE)</formula>
    </cfRule>
    <cfRule type="expression" dxfId="312" priority="2278">
      <formula>_xlfn.IFS(K632="T2",TRUE)</formula>
    </cfRule>
  </conditionalFormatting>
  <conditionalFormatting sqref="D645">
    <cfRule type="expression" priority="2275">
      <formula>_xlfn.IFS(K645="",TRUE)</formula>
    </cfRule>
    <cfRule type="expression" dxfId="311" priority="2276">
      <formula>_xlfn.IFS(K645="T1",TRUE)</formula>
    </cfRule>
  </conditionalFormatting>
  <conditionalFormatting sqref="E645">
    <cfRule type="expression" priority="2273">
      <formula>_xlfn.IFS(L645="",TRUE)</formula>
    </cfRule>
    <cfRule type="expression" dxfId="310" priority="2274">
      <formula>_xlfn.IFS(K645="T2",TRUE)</formula>
    </cfRule>
  </conditionalFormatting>
  <conditionalFormatting sqref="D646:D654">
    <cfRule type="expression" priority="2271">
      <formula>_xlfn.IFS(K646="",TRUE)</formula>
    </cfRule>
    <cfRule type="expression" dxfId="309" priority="2272">
      <formula>_xlfn.IFS(K646="T1",TRUE)</formula>
    </cfRule>
  </conditionalFormatting>
  <conditionalFormatting sqref="E646:E654">
    <cfRule type="expression" priority="2269">
      <formula>_xlfn.IFS(L646="",TRUE)</formula>
    </cfRule>
    <cfRule type="expression" dxfId="308" priority="2270">
      <formula>_xlfn.IFS(K646="T2",TRUE)</formula>
    </cfRule>
  </conditionalFormatting>
  <conditionalFormatting sqref="D659">
    <cfRule type="expression" priority="2267">
      <formula>_xlfn.IFS(K659="",TRUE)</formula>
    </cfRule>
    <cfRule type="expression" dxfId="307" priority="2268">
      <formula>_xlfn.IFS(K659="T1",TRUE)</formula>
    </cfRule>
  </conditionalFormatting>
  <conditionalFormatting sqref="E659">
    <cfRule type="expression" priority="2265">
      <formula>_xlfn.IFS(L659="",TRUE)</formula>
    </cfRule>
    <cfRule type="expression" dxfId="306" priority="2266">
      <formula>_xlfn.IFS(K659="T2",TRUE)</formula>
    </cfRule>
  </conditionalFormatting>
  <conditionalFormatting sqref="D660:D668">
    <cfRule type="expression" priority="2263">
      <formula>_xlfn.IFS(K660="",TRUE)</formula>
    </cfRule>
    <cfRule type="expression" dxfId="305" priority="2264">
      <formula>_xlfn.IFS(K660="T1",TRUE)</formula>
    </cfRule>
  </conditionalFormatting>
  <conditionalFormatting sqref="E660:E668">
    <cfRule type="expression" priority="2261">
      <formula>_xlfn.IFS(L660="",TRUE)</formula>
    </cfRule>
    <cfRule type="expression" dxfId="304" priority="2262">
      <formula>_xlfn.IFS(K660="T2",TRUE)</formula>
    </cfRule>
  </conditionalFormatting>
  <conditionalFormatting sqref="D687">
    <cfRule type="expression" priority="2259">
      <formula>_xlfn.IFS(K687="",TRUE)</formula>
    </cfRule>
    <cfRule type="expression" dxfId="303" priority="2260">
      <formula>_xlfn.IFS(K687="T1",TRUE)</formula>
    </cfRule>
  </conditionalFormatting>
  <conditionalFormatting sqref="E687">
    <cfRule type="expression" priority="2257">
      <formula>_xlfn.IFS(L687="",TRUE)</formula>
    </cfRule>
    <cfRule type="expression" dxfId="302" priority="2258">
      <formula>_xlfn.IFS(K687="T2",TRUE)</formula>
    </cfRule>
  </conditionalFormatting>
  <conditionalFormatting sqref="D688:D696">
    <cfRule type="expression" priority="2255">
      <formula>_xlfn.IFS(K688="",TRUE)</formula>
    </cfRule>
    <cfRule type="expression" dxfId="301" priority="2256">
      <formula>_xlfn.IFS(K688="T1",TRUE)</formula>
    </cfRule>
  </conditionalFormatting>
  <conditionalFormatting sqref="E688:E696">
    <cfRule type="expression" priority="2253">
      <formula>_xlfn.IFS(L688="",TRUE)</formula>
    </cfRule>
    <cfRule type="expression" dxfId="300" priority="2254">
      <formula>_xlfn.IFS(K688="T2",TRUE)</formula>
    </cfRule>
  </conditionalFormatting>
  <conditionalFormatting sqref="D701">
    <cfRule type="expression" priority="2251">
      <formula>_xlfn.IFS(K701="",TRUE)</formula>
    </cfRule>
    <cfRule type="expression" dxfId="299" priority="2252">
      <formula>_xlfn.IFS(K701="T1",TRUE)</formula>
    </cfRule>
  </conditionalFormatting>
  <conditionalFormatting sqref="E701">
    <cfRule type="expression" priority="2249">
      <formula>_xlfn.IFS(L701="",TRUE)</formula>
    </cfRule>
    <cfRule type="expression" dxfId="298" priority="2250">
      <formula>_xlfn.IFS(K701="T2",TRUE)</formula>
    </cfRule>
  </conditionalFormatting>
  <conditionalFormatting sqref="D702:D710">
    <cfRule type="expression" priority="2247">
      <formula>_xlfn.IFS(K702="",TRUE)</formula>
    </cfRule>
    <cfRule type="expression" dxfId="297" priority="2248">
      <formula>_xlfn.IFS(K702="T1",TRUE)</formula>
    </cfRule>
  </conditionalFormatting>
  <conditionalFormatting sqref="E702:E710">
    <cfRule type="expression" priority="2245">
      <formula>_xlfn.IFS(L702="",TRUE)</formula>
    </cfRule>
    <cfRule type="expression" dxfId="296" priority="2246">
      <formula>_xlfn.IFS(K702="T2",TRUE)</formula>
    </cfRule>
  </conditionalFormatting>
  <conditionalFormatting sqref="D715">
    <cfRule type="expression" priority="2243">
      <formula>_xlfn.IFS(K715="",TRUE)</formula>
    </cfRule>
    <cfRule type="expression" dxfId="295" priority="2244">
      <formula>_xlfn.IFS(K715="T1",TRUE)</formula>
    </cfRule>
  </conditionalFormatting>
  <conditionalFormatting sqref="E715">
    <cfRule type="expression" priority="2241">
      <formula>_xlfn.IFS(L715="",TRUE)</formula>
    </cfRule>
    <cfRule type="expression" dxfId="294" priority="2242">
      <formula>_xlfn.IFS(K715="T2",TRUE)</formula>
    </cfRule>
  </conditionalFormatting>
  <conditionalFormatting sqref="D716:D724">
    <cfRule type="expression" priority="2239">
      <formula>_xlfn.IFS(K716="",TRUE)</formula>
    </cfRule>
    <cfRule type="expression" dxfId="293" priority="2240">
      <formula>_xlfn.IFS(K716="T1",TRUE)</formula>
    </cfRule>
  </conditionalFormatting>
  <conditionalFormatting sqref="E716:E724">
    <cfRule type="expression" priority="2237">
      <formula>_xlfn.IFS(L716="",TRUE)</formula>
    </cfRule>
    <cfRule type="expression" dxfId="292" priority="2238">
      <formula>_xlfn.IFS(K716="T2",TRUE)</formula>
    </cfRule>
  </conditionalFormatting>
  <conditionalFormatting sqref="D729">
    <cfRule type="expression" priority="2235">
      <formula>_xlfn.IFS(K729="",TRUE)</formula>
    </cfRule>
    <cfRule type="expression" dxfId="291" priority="2236">
      <formula>_xlfn.IFS(K729="T1",TRUE)</formula>
    </cfRule>
  </conditionalFormatting>
  <conditionalFormatting sqref="E729">
    <cfRule type="expression" priority="2233">
      <formula>_xlfn.IFS(L729="",TRUE)</formula>
    </cfRule>
    <cfRule type="expression" dxfId="290" priority="2234">
      <formula>_xlfn.IFS(K729="T2",TRUE)</formula>
    </cfRule>
  </conditionalFormatting>
  <conditionalFormatting sqref="D730:D738">
    <cfRule type="expression" priority="2231">
      <formula>_xlfn.IFS(K730="",TRUE)</formula>
    </cfRule>
    <cfRule type="expression" dxfId="289" priority="2232">
      <formula>_xlfn.IFS(K730="T1",TRUE)</formula>
    </cfRule>
  </conditionalFormatting>
  <conditionalFormatting sqref="E730:E738">
    <cfRule type="expression" priority="2229">
      <formula>_xlfn.IFS(L730="",TRUE)</formula>
    </cfRule>
    <cfRule type="expression" dxfId="288" priority="2230">
      <formula>_xlfn.IFS(K730="T2",TRUE)</formula>
    </cfRule>
  </conditionalFormatting>
  <conditionalFormatting sqref="D743">
    <cfRule type="expression" priority="2227">
      <formula>_xlfn.IFS(K743="",TRUE)</formula>
    </cfRule>
    <cfRule type="expression" dxfId="287" priority="2228">
      <formula>_xlfn.IFS(K743="T1",TRUE)</formula>
    </cfRule>
  </conditionalFormatting>
  <conditionalFormatting sqref="E743">
    <cfRule type="expression" priority="2225">
      <formula>_xlfn.IFS(L743="",TRUE)</formula>
    </cfRule>
    <cfRule type="expression" dxfId="286" priority="2226">
      <formula>_xlfn.IFS(K743="T2",TRUE)</formula>
    </cfRule>
  </conditionalFormatting>
  <conditionalFormatting sqref="D744:D752">
    <cfRule type="expression" priority="2223">
      <formula>_xlfn.IFS(K744="",TRUE)</formula>
    </cfRule>
    <cfRule type="expression" dxfId="285" priority="2224">
      <formula>_xlfn.IFS(K744="T1",TRUE)</formula>
    </cfRule>
  </conditionalFormatting>
  <conditionalFormatting sqref="E744:E752">
    <cfRule type="expression" priority="2221">
      <formula>_xlfn.IFS(L744="",TRUE)</formula>
    </cfRule>
    <cfRule type="expression" dxfId="284" priority="2222">
      <formula>_xlfn.IFS(K744="T2",TRUE)</formula>
    </cfRule>
  </conditionalFormatting>
  <conditionalFormatting sqref="D638:D640">
    <cfRule type="expression" priority="2219">
      <formula>_xlfn.IFS(K638="",TRUE)</formula>
    </cfRule>
    <cfRule type="expression" dxfId="283" priority="2220">
      <formula>_xlfn.IFS(K638="T1",TRUE)</formula>
    </cfRule>
  </conditionalFormatting>
  <conditionalFormatting sqref="E638:E640">
    <cfRule type="expression" priority="2217">
      <formula>_xlfn.IFS(L638="",TRUE)</formula>
    </cfRule>
    <cfRule type="expression" dxfId="282" priority="2218">
      <formula>_xlfn.IFS(K638="T2",TRUE)</formula>
    </cfRule>
  </conditionalFormatting>
  <conditionalFormatting sqref="D673">
    <cfRule type="expression" priority="2215">
      <formula>_xlfn.IFS(K673="",TRUE)</formula>
    </cfRule>
    <cfRule type="expression" dxfId="281" priority="2216">
      <formula>_xlfn.IFS(K673="T1",TRUE)</formula>
    </cfRule>
  </conditionalFormatting>
  <conditionalFormatting sqref="E673">
    <cfRule type="expression" priority="2213">
      <formula>_xlfn.IFS(L673="",TRUE)</formula>
    </cfRule>
    <cfRule type="expression" dxfId="280" priority="2214">
      <formula>_xlfn.IFS(K673="T2",TRUE)</formula>
    </cfRule>
  </conditionalFormatting>
  <conditionalFormatting sqref="D674:D682">
    <cfRule type="expression" priority="2211">
      <formula>_xlfn.IFS(K674="",TRUE)</formula>
    </cfRule>
    <cfRule type="expression" dxfId="279" priority="2212">
      <formula>_xlfn.IFS(K674="T1",TRUE)</formula>
    </cfRule>
  </conditionalFormatting>
  <conditionalFormatting sqref="E674:E682">
    <cfRule type="expression" priority="2209">
      <formula>_xlfn.IFS(L674="",TRUE)</formula>
    </cfRule>
    <cfRule type="expression" dxfId="278" priority="2210">
      <formula>_xlfn.IFS(K674="T2",TRUE)</formula>
    </cfRule>
  </conditionalFormatting>
  <conditionalFormatting sqref="D389:D395">
    <cfRule type="expression" priority="2207">
      <formula>_xlfn.IFS(H389="",TRUE)</formula>
    </cfRule>
    <cfRule type="expression" dxfId="277" priority="2208">
      <formula>_xlfn.IFS(H389="T1",TRUE)</formula>
    </cfRule>
  </conditionalFormatting>
  <conditionalFormatting sqref="E389:E395">
    <cfRule type="expression" priority="2205">
      <formula>_xlfn.IFS(I389="",TRUE)</formula>
    </cfRule>
    <cfRule type="expression" dxfId="276" priority="2206">
      <formula>_xlfn.IFS(H389="T2",TRUE)</formula>
    </cfRule>
  </conditionalFormatting>
  <conditionalFormatting sqref="D149">
    <cfRule type="expression" priority="2203">
      <formula>_xlfn.IFS(K149="",TRUE)</formula>
    </cfRule>
    <cfRule type="expression" dxfId="275" priority="2204">
      <formula>_xlfn.IFS(K149="T1",TRUE)</formula>
    </cfRule>
  </conditionalFormatting>
  <conditionalFormatting sqref="E149">
    <cfRule type="expression" priority="2201">
      <formula>_xlfn.IFS(L149="",TRUE)</formula>
    </cfRule>
    <cfRule type="expression" dxfId="274" priority="2202">
      <formula>_xlfn.IFS(K149="T2",TRUE)</formula>
    </cfRule>
  </conditionalFormatting>
  <conditionalFormatting sqref="D150:D158">
    <cfRule type="expression" priority="2199">
      <formula>_xlfn.IFS(K150="",TRUE)</formula>
    </cfRule>
    <cfRule type="expression" dxfId="273" priority="2200">
      <formula>_xlfn.IFS(K150="T1",TRUE)</formula>
    </cfRule>
  </conditionalFormatting>
  <conditionalFormatting sqref="E150:E158">
    <cfRule type="expression" priority="2197">
      <formula>_xlfn.IFS(L150="",TRUE)</formula>
    </cfRule>
    <cfRule type="expression" dxfId="272" priority="2198">
      <formula>_xlfn.IFS(K150="T2",TRUE)</formula>
    </cfRule>
  </conditionalFormatting>
  <conditionalFormatting sqref="D305">
    <cfRule type="expression" priority="2195">
      <formula>_xlfn.IFS(K305="",TRUE)</formula>
    </cfRule>
    <cfRule type="expression" dxfId="271" priority="2196">
      <formula>_xlfn.IFS(K305="T1",TRUE)</formula>
    </cfRule>
  </conditionalFormatting>
  <conditionalFormatting sqref="E305">
    <cfRule type="expression" priority="2193">
      <formula>_xlfn.IFS(L305="",TRUE)</formula>
    </cfRule>
    <cfRule type="expression" dxfId="270" priority="2194">
      <formula>_xlfn.IFS(K305="T2",TRUE)</formula>
    </cfRule>
  </conditionalFormatting>
  <conditionalFormatting sqref="D306:D314">
    <cfRule type="expression" priority="2191">
      <formula>_xlfn.IFS(K306="",TRUE)</formula>
    </cfRule>
    <cfRule type="expression" dxfId="269" priority="2192">
      <formula>_xlfn.IFS(K306="T1",TRUE)</formula>
    </cfRule>
  </conditionalFormatting>
  <conditionalFormatting sqref="E306:E314">
    <cfRule type="expression" priority="2189">
      <formula>_xlfn.IFS(L306="",TRUE)</formula>
    </cfRule>
    <cfRule type="expression" dxfId="268" priority="2190">
      <formula>_xlfn.IFS(K306="T2",TRUE)</formula>
    </cfRule>
  </conditionalFormatting>
  <conditionalFormatting sqref="P587:P592">
    <cfRule type="expression" dxfId="267" priority="1727">
      <formula>AND(NOT(L587=P587),NOT(P587=""))</formula>
    </cfRule>
    <cfRule type="expression" dxfId="266" priority="1728">
      <formula>AND((L587=P587),NOT(P587=""))</formula>
    </cfRule>
  </conditionalFormatting>
  <conditionalFormatting sqref="P587">
    <cfRule type="expression" priority="1726">
      <formula>(P587="")</formula>
    </cfRule>
  </conditionalFormatting>
  <conditionalFormatting sqref="P588">
    <cfRule type="expression" dxfId="265" priority="1715">
      <formula>IF(M588="NO BET", TRUE, FALSE)</formula>
    </cfRule>
    <cfRule type="expression" priority="1725">
      <formula>(P588="")</formula>
    </cfRule>
  </conditionalFormatting>
  <conditionalFormatting sqref="P589">
    <cfRule type="expression" priority="1724">
      <formula>(P589="")</formula>
    </cfRule>
  </conditionalFormatting>
  <conditionalFormatting sqref="P590">
    <cfRule type="expression" priority="1723">
      <formula>(P590="")</formula>
    </cfRule>
  </conditionalFormatting>
  <conditionalFormatting sqref="P591">
    <cfRule type="expression" priority="1722">
      <formula>(P591="")</formula>
    </cfRule>
  </conditionalFormatting>
  <conditionalFormatting sqref="P592">
    <cfRule type="expression" priority="1721">
      <formula>(P592="")</formula>
    </cfRule>
  </conditionalFormatting>
  <conditionalFormatting sqref="P588">
    <cfRule type="expression" priority="1720">
      <formula>(P588="")</formula>
    </cfRule>
  </conditionalFormatting>
  <conditionalFormatting sqref="P589">
    <cfRule type="expression" priority="1719">
      <formula>(P589="")</formula>
    </cfRule>
  </conditionalFormatting>
  <conditionalFormatting sqref="P590">
    <cfRule type="expression" priority="1718">
      <formula>(P590="")</formula>
    </cfRule>
  </conditionalFormatting>
  <conditionalFormatting sqref="P591">
    <cfRule type="expression" priority="1717">
      <formula>(P591="")</formula>
    </cfRule>
  </conditionalFormatting>
  <conditionalFormatting sqref="P592">
    <cfRule type="expression" priority="1716">
      <formula>(P592="")</formula>
    </cfRule>
  </conditionalFormatting>
  <conditionalFormatting sqref="P587">
    <cfRule type="expression" dxfId="264" priority="1712">
      <formula>IF(M587="NO BET", TRUE, FALSE)</formula>
    </cfRule>
    <cfRule type="expression" priority="1714">
      <formula>(P587="")</formula>
    </cfRule>
  </conditionalFormatting>
  <conditionalFormatting sqref="P587">
    <cfRule type="expression" priority="1713">
      <formula>(P587="")</formula>
    </cfRule>
  </conditionalFormatting>
  <conditionalFormatting sqref="P589">
    <cfRule type="expression" priority="1711">
      <formula>(P589="")</formula>
    </cfRule>
  </conditionalFormatting>
  <conditionalFormatting sqref="P590">
    <cfRule type="expression" dxfId="263" priority="1708">
      <formula>IF(M590="NO BET", TRUE, FALSE)</formula>
    </cfRule>
    <cfRule type="expression" priority="1710">
      <formula>(P590="")</formula>
    </cfRule>
  </conditionalFormatting>
  <conditionalFormatting sqref="P590">
    <cfRule type="expression" priority="1709">
      <formula>(P590="")</formula>
    </cfRule>
  </conditionalFormatting>
  <conditionalFormatting sqref="P589">
    <cfRule type="expression" dxfId="262" priority="1705">
      <formula>IF(M589="NO BET", TRUE, FALSE)</formula>
    </cfRule>
    <cfRule type="expression" priority="1707">
      <formula>(P589="")</formula>
    </cfRule>
  </conditionalFormatting>
  <conditionalFormatting sqref="P589">
    <cfRule type="expression" priority="1706">
      <formula>(P589="")</formula>
    </cfRule>
  </conditionalFormatting>
  <conditionalFormatting sqref="P591">
    <cfRule type="expression" priority="1704">
      <formula>(P591="")</formula>
    </cfRule>
  </conditionalFormatting>
  <conditionalFormatting sqref="P592">
    <cfRule type="expression" dxfId="261" priority="1701">
      <formula>IF(M592="NO BET", TRUE, FALSE)</formula>
    </cfRule>
    <cfRule type="expression" priority="1703">
      <formula>(P592="")</formula>
    </cfRule>
  </conditionalFormatting>
  <conditionalFormatting sqref="P592">
    <cfRule type="expression" priority="1702">
      <formula>(P592="")</formula>
    </cfRule>
  </conditionalFormatting>
  <conditionalFormatting sqref="P591">
    <cfRule type="expression" dxfId="260" priority="1698">
      <formula>IF(M591="NO BET", TRUE, FALSE)</formula>
    </cfRule>
    <cfRule type="expression" priority="1700">
      <formula>(P591="")</formula>
    </cfRule>
  </conditionalFormatting>
  <conditionalFormatting sqref="P591">
    <cfRule type="expression" priority="1699">
      <formula>(P591="")</formula>
    </cfRule>
  </conditionalFormatting>
  <conditionalFormatting sqref="P593:P596">
    <cfRule type="expression" dxfId="259" priority="1696">
      <formula>AND(NOT(L593=P593),NOT(P593=""))</formula>
    </cfRule>
    <cfRule type="expression" dxfId="258" priority="1697">
      <formula>AND((L593=P593),NOT(P593=""))</formula>
    </cfRule>
  </conditionalFormatting>
  <conditionalFormatting sqref="P593">
    <cfRule type="expression" priority="1695">
      <formula>(P593="")</formula>
    </cfRule>
  </conditionalFormatting>
  <conditionalFormatting sqref="P594">
    <cfRule type="expression" dxfId="257" priority="1688">
      <formula>IF(M594="NO BET", TRUE, FALSE)</formula>
    </cfRule>
    <cfRule type="expression" priority="1694">
      <formula>(P594="")</formula>
    </cfRule>
  </conditionalFormatting>
  <conditionalFormatting sqref="P595">
    <cfRule type="expression" priority="1693">
      <formula>(P595="")</formula>
    </cfRule>
  </conditionalFormatting>
  <conditionalFormatting sqref="P596">
    <cfRule type="expression" priority="1692">
      <formula>(P596="")</formula>
    </cfRule>
  </conditionalFormatting>
  <conditionalFormatting sqref="P594">
    <cfRule type="expression" priority="1691">
      <formula>(P594="")</formula>
    </cfRule>
  </conditionalFormatting>
  <conditionalFormatting sqref="P595">
    <cfRule type="expression" priority="1690">
      <formula>(P595="")</formula>
    </cfRule>
  </conditionalFormatting>
  <conditionalFormatting sqref="P596">
    <cfRule type="expression" priority="1689">
      <formula>(P596="")</formula>
    </cfRule>
  </conditionalFormatting>
  <conditionalFormatting sqref="P593">
    <cfRule type="expression" dxfId="256" priority="1685">
      <formula>IF(M593="NO BET", TRUE, FALSE)</formula>
    </cfRule>
    <cfRule type="expression" priority="1687">
      <formula>(P593="")</formula>
    </cfRule>
  </conditionalFormatting>
  <conditionalFormatting sqref="P593">
    <cfRule type="expression" priority="1686">
      <formula>(P593="")</formula>
    </cfRule>
  </conditionalFormatting>
  <conditionalFormatting sqref="P595">
    <cfRule type="expression" priority="1684">
      <formula>(P595="")</formula>
    </cfRule>
  </conditionalFormatting>
  <conditionalFormatting sqref="P596">
    <cfRule type="expression" dxfId="255" priority="1681">
      <formula>IF(M596="NO BET", TRUE, FALSE)</formula>
    </cfRule>
    <cfRule type="expression" priority="1683">
      <formula>(P596="")</formula>
    </cfRule>
  </conditionalFormatting>
  <conditionalFormatting sqref="P596">
    <cfRule type="expression" priority="1682">
      <formula>(P596="")</formula>
    </cfRule>
  </conditionalFormatting>
  <conditionalFormatting sqref="P595">
    <cfRule type="expression" dxfId="254" priority="1678">
      <formula>IF(M595="NO BET", TRUE, FALSE)</formula>
    </cfRule>
    <cfRule type="expression" priority="1680">
      <formula>(P595="")</formula>
    </cfRule>
  </conditionalFormatting>
  <conditionalFormatting sqref="P595">
    <cfRule type="expression" priority="1679">
      <formula>(P595="")</formula>
    </cfRule>
  </conditionalFormatting>
  <conditionalFormatting sqref="P275:P280">
    <cfRule type="expression" dxfId="253" priority="1268">
      <formula>AND(NOT(L275=P275),NOT(P275=""))</formula>
    </cfRule>
    <cfRule type="expression" dxfId="252" priority="1269">
      <formula>AND((L275=P275),NOT(P275=""))</formula>
    </cfRule>
  </conditionalFormatting>
  <conditionalFormatting sqref="P275">
    <cfRule type="expression" priority="1267">
      <formula>(P275="")</formula>
    </cfRule>
  </conditionalFormatting>
  <conditionalFormatting sqref="P276">
    <cfRule type="expression" dxfId="251" priority="1256">
      <formula>IF(M276="NO BET", TRUE, FALSE)</formula>
    </cfRule>
    <cfRule type="expression" priority="1266">
      <formula>(P276="")</formula>
    </cfRule>
  </conditionalFormatting>
  <conditionalFormatting sqref="P277">
    <cfRule type="expression" priority="1265">
      <formula>(P277="")</formula>
    </cfRule>
  </conditionalFormatting>
  <conditionalFormatting sqref="P278">
    <cfRule type="expression" priority="1264">
      <formula>(P278="")</formula>
    </cfRule>
  </conditionalFormatting>
  <conditionalFormatting sqref="P279">
    <cfRule type="expression" priority="1263">
      <formula>(P279="")</formula>
    </cfRule>
  </conditionalFormatting>
  <conditionalFormatting sqref="P280">
    <cfRule type="expression" priority="1262">
      <formula>(P280="")</formula>
    </cfRule>
  </conditionalFormatting>
  <conditionalFormatting sqref="P276">
    <cfRule type="expression" priority="1261">
      <formula>(P276="")</formula>
    </cfRule>
  </conditionalFormatting>
  <conditionalFormatting sqref="P277">
    <cfRule type="expression" priority="1260">
      <formula>(P277="")</formula>
    </cfRule>
  </conditionalFormatting>
  <conditionalFormatting sqref="P278">
    <cfRule type="expression" priority="1259">
      <formula>(P278="")</formula>
    </cfRule>
  </conditionalFormatting>
  <conditionalFormatting sqref="P279">
    <cfRule type="expression" priority="1258">
      <formula>(P279="")</formula>
    </cfRule>
  </conditionalFormatting>
  <conditionalFormatting sqref="P280">
    <cfRule type="expression" priority="1257">
      <formula>(P280="")</formula>
    </cfRule>
  </conditionalFormatting>
  <conditionalFormatting sqref="P275">
    <cfRule type="expression" dxfId="250" priority="1253">
      <formula>IF(M275="NO BET", TRUE, FALSE)</formula>
    </cfRule>
    <cfRule type="expression" priority="1255">
      <formula>(P275="")</formula>
    </cfRule>
  </conditionalFormatting>
  <conditionalFormatting sqref="P275">
    <cfRule type="expression" priority="1254">
      <formula>(P275="")</formula>
    </cfRule>
  </conditionalFormatting>
  <conditionalFormatting sqref="P277">
    <cfRule type="expression" priority="1252">
      <formula>(P277="")</formula>
    </cfRule>
  </conditionalFormatting>
  <conditionalFormatting sqref="P278">
    <cfRule type="expression" dxfId="249" priority="1249">
      <formula>IF(M278="NO BET", TRUE, FALSE)</formula>
    </cfRule>
    <cfRule type="expression" priority="1251">
      <formula>(P278="")</formula>
    </cfRule>
  </conditionalFormatting>
  <conditionalFormatting sqref="P278">
    <cfRule type="expression" priority="1250">
      <formula>(P278="")</formula>
    </cfRule>
  </conditionalFormatting>
  <conditionalFormatting sqref="P277">
    <cfRule type="expression" dxfId="248" priority="1246">
      <formula>IF(M277="NO BET", TRUE, FALSE)</formula>
    </cfRule>
    <cfRule type="expression" priority="1248">
      <formula>(P277="")</formula>
    </cfRule>
  </conditionalFormatting>
  <conditionalFormatting sqref="P277">
    <cfRule type="expression" priority="1247">
      <formula>(P277="")</formula>
    </cfRule>
  </conditionalFormatting>
  <conditionalFormatting sqref="P279">
    <cfRule type="expression" priority="1245">
      <formula>(P279="")</formula>
    </cfRule>
  </conditionalFormatting>
  <conditionalFormatting sqref="P280">
    <cfRule type="expression" dxfId="247" priority="1242">
      <formula>IF(M280="NO BET", TRUE, FALSE)</formula>
    </cfRule>
    <cfRule type="expression" priority="1244">
      <formula>(P280="")</formula>
    </cfRule>
  </conditionalFormatting>
  <conditionalFormatting sqref="P280">
    <cfRule type="expression" priority="1243">
      <formula>(P280="")</formula>
    </cfRule>
  </conditionalFormatting>
  <conditionalFormatting sqref="P279">
    <cfRule type="expression" dxfId="246" priority="1239">
      <formula>IF(M279="NO BET", TRUE, FALSE)</formula>
    </cfRule>
    <cfRule type="expression" priority="1241">
      <formula>(P279="")</formula>
    </cfRule>
  </conditionalFormatting>
  <conditionalFormatting sqref="P279">
    <cfRule type="expression" priority="1240">
      <formula>(P279="")</formula>
    </cfRule>
  </conditionalFormatting>
  <conditionalFormatting sqref="P281:P284">
    <cfRule type="expression" dxfId="245" priority="1237">
      <formula>AND(NOT(L281=P281),NOT(P281=""))</formula>
    </cfRule>
    <cfRule type="expression" dxfId="244" priority="1238">
      <formula>AND((L281=P281),NOT(P281=""))</formula>
    </cfRule>
  </conditionalFormatting>
  <conditionalFormatting sqref="P281">
    <cfRule type="expression" priority="1236">
      <formula>(P281="")</formula>
    </cfRule>
  </conditionalFormatting>
  <conditionalFormatting sqref="P282">
    <cfRule type="expression" dxfId="243" priority="1229">
      <formula>IF(M282="NO BET", TRUE, FALSE)</formula>
    </cfRule>
    <cfRule type="expression" priority="1235">
      <formula>(P282="")</formula>
    </cfRule>
  </conditionalFormatting>
  <conditionalFormatting sqref="P283">
    <cfRule type="expression" priority="1234">
      <formula>(P283="")</formula>
    </cfRule>
  </conditionalFormatting>
  <conditionalFormatting sqref="P284">
    <cfRule type="expression" priority="1233">
      <formula>(P284="")</formula>
    </cfRule>
  </conditionalFormatting>
  <conditionalFormatting sqref="P282">
    <cfRule type="expression" priority="1232">
      <formula>(P282="")</formula>
    </cfRule>
  </conditionalFormatting>
  <conditionalFormatting sqref="P283">
    <cfRule type="expression" priority="1231">
      <formula>(P283="")</formula>
    </cfRule>
  </conditionalFormatting>
  <conditionalFormatting sqref="P284">
    <cfRule type="expression" priority="1230">
      <formula>(P284="")</formula>
    </cfRule>
  </conditionalFormatting>
  <conditionalFormatting sqref="P281">
    <cfRule type="expression" dxfId="242" priority="1226">
      <formula>IF(M281="NO BET", TRUE, FALSE)</formula>
    </cfRule>
    <cfRule type="expression" priority="1228">
      <formula>(P281="")</formula>
    </cfRule>
  </conditionalFormatting>
  <conditionalFormatting sqref="P281">
    <cfRule type="expression" priority="1227">
      <formula>(P281="")</formula>
    </cfRule>
  </conditionalFormatting>
  <conditionalFormatting sqref="P283">
    <cfRule type="expression" priority="1225">
      <formula>(P283="")</formula>
    </cfRule>
  </conditionalFormatting>
  <conditionalFormatting sqref="P284">
    <cfRule type="expression" dxfId="241" priority="1222">
      <formula>IF(M284="NO BET", TRUE, FALSE)</formula>
    </cfRule>
    <cfRule type="expression" priority="1224">
      <formula>(P284="")</formula>
    </cfRule>
  </conditionalFormatting>
  <conditionalFormatting sqref="P284">
    <cfRule type="expression" priority="1223">
      <formula>(P284="")</formula>
    </cfRule>
  </conditionalFormatting>
  <conditionalFormatting sqref="P283">
    <cfRule type="expression" dxfId="240" priority="1219">
      <formula>IF(M283="NO BET", TRUE, FALSE)</formula>
    </cfRule>
    <cfRule type="expression" priority="1221">
      <formula>(P283="")</formula>
    </cfRule>
  </conditionalFormatting>
  <conditionalFormatting sqref="P283">
    <cfRule type="expression" priority="1220">
      <formula>(P283="")</formula>
    </cfRule>
  </conditionalFormatting>
  <conditionalFormatting sqref="P261:P266">
    <cfRule type="expression" dxfId="239" priority="1217">
      <formula>AND(NOT(L261=P261),NOT(P261=""))</formula>
    </cfRule>
    <cfRule type="expression" dxfId="238" priority="1218">
      <formula>AND((L261=P261),NOT(P261=""))</formula>
    </cfRule>
  </conditionalFormatting>
  <conditionalFormatting sqref="P261">
    <cfRule type="expression" priority="1216">
      <formula>(P261="")</formula>
    </cfRule>
  </conditionalFormatting>
  <conditionalFormatting sqref="P262">
    <cfRule type="expression" dxfId="237" priority="1205">
      <formula>IF(M262="NO BET", TRUE, FALSE)</formula>
    </cfRule>
    <cfRule type="expression" priority="1215">
      <formula>(P262="")</formula>
    </cfRule>
  </conditionalFormatting>
  <conditionalFormatting sqref="P263">
    <cfRule type="expression" priority="1214">
      <formula>(P263="")</formula>
    </cfRule>
  </conditionalFormatting>
  <conditionalFormatting sqref="P264">
    <cfRule type="expression" priority="1213">
      <formula>(P264="")</formula>
    </cfRule>
  </conditionalFormatting>
  <conditionalFormatting sqref="P265">
    <cfRule type="expression" priority="1212">
      <formula>(P265="")</formula>
    </cfRule>
  </conditionalFormatting>
  <conditionalFormatting sqref="P266">
    <cfRule type="expression" priority="1211">
      <formula>(P266="")</formula>
    </cfRule>
  </conditionalFormatting>
  <conditionalFormatting sqref="P262">
    <cfRule type="expression" priority="1210">
      <formula>(P262="")</formula>
    </cfRule>
  </conditionalFormatting>
  <conditionalFormatting sqref="P263">
    <cfRule type="expression" priority="1209">
      <formula>(P263="")</formula>
    </cfRule>
  </conditionalFormatting>
  <conditionalFormatting sqref="P264">
    <cfRule type="expression" priority="1208">
      <formula>(P264="")</formula>
    </cfRule>
  </conditionalFormatting>
  <conditionalFormatting sqref="P265">
    <cfRule type="expression" priority="1207">
      <formula>(P265="")</formula>
    </cfRule>
  </conditionalFormatting>
  <conditionalFormatting sqref="P266">
    <cfRule type="expression" priority="1206">
      <formula>(P266="")</formula>
    </cfRule>
  </conditionalFormatting>
  <conditionalFormatting sqref="P261">
    <cfRule type="expression" dxfId="236" priority="1202">
      <formula>IF(M261="NO BET", TRUE, FALSE)</formula>
    </cfRule>
    <cfRule type="expression" priority="1204">
      <formula>(P261="")</formula>
    </cfRule>
  </conditionalFormatting>
  <conditionalFormatting sqref="P261">
    <cfRule type="expression" priority="1203">
      <formula>(P261="")</formula>
    </cfRule>
  </conditionalFormatting>
  <conditionalFormatting sqref="P263">
    <cfRule type="expression" priority="1201">
      <formula>(P263="")</formula>
    </cfRule>
  </conditionalFormatting>
  <conditionalFormatting sqref="P264">
    <cfRule type="expression" dxfId="235" priority="1198">
      <formula>IF(M264="NO BET", TRUE, FALSE)</formula>
    </cfRule>
    <cfRule type="expression" priority="1200">
      <formula>(P264="")</formula>
    </cfRule>
  </conditionalFormatting>
  <conditionalFormatting sqref="P264">
    <cfRule type="expression" priority="1199">
      <formula>(P264="")</formula>
    </cfRule>
  </conditionalFormatting>
  <conditionalFormatting sqref="P263">
    <cfRule type="expression" dxfId="234" priority="1195">
      <formula>IF(M263="NO BET", TRUE, FALSE)</formula>
    </cfRule>
    <cfRule type="expression" priority="1197">
      <formula>(P263="")</formula>
    </cfRule>
  </conditionalFormatting>
  <conditionalFormatting sqref="P263">
    <cfRule type="expression" priority="1196">
      <formula>(P263="")</formula>
    </cfRule>
  </conditionalFormatting>
  <conditionalFormatting sqref="P265">
    <cfRule type="expression" priority="1194">
      <formula>(P265="")</formula>
    </cfRule>
  </conditionalFormatting>
  <conditionalFormatting sqref="P266">
    <cfRule type="expression" dxfId="233" priority="1191">
      <formula>IF(M266="NO BET", TRUE, FALSE)</formula>
    </cfRule>
    <cfRule type="expression" priority="1193">
      <formula>(P266="")</formula>
    </cfRule>
  </conditionalFormatting>
  <conditionalFormatting sqref="P266">
    <cfRule type="expression" priority="1192">
      <formula>(P266="")</formula>
    </cfRule>
  </conditionalFormatting>
  <conditionalFormatting sqref="P265">
    <cfRule type="expression" dxfId="232" priority="1188">
      <formula>IF(M265="NO BET", TRUE, FALSE)</formula>
    </cfRule>
    <cfRule type="expression" priority="1190">
      <formula>(P265="")</formula>
    </cfRule>
  </conditionalFormatting>
  <conditionalFormatting sqref="P265">
    <cfRule type="expression" priority="1189">
      <formula>(P265="")</formula>
    </cfRule>
  </conditionalFormatting>
  <conditionalFormatting sqref="P267:P270">
    <cfRule type="expression" dxfId="231" priority="1186">
      <formula>AND(NOT(L267=P267),NOT(P267=""))</formula>
    </cfRule>
    <cfRule type="expression" dxfId="230" priority="1187">
      <formula>AND((L267=P267),NOT(P267=""))</formula>
    </cfRule>
  </conditionalFormatting>
  <conditionalFormatting sqref="P267">
    <cfRule type="expression" priority="1185">
      <formula>(P267="")</formula>
    </cfRule>
  </conditionalFormatting>
  <conditionalFormatting sqref="P268">
    <cfRule type="expression" dxfId="229" priority="1178">
      <formula>IF(M268="NO BET", TRUE, FALSE)</formula>
    </cfRule>
    <cfRule type="expression" priority="1184">
      <formula>(P268="")</formula>
    </cfRule>
  </conditionalFormatting>
  <conditionalFormatting sqref="P269">
    <cfRule type="expression" priority="1183">
      <formula>(P269="")</formula>
    </cfRule>
  </conditionalFormatting>
  <conditionalFormatting sqref="P270">
    <cfRule type="expression" priority="1182">
      <formula>(P270="")</formula>
    </cfRule>
  </conditionalFormatting>
  <conditionalFormatting sqref="P268">
    <cfRule type="expression" priority="1181">
      <formula>(P268="")</formula>
    </cfRule>
  </conditionalFormatting>
  <conditionalFormatting sqref="P269">
    <cfRule type="expression" priority="1180">
      <formula>(P269="")</formula>
    </cfRule>
  </conditionalFormatting>
  <conditionalFormatting sqref="P270">
    <cfRule type="expression" priority="1179">
      <formula>(P270="")</formula>
    </cfRule>
  </conditionalFormatting>
  <conditionalFormatting sqref="P267">
    <cfRule type="expression" dxfId="228" priority="1175">
      <formula>IF(M267="NO BET", TRUE, FALSE)</formula>
    </cfRule>
    <cfRule type="expression" priority="1177">
      <formula>(P267="")</formula>
    </cfRule>
  </conditionalFormatting>
  <conditionalFormatting sqref="P267">
    <cfRule type="expression" priority="1176">
      <formula>(P267="")</formula>
    </cfRule>
  </conditionalFormatting>
  <conditionalFormatting sqref="P269">
    <cfRule type="expression" priority="1174">
      <formula>(P269="")</formula>
    </cfRule>
  </conditionalFormatting>
  <conditionalFormatting sqref="P270">
    <cfRule type="expression" dxfId="227" priority="1171">
      <formula>IF(M270="NO BET", TRUE, FALSE)</formula>
    </cfRule>
    <cfRule type="expression" priority="1173">
      <formula>(P270="")</formula>
    </cfRule>
  </conditionalFormatting>
  <conditionalFormatting sqref="P270">
    <cfRule type="expression" priority="1172">
      <formula>(P270="")</formula>
    </cfRule>
  </conditionalFormatting>
  <conditionalFormatting sqref="P269">
    <cfRule type="expression" dxfId="226" priority="1168">
      <formula>IF(M269="NO BET", TRUE, FALSE)</formula>
    </cfRule>
    <cfRule type="expression" priority="1170">
      <formula>(P269="")</formula>
    </cfRule>
  </conditionalFormatting>
  <conditionalFormatting sqref="P269">
    <cfRule type="expression" priority="1169">
      <formula>(P269="")</formula>
    </cfRule>
  </conditionalFormatting>
  <conditionalFormatting sqref="R618:R626">
    <cfRule type="expression" dxfId="225" priority="598">
      <formula>R618=0</formula>
    </cfRule>
  </conditionalFormatting>
  <conditionalFormatting sqref="R617">
    <cfRule type="expression" dxfId="224" priority="597">
      <formula>R617=0</formula>
    </cfRule>
  </conditionalFormatting>
  <conditionalFormatting sqref="G389:G395">
    <cfRule type="expression" priority="595">
      <formula>_xlfn.IFS(K389="",TRUE)</formula>
    </cfRule>
    <cfRule type="expression" dxfId="223" priority="596">
      <formula>_xlfn.IFS(K389="T1",TRUE)</formula>
    </cfRule>
  </conditionalFormatting>
  <conditionalFormatting sqref="H389:H395">
    <cfRule type="expression" priority="593">
      <formula>_xlfn.IFS(L389="",TRUE)</formula>
    </cfRule>
    <cfRule type="expression" dxfId="222" priority="594">
      <formula>_xlfn.IFS(K389="T2",TRUE)</formula>
    </cfRule>
  </conditionalFormatting>
  <conditionalFormatting sqref="P149">
    <cfRule type="expression" priority="566">
      <formula>(P149="")</formula>
    </cfRule>
    <cfRule type="expression" dxfId="221" priority="567">
      <formula>AND(NOT(K149=P149),NOT(P149=""))</formula>
    </cfRule>
    <cfRule type="expression" dxfId="220" priority="568">
      <formula>AND((K149=P149),NOT(P149=""))</formula>
    </cfRule>
  </conditionalFormatting>
  <conditionalFormatting sqref="P149">
    <cfRule type="expression" dxfId="219" priority="565">
      <formula>IF(L149="NO BET", TRUE, FALSE)</formula>
    </cfRule>
  </conditionalFormatting>
  <conditionalFormatting sqref="P150:P158">
    <cfRule type="expression" priority="452">
      <formula>(P150="")</formula>
    </cfRule>
    <cfRule type="expression" dxfId="218" priority="453">
      <formula>AND(NOT(K150=P150),NOT(P150=""))</formula>
    </cfRule>
    <cfRule type="expression" dxfId="217" priority="454">
      <formula>AND((K150=P150),NOT(P150=""))</formula>
    </cfRule>
  </conditionalFormatting>
  <conditionalFormatting sqref="P150:P158">
    <cfRule type="expression" dxfId="216" priority="451">
      <formula>IF(L150="NO BET", TRUE, FALSE)</formula>
    </cfRule>
  </conditionalFormatting>
  <conditionalFormatting sqref="P163">
    <cfRule type="expression" priority="448">
      <formula>(P163="")</formula>
    </cfRule>
    <cfRule type="expression" dxfId="215" priority="449">
      <formula>AND(NOT(K163=P163),NOT(P163=""))</formula>
    </cfRule>
    <cfRule type="expression" dxfId="214" priority="450">
      <formula>AND((K163=P163),NOT(P163=""))</formula>
    </cfRule>
  </conditionalFormatting>
  <conditionalFormatting sqref="P163">
    <cfRule type="expression" dxfId="213" priority="447">
      <formula>IF(L163="NO BET", TRUE, FALSE)</formula>
    </cfRule>
  </conditionalFormatting>
  <conditionalFormatting sqref="P164:P172">
    <cfRule type="expression" priority="444">
      <formula>(P164="")</formula>
    </cfRule>
    <cfRule type="expression" dxfId="212" priority="445">
      <formula>AND(NOT(K164=P164),NOT(P164=""))</formula>
    </cfRule>
    <cfRule type="expression" dxfId="211" priority="446">
      <formula>AND((K164=P164),NOT(P164=""))</formula>
    </cfRule>
  </conditionalFormatting>
  <conditionalFormatting sqref="P164:P172">
    <cfRule type="expression" dxfId="210" priority="443">
      <formula>IF(L164="NO BET", TRUE, FALSE)</formula>
    </cfRule>
  </conditionalFormatting>
  <conditionalFormatting sqref="P177">
    <cfRule type="expression" priority="440">
      <formula>(P177="")</formula>
    </cfRule>
    <cfRule type="expression" dxfId="209" priority="441">
      <formula>AND(NOT(K177=P177),NOT(P177=""))</formula>
    </cfRule>
    <cfRule type="expression" dxfId="208" priority="442">
      <formula>AND((K177=P177),NOT(P177=""))</formula>
    </cfRule>
  </conditionalFormatting>
  <conditionalFormatting sqref="P177">
    <cfRule type="expression" dxfId="207" priority="439">
      <formula>IF(L177="NO BET", TRUE, FALSE)</formula>
    </cfRule>
  </conditionalFormatting>
  <conditionalFormatting sqref="P178:P186">
    <cfRule type="expression" priority="436">
      <formula>(P178="")</formula>
    </cfRule>
    <cfRule type="expression" dxfId="206" priority="437">
      <formula>AND(NOT(K178=P178),NOT(P178=""))</formula>
    </cfRule>
    <cfRule type="expression" dxfId="205" priority="438">
      <formula>AND((K178=P178),NOT(P178=""))</formula>
    </cfRule>
  </conditionalFormatting>
  <conditionalFormatting sqref="P178:P186">
    <cfRule type="expression" dxfId="204" priority="435">
      <formula>IF(L178="NO BET", TRUE, FALSE)</formula>
    </cfRule>
  </conditionalFormatting>
  <conditionalFormatting sqref="P191">
    <cfRule type="expression" priority="432">
      <formula>(P191="")</formula>
    </cfRule>
    <cfRule type="expression" dxfId="203" priority="433">
      <formula>AND(NOT(K191=P191),NOT(P191=""))</formula>
    </cfRule>
    <cfRule type="expression" dxfId="202" priority="434">
      <formula>AND((K191=P191),NOT(P191=""))</formula>
    </cfRule>
  </conditionalFormatting>
  <conditionalFormatting sqref="P191">
    <cfRule type="expression" dxfId="201" priority="431">
      <formula>IF(L191="NO BET", TRUE, FALSE)</formula>
    </cfRule>
  </conditionalFormatting>
  <conditionalFormatting sqref="P192:P200">
    <cfRule type="expression" priority="428">
      <formula>(P192="")</formula>
    </cfRule>
    <cfRule type="expression" dxfId="200" priority="429">
      <formula>AND(NOT(K192=P192),NOT(P192=""))</formula>
    </cfRule>
    <cfRule type="expression" dxfId="199" priority="430">
      <formula>AND((K192=P192),NOT(P192=""))</formula>
    </cfRule>
  </conditionalFormatting>
  <conditionalFormatting sqref="P192:P200">
    <cfRule type="expression" dxfId="198" priority="427">
      <formula>IF(L192="NO BET", TRUE, FALSE)</formula>
    </cfRule>
  </conditionalFormatting>
  <conditionalFormatting sqref="P205">
    <cfRule type="expression" priority="424">
      <formula>(P205="")</formula>
    </cfRule>
    <cfRule type="expression" dxfId="197" priority="425">
      <formula>AND(NOT(K205=P205),NOT(P205=""))</formula>
    </cfRule>
    <cfRule type="expression" dxfId="196" priority="426">
      <formula>AND((K205=P205),NOT(P205=""))</formula>
    </cfRule>
  </conditionalFormatting>
  <conditionalFormatting sqref="P205">
    <cfRule type="expression" dxfId="195" priority="423">
      <formula>IF(L205="NO BET", TRUE, FALSE)</formula>
    </cfRule>
  </conditionalFormatting>
  <conditionalFormatting sqref="P206:P214">
    <cfRule type="expression" priority="420">
      <formula>(P206="")</formula>
    </cfRule>
    <cfRule type="expression" dxfId="194" priority="421">
      <formula>AND(NOT(K206=P206),NOT(P206=""))</formula>
    </cfRule>
    <cfRule type="expression" dxfId="193" priority="422">
      <formula>AND((K206=P206),NOT(P206=""))</formula>
    </cfRule>
  </conditionalFormatting>
  <conditionalFormatting sqref="P206:P214">
    <cfRule type="expression" dxfId="192" priority="419">
      <formula>IF(L206="NO BET", TRUE, FALSE)</formula>
    </cfRule>
  </conditionalFormatting>
  <conditionalFormatting sqref="P219">
    <cfRule type="expression" priority="416">
      <formula>(P219="")</formula>
    </cfRule>
    <cfRule type="expression" dxfId="191" priority="417">
      <formula>AND(NOT(K219=P219),NOT(P219=""))</formula>
    </cfRule>
    <cfRule type="expression" dxfId="190" priority="418">
      <formula>AND((K219=P219),NOT(P219=""))</formula>
    </cfRule>
  </conditionalFormatting>
  <conditionalFormatting sqref="P219">
    <cfRule type="expression" dxfId="189" priority="415">
      <formula>IF(L219="NO BET", TRUE, FALSE)</formula>
    </cfRule>
  </conditionalFormatting>
  <conditionalFormatting sqref="P220:P228">
    <cfRule type="expression" priority="412">
      <formula>(P220="")</formula>
    </cfRule>
    <cfRule type="expression" dxfId="188" priority="413">
      <formula>AND(NOT(K220=P220),NOT(P220=""))</formula>
    </cfRule>
    <cfRule type="expression" dxfId="187" priority="414">
      <formula>AND((K220=P220),NOT(P220=""))</formula>
    </cfRule>
  </conditionalFormatting>
  <conditionalFormatting sqref="P220:P228">
    <cfRule type="expression" dxfId="186" priority="411">
      <formula>IF(L220="NO BET", TRUE, FALSE)</formula>
    </cfRule>
  </conditionalFormatting>
  <conditionalFormatting sqref="P233">
    <cfRule type="expression" priority="408">
      <formula>(P233="")</formula>
    </cfRule>
    <cfRule type="expression" dxfId="185" priority="409">
      <formula>AND(NOT(K233=P233),NOT(P233=""))</formula>
    </cfRule>
    <cfRule type="expression" dxfId="184" priority="410">
      <formula>AND((K233=P233),NOT(P233=""))</formula>
    </cfRule>
  </conditionalFormatting>
  <conditionalFormatting sqref="P233">
    <cfRule type="expression" dxfId="183" priority="407">
      <formula>IF(L233="NO BET", TRUE, FALSE)</formula>
    </cfRule>
  </conditionalFormatting>
  <conditionalFormatting sqref="P234:P242">
    <cfRule type="expression" priority="404">
      <formula>(P234="")</formula>
    </cfRule>
    <cfRule type="expression" dxfId="182" priority="405">
      <formula>AND(NOT(K234=P234),NOT(P234=""))</formula>
    </cfRule>
    <cfRule type="expression" dxfId="181" priority="406">
      <formula>AND((K234=P234),NOT(P234=""))</formula>
    </cfRule>
  </conditionalFormatting>
  <conditionalFormatting sqref="P234:P242">
    <cfRule type="expression" dxfId="180" priority="403">
      <formula>IF(L234="NO BET", TRUE, FALSE)</formula>
    </cfRule>
  </conditionalFormatting>
  <conditionalFormatting sqref="P247">
    <cfRule type="expression" priority="400">
      <formula>(P247="")</formula>
    </cfRule>
    <cfRule type="expression" dxfId="179" priority="401">
      <formula>AND(NOT(K247=P247),NOT(P247=""))</formula>
    </cfRule>
    <cfRule type="expression" dxfId="178" priority="402">
      <formula>AND((K247=P247),NOT(P247=""))</formula>
    </cfRule>
  </conditionalFormatting>
  <conditionalFormatting sqref="P247">
    <cfRule type="expression" dxfId="177" priority="399">
      <formula>IF(L247="NO BET", TRUE, FALSE)</formula>
    </cfRule>
  </conditionalFormatting>
  <conditionalFormatting sqref="P248:P256">
    <cfRule type="expression" priority="396">
      <formula>(P248="")</formula>
    </cfRule>
    <cfRule type="expression" dxfId="176" priority="397">
      <formula>AND(NOT(K248=P248),NOT(P248=""))</formula>
    </cfRule>
    <cfRule type="expression" dxfId="175" priority="398">
      <formula>AND((K248=P248),NOT(P248=""))</formula>
    </cfRule>
  </conditionalFormatting>
  <conditionalFormatting sqref="P248:P256">
    <cfRule type="expression" dxfId="174" priority="395">
      <formula>IF(L248="NO BET", TRUE, FALSE)</formula>
    </cfRule>
  </conditionalFormatting>
  <conditionalFormatting sqref="P305">
    <cfRule type="expression" priority="392">
      <formula>(P305="")</formula>
    </cfRule>
    <cfRule type="expression" dxfId="173" priority="393">
      <formula>AND(NOT(K305=P305),NOT(P305=""))</formula>
    </cfRule>
    <cfRule type="expression" dxfId="172" priority="394">
      <formula>AND((K305=P305),NOT(P305=""))</formula>
    </cfRule>
  </conditionalFormatting>
  <conditionalFormatting sqref="P305">
    <cfRule type="expression" dxfId="171" priority="391">
      <formula>IF(L305="NO BET", TRUE, FALSE)</formula>
    </cfRule>
  </conditionalFormatting>
  <conditionalFormatting sqref="P306:P314">
    <cfRule type="expression" priority="388">
      <formula>(P306="")</formula>
    </cfRule>
    <cfRule type="expression" dxfId="170" priority="389">
      <formula>AND(NOT(K306=P306),NOT(P306=""))</formula>
    </cfRule>
    <cfRule type="expression" dxfId="169" priority="390">
      <formula>AND((K306=P306),NOT(P306=""))</formula>
    </cfRule>
  </conditionalFormatting>
  <conditionalFormatting sqref="P306:P314">
    <cfRule type="expression" dxfId="168" priority="387">
      <formula>IF(L306="NO BET", TRUE, FALSE)</formula>
    </cfRule>
  </conditionalFormatting>
  <conditionalFormatting sqref="P319">
    <cfRule type="expression" priority="384">
      <formula>(P319="")</formula>
    </cfRule>
    <cfRule type="expression" dxfId="167" priority="385">
      <formula>AND(NOT(K319=P319),NOT(P319=""))</formula>
    </cfRule>
    <cfRule type="expression" dxfId="166" priority="386">
      <formula>AND((K319=P319),NOT(P319=""))</formula>
    </cfRule>
  </conditionalFormatting>
  <conditionalFormatting sqref="P319">
    <cfRule type="expression" dxfId="165" priority="383">
      <formula>IF(L319="NO BET", TRUE, FALSE)</formula>
    </cfRule>
  </conditionalFormatting>
  <conditionalFormatting sqref="P320:P328">
    <cfRule type="expression" priority="380">
      <formula>(P320="")</formula>
    </cfRule>
    <cfRule type="expression" dxfId="164" priority="381">
      <formula>AND(NOT(K320=P320),NOT(P320=""))</formula>
    </cfRule>
    <cfRule type="expression" dxfId="163" priority="382">
      <formula>AND((K320=P320),NOT(P320=""))</formula>
    </cfRule>
  </conditionalFormatting>
  <conditionalFormatting sqref="P320:P328">
    <cfRule type="expression" dxfId="162" priority="379">
      <formula>IF(L320="NO BET", TRUE, FALSE)</formula>
    </cfRule>
  </conditionalFormatting>
  <conditionalFormatting sqref="P333">
    <cfRule type="expression" priority="376">
      <formula>(P333="")</formula>
    </cfRule>
    <cfRule type="expression" dxfId="161" priority="377">
      <formula>AND(NOT(K333=P333),NOT(P333=""))</formula>
    </cfRule>
    <cfRule type="expression" dxfId="160" priority="378">
      <formula>AND((K333=P333),NOT(P333=""))</formula>
    </cfRule>
  </conditionalFormatting>
  <conditionalFormatting sqref="P333">
    <cfRule type="expression" dxfId="159" priority="375">
      <formula>IF(L333="NO BET", TRUE, FALSE)</formula>
    </cfRule>
  </conditionalFormatting>
  <conditionalFormatting sqref="P334:P342">
    <cfRule type="expression" priority="372">
      <formula>(P334="")</formula>
    </cfRule>
    <cfRule type="expression" dxfId="158" priority="373">
      <formula>AND(NOT(K334=P334),NOT(P334=""))</formula>
    </cfRule>
    <cfRule type="expression" dxfId="157" priority="374">
      <formula>AND((K334=P334),NOT(P334=""))</formula>
    </cfRule>
  </conditionalFormatting>
  <conditionalFormatting sqref="P334:P342">
    <cfRule type="expression" dxfId="156" priority="371">
      <formula>IF(L334="NO BET", TRUE, FALSE)</formula>
    </cfRule>
  </conditionalFormatting>
  <conditionalFormatting sqref="P347">
    <cfRule type="expression" priority="368">
      <formula>(P347="")</formula>
    </cfRule>
    <cfRule type="expression" dxfId="155" priority="369">
      <formula>AND(NOT(K347=P347),NOT(P347=""))</formula>
    </cfRule>
    <cfRule type="expression" dxfId="154" priority="370">
      <formula>AND((K347=P347),NOT(P347=""))</formula>
    </cfRule>
  </conditionalFormatting>
  <conditionalFormatting sqref="P347">
    <cfRule type="expression" dxfId="153" priority="367">
      <formula>IF(L347="NO BET", TRUE, FALSE)</formula>
    </cfRule>
  </conditionalFormatting>
  <conditionalFormatting sqref="P348:P356">
    <cfRule type="expression" priority="364">
      <formula>(P348="")</formula>
    </cfRule>
    <cfRule type="expression" dxfId="152" priority="365">
      <formula>AND(NOT(K348=P348),NOT(P348=""))</formula>
    </cfRule>
    <cfRule type="expression" dxfId="151" priority="366">
      <formula>AND((K348=P348),NOT(P348=""))</formula>
    </cfRule>
  </conditionalFormatting>
  <conditionalFormatting sqref="P348:P356">
    <cfRule type="expression" dxfId="150" priority="363">
      <formula>IF(L348="NO BET", TRUE, FALSE)</formula>
    </cfRule>
  </conditionalFormatting>
  <conditionalFormatting sqref="P361">
    <cfRule type="expression" priority="360">
      <formula>(P361="")</formula>
    </cfRule>
    <cfRule type="expression" dxfId="149" priority="361">
      <formula>AND(NOT(K361=P361),NOT(P361=""))</formula>
    </cfRule>
    <cfRule type="expression" dxfId="148" priority="362">
      <formula>AND((K361=P361),NOT(P361=""))</formula>
    </cfRule>
  </conditionalFormatting>
  <conditionalFormatting sqref="P361">
    <cfRule type="expression" dxfId="147" priority="359">
      <formula>IF(L361="NO BET", TRUE, FALSE)</formula>
    </cfRule>
  </conditionalFormatting>
  <conditionalFormatting sqref="P362:P370">
    <cfRule type="expression" priority="356">
      <formula>(P362="")</formula>
    </cfRule>
    <cfRule type="expression" dxfId="146" priority="357">
      <formula>AND(NOT(K362=P362),NOT(P362=""))</formula>
    </cfRule>
    <cfRule type="expression" dxfId="145" priority="358">
      <formula>AND((K362=P362),NOT(P362=""))</formula>
    </cfRule>
  </conditionalFormatting>
  <conditionalFormatting sqref="P362:P370">
    <cfRule type="expression" dxfId="144" priority="355">
      <formula>IF(L362="NO BET", TRUE, FALSE)</formula>
    </cfRule>
  </conditionalFormatting>
  <conditionalFormatting sqref="P375">
    <cfRule type="expression" priority="352">
      <formula>(P375="")</formula>
    </cfRule>
    <cfRule type="expression" dxfId="143" priority="353">
      <formula>AND(NOT(K375=P375),NOT(P375=""))</formula>
    </cfRule>
    <cfRule type="expression" dxfId="142" priority="354">
      <formula>AND((K375=P375),NOT(P375=""))</formula>
    </cfRule>
  </conditionalFormatting>
  <conditionalFormatting sqref="P375">
    <cfRule type="expression" dxfId="141" priority="351">
      <formula>IF(L375="NO BET", TRUE, FALSE)</formula>
    </cfRule>
  </conditionalFormatting>
  <conditionalFormatting sqref="P376:P384">
    <cfRule type="expression" priority="348">
      <formula>(P376="")</formula>
    </cfRule>
    <cfRule type="expression" dxfId="140" priority="349">
      <formula>AND(NOT(K376=P376),NOT(P376=""))</formula>
    </cfRule>
    <cfRule type="expression" dxfId="139" priority="350">
      <formula>AND((K376=P376),NOT(P376=""))</formula>
    </cfRule>
  </conditionalFormatting>
  <conditionalFormatting sqref="P376:P384">
    <cfRule type="expression" dxfId="138" priority="347">
      <formula>IF(L376="NO BET", TRUE, FALSE)</formula>
    </cfRule>
  </conditionalFormatting>
  <conditionalFormatting sqref="P389">
    <cfRule type="expression" priority="344">
      <formula>(P389="")</formula>
    </cfRule>
    <cfRule type="expression" dxfId="137" priority="345">
      <formula>AND(NOT(K389=P389),NOT(P389=""))</formula>
    </cfRule>
    <cfRule type="expression" dxfId="136" priority="346">
      <formula>AND((K389=P389),NOT(P389=""))</formula>
    </cfRule>
  </conditionalFormatting>
  <conditionalFormatting sqref="P389">
    <cfRule type="expression" dxfId="135" priority="343">
      <formula>IF(L389="NO BET", TRUE, FALSE)</formula>
    </cfRule>
  </conditionalFormatting>
  <conditionalFormatting sqref="P390:P398">
    <cfRule type="expression" priority="340">
      <formula>(P390="")</formula>
    </cfRule>
    <cfRule type="expression" dxfId="134" priority="341">
      <formula>AND(NOT(K390=P390),NOT(P390=""))</formula>
    </cfRule>
    <cfRule type="expression" dxfId="133" priority="342">
      <formula>AND((K390=P390),NOT(P390=""))</formula>
    </cfRule>
  </conditionalFormatting>
  <conditionalFormatting sqref="P390:P398">
    <cfRule type="expression" dxfId="132" priority="339">
      <formula>IF(L390="NO BET", TRUE, FALSE)</formula>
    </cfRule>
  </conditionalFormatting>
  <conditionalFormatting sqref="P403">
    <cfRule type="expression" priority="336">
      <formula>(P403="")</formula>
    </cfRule>
    <cfRule type="expression" dxfId="131" priority="337">
      <formula>AND(NOT(K403=P403),NOT(P403=""))</formula>
    </cfRule>
    <cfRule type="expression" dxfId="130" priority="338">
      <formula>AND((K403=P403),NOT(P403=""))</formula>
    </cfRule>
  </conditionalFormatting>
  <conditionalFormatting sqref="P403">
    <cfRule type="expression" dxfId="129" priority="335">
      <formula>IF(L403="NO BET", TRUE, FALSE)</formula>
    </cfRule>
  </conditionalFormatting>
  <conditionalFormatting sqref="P404:P412">
    <cfRule type="expression" priority="332">
      <formula>(P404="")</formula>
    </cfRule>
    <cfRule type="expression" dxfId="128" priority="333">
      <formula>AND(NOT(K404=P404),NOT(P404=""))</formula>
    </cfRule>
    <cfRule type="expression" dxfId="127" priority="334">
      <formula>AND((K404=P404),NOT(P404=""))</formula>
    </cfRule>
  </conditionalFormatting>
  <conditionalFormatting sqref="P404:P412">
    <cfRule type="expression" dxfId="126" priority="331">
      <formula>IF(L404="NO BET", TRUE, FALSE)</formula>
    </cfRule>
  </conditionalFormatting>
  <conditionalFormatting sqref="P417">
    <cfRule type="expression" priority="328">
      <formula>(P417="")</formula>
    </cfRule>
    <cfRule type="expression" dxfId="125" priority="329">
      <formula>AND(NOT(K417=P417),NOT(P417=""))</formula>
    </cfRule>
    <cfRule type="expression" dxfId="124" priority="330">
      <formula>AND((K417=P417),NOT(P417=""))</formula>
    </cfRule>
  </conditionalFormatting>
  <conditionalFormatting sqref="P417">
    <cfRule type="expression" dxfId="123" priority="327">
      <formula>IF(L417="NO BET", TRUE, FALSE)</formula>
    </cfRule>
  </conditionalFormatting>
  <conditionalFormatting sqref="P418:P426">
    <cfRule type="expression" priority="324">
      <formula>(P418="")</formula>
    </cfRule>
    <cfRule type="expression" dxfId="122" priority="325">
      <formula>AND(NOT(K418=P418),NOT(P418=""))</formula>
    </cfRule>
    <cfRule type="expression" dxfId="121" priority="326">
      <formula>AND((K418=P418),NOT(P418=""))</formula>
    </cfRule>
  </conditionalFormatting>
  <conditionalFormatting sqref="P418:P426">
    <cfRule type="expression" dxfId="120" priority="323">
      <formula>IF(L418="NO BET", TRUE, FALSE)</formula>
    </cfRule>
  </conditionalFormatting>
  <conditionalFormatting sqref="P431">
    <cfRule type="expression" priority="320">
      <formula>(P431="")</formula>
    </cfRule>
    <cfRule type="expression" dxfId="119" priority="321">
      <formula>AND(NOT(K431=P431),NOT(P431=""))</formula>
    </cfRule>
    <cfRule type="expression" dxfId="118" priority="322">
      <formula>AND((K431=P431),NOT(P431=""))</formula>
    </cfRule>
  </conditionalFormatting>
  <conditionalFormatting sqref="P431">
    <cfRule type="expression" dxfId="117" priority="319">
      <formula>IF(L431="NO BET", TRUE, FALSE)</formula>
    </cfRule>
  </conditionalFormatting>
  <conditionalFormatting sqref="P432:P440">
    <cfRule type="expression" priority="316">
      <formula>(P432="")</formula>
    </cfRule>
    <cfRule type="expression" dxfId="116" priority="317">
      <formula>AND(NOT(K432=P432),NOT(P432=""))</formula>
    </cfRule>
    <cfRule type="expression" dxfId="115" priority="318">
      <formula>AND((K432=P432),NOT(P432=""))</formula>
    </cfRule>
  </conditionalFormatting>
  <conditionalFormatting sqref="P432:P440">
    <cfRule type="expression" dxfId="114" priority="315">
      <formula>IF(L432="NO BET", TRUE, FALSE)</formula>
    </cfRule>
  </conditionalFormatting>
  <conditionalFormatting sqref="P475">
    <cfRule type="expression" priority="304">
      <formula>(P475="")</formula>
    </cfRule>
    <cfRule type="expression" dxfId="113" priority="305">
      <formula>AND(NOT(K475=P475),NOT(P475=""))</formula>
    </cfRule>
    <cfRule type="expression" dxfId="112" priority="306">
      <formula>AND((K475=P475),NOT(P475=""))</formula>
    </cfRule>
  </conditionalFormatting>
  <conditionalFormatting sqref="P475">
    <cfRule type="expression" dxfId="111" priority="303">
      <formula>IF(L475="NO BET", TRUE, FALSE)</formula>
    </cfRule>
  </conditionalFormatting>
  <conditionalFormatting sqref="P476:P484">
    <cfRule type="expression" priority="300">
      <formula>(P476="")</formula>
    </cfRule>
    <cfRule type="expression" dxfId="110" priority="301">
      <formula>AND(NOT(K476=P476),NOT(P476=""))</formula>
    </cfRule>
    <cfRule type="expression" dxfId="109" priority="302">
      <formula>AND((K476=P476),NOT(P476=""))</formula>
    </cfRule>
  </conditionalFormatting>
  <conditionalFormatting sqref="P476:P484">
    <cfRule type="expression" dxfId="108" priority="299">
      <formula>IF(L476="NO BET", TRUE, FALSE)</formula>
    </cfRule>
  </conditionalFormatting>
  <conditionalFormatting sqref="P461">
    <cfRule type="expression" priority="296">
      <formula>(P461="")</formula>
    </cfRule>
    <cfRule type="expression" dxfId="107" priority="297">
      <formula>AND(NOT(K461=P461),NOT(P461=""))</formula>
    </cfRule>
    <cfRule type="expression" dxfId="106" priority="298">
      <formula>AND((K461=P461),NOT(P461=""))</formula>
    </cfRule>
  </conditionalFormatting>
  <conditionalFormatting sqref="P461">
    <cfRule type="expression" dxfId="105" priority="295">
      <formula>IF(L461="NO BET", TRUE, FALSE)</formula>
    </cfRule>
  </conditionalFormatting>
  <conditionalFormatting sqref="P462:P470">
    <cfRule type="expression" priority="292">
      <formula>(P462="")</formula>
    </cfRule>
    <cfRule type="expression" dxfId="104" priority="293">
      <formula>AND(NOT(K462=P462),NOT(P462=""))</formula>
    </cfRule>
    <cfRule type="expression" dxfId="103" priority="294">
      <formula>AND((K462=P462),NOT(P462=""))</formula>
    </cfRule>
  </conditionalFormatting>
  <conditionalFormatting sqref="P462:P470">
    <cfRule type="expression" dxfId="102" priority="291">
      <formula>IF(L462="NO BET", TRUE, FALSE)</formula>
    </cfRule>
  </conditionalFormatting>
  <conditionalFormatting sqref="P489">
    <cfRule type="expression" priority="288">
      <formula>(P489="")</formula>
    </cfRule>
    <cfRule type="expression" dxfId="101" priority="289">
      <formula>AND(NOT(K489=P489),NOT(P489=""))</formula>
    </cfRule>
    <cfRule type="expression" dxfId="100" priority="290">
      <formula>AND((K489=P489),NOT(P489=""))</formula>
    </cfRule>
  </conditionalFormatting>
  <conditionalFormatting sqref="P489">
    <cfRule type="expression" dxfId="99" priority="287">
      <formula>IF(L489="NO BET", TRUE, FALSE)</formula>
    </cfRule>
  </conditionalFormatting>
  <conditionalFormatting sqref="P490:P498">
    <cfRule type="expression" priority="284">
      <formula>(P490="")</formula>
    </cfRule>
    <cfRule type="expression" dxfId="98" priority="285">
      <formula>AND(NOT(K490=P490),NOT(P490=""))</formula>
    </cfRule>
    <cfRule type="expression" dxfId="97" priority="286">
      <formula>AND((K490=P490),NOT(P490=""))</formula>
    </cfRule>
  </conditionalFormatting>
  <conditionalFormatting sqref="P490:P498">
    <cfRule type="expression" dxfId="96" priority="283">
      <formula>IF(L490="NO BET", TRUE, FALSE)</formula>
    </cfRule>
  </conditionalFormatting>
  <conditionalFormatting sqref="P503">
    <cfRule type="expression" priority="280">
      <formula>(P503="")</formula>
    </cfRule>
    <cfRule type="expression" dxfId="95" priority="281">
      <formula>AND(NOT(K503=P503),NOT(P503=""))</formula>
    </cfRule>
    <cfRule type="expression" dxfId="94" priority="282">
      <formula>AND((K503=P503),NOT(P503=""))</formula>
    </cfRule>
  </conditionalFormatting>
  <conditionalFormatting sqref="P503">
    <cfRule type="expression" dxfId="93" priority="279">
      <formula>IF(L503="NO BET", TRUE, FALSE)</formula>
    </cfRule>
  </conditionalFormatting>
  <conditionalFormatting sqref="P504:P512">
    <cfRule type="expression" priority="276">
      <formula>(P504="")</formula>
    </cfRule>
    <cfRule type="expression" dxfId="92" priority="277">
      <formula>AND(NOT(K504=P504),NOT(P504=""))</formula>
    </cfRule>
    <cfRule type="expression" dxfId="91" priority="278">
      <formula>AND((K504=P504),NOT(P504=""))</formula>
    </cfRule>
  </conditionalFormatting>
  <conditionalFormatting sqref="P504:P512">
    <cfRule type="expression" dxfId="90" priority="275">
      <formula>IF(L504="NO BET", TRUE, FALSE)</formula>
    </cfRule>
  </conditionalFormatting>
  <conditionalFormatting sqref="P517">
    <cfRule type="expression" priority="272">
      <formula>(P517="")</formula>
    </cfRule>
    <cfRule type="expression" dxfId="89" priority="273">
      <formula>AND(NOT(K517=P517),NOT(P517=""))</formula>
    </cfRule>
    <cfRule type="expression" dxfId="88" priority="274">
      <formula>AND((K517=P517),NOT(P517=""))</formula>
    </cfRule>
  </conditionalFormatting>
  <conditionalFormatting sqref="P517">
    <cfRule type="expression" dxfId="87" priority="271">
      <formula>IF(L517="NO BET", TRUE, FALSE)</formula>
    </cfRule>
  </conditionalFormatting>
  <conditionalFormatting sqref="P518:P526">
    <cfRule type="expression" priority="268">
      <formula>(P518="")</formula>
    </cfRule>
    <cfRule type="expression" dxfId="86" priority="269">
      <formula>AND(NOT(K518=P518),NOT(P518=""))</formula>
    </cfRule>
    <cfRule type="expression" dxfId="85" priority="270">
      <formula>AND((K518=P518),NOT(P518=""))</formula>
    </cfRule>
  </conditionalFormatting>
  <conditionalFormatting sqref="P518:P526">
    <cfRule type="expression" dxfId="84" priority="267">
      <formula>IF(L518="NO BET", TRUE, FALSE)</formula>
    </cfRule>
  </conditionalFormatting>
  <conditionalFormatting sqref="P531">
    <cfRule type="expression" priority="264">
      <formula>(P531="")</formula>
    </cfRule>
    <cfRule type="expression" dxfId="83" priority="265">
      <formula>AND(NOT(K531=P531),NOT(P531=""))</formula>
    </cfRule>
    <cfRule type="expression" dxfId="82" priority="266">
      <formula>AND((K531=P531),NOT(P531=""))</formula>
    </cfRule>
  </conditionalFormatting>
  <conditionalFormatting sqref="P531">
    <cfRule type="expression" dxfId="81" priority="263">
      <formula>IF(L531="NO BET", TRUE, FALSE)</formula>
    </cfRule>
  </conditionalFormatting>
  <conditionalFormatting sqref="P532:P540">
    <cfRule type="expression" priority="260">
      <formula>(P532="")</formula>
    </cfRule>
    <cfRule type="expression" dxfId="80" priority="261">
      <formula>AND(NOT(K532=P532),NOT(P532=""))</formula>
    </cfRule>
    <cfRule type="expression" dxfId="79" priority="262">
      <formula>AND((K532=P532),NOT(P532=""))</formula>
    </cfRule>
  </conditionalFormatting>
  <conditionalFormatting sqref="P532:P540">
    <cfRule type="expression" dxfId="78" priority="259">
      <formula>IF(L532="NO BET", TRUE, FALSE)</formula>
    </cfRule>
  </conditionalFormatting>
  <conditionalFormatting sqref="P545">
    <cfRule type="expression" priority="256">
      <formula>(P545="")</formula>
    </cfRule>
    <cfRule type="expression" dxfId="77" priority="257">
      <formula>AND(NOT(K545=P545),NOT(P545=""))</formula>
    </cfRule>
    <cfRule type="expression" dxfId="76" priority="258">
      <formula>AND((K545=P545),NOT(P545=""))</formula>
    </cfRule>
  </conditionalFormatting>
  <conditionalFormatting sqref="P545">
    <cfRule type="expression" dxfId="75" priority="255">
      <formula>IF(L545="NO BET", TRUE, FALSE)</formula>
    </cfRule>
  </conditionalFormatting>
  <conditionalFormatting sqref="P546:P554">
    <cfRule type="expression" priority="252">
      <formula>(P546="")</formula>
    </cfRule>
    <cfRule type="expression" dxfId="74" priority="253">
      <formula>AND(NOT(K546=P546),NOT(P546=""))</formula>
    </cfRule>
    <cfRule type="expression" dxfId="73" priority="254">
      <formula>AND((K546=P546),NOT(P546=""))</formula>
    </cfRule>
  </conditionalFormatting>
  <conditionalFormatting sqref="P546:P554">
    <cfRule type="expression" dxfId="72" priority="251">
      <formula>IF(L546="NO BET", TRUE, FALSE)</formula>
    </cfRule>
  </conditionalFormatting>
  <conditionalFormatting sqref="P559">
    <cfRule type="expression" priority="248">
      <formula>(P559="")</formula>
    </cfRule>
    <cfRule type="expression" dxfId="71" priority="249">
      <formula>AND(NOT(K559=P559),NOT(P559=""))</formula>
    </cfRule>
    <cfRule type="expression" dxfId="70" priority="250">
      <formula>AND((K559=P559),NOT(P559=""))</formula>
    </cfRule>
  </conditionalFormatting>
  <conditionalFormatting sqref="P559">
    <cfRule type="expression" dxfId="69" priority="247">
      <formula>IF(L559="NO BET", TRUE, FALSE)</formula>
    </cfRule>
  </conditionalFormatting>
  <conditionalFormatting sqref="P560:P568">
    <cfRule type="expression" priority="244">
      <formula>(P560="")</formula>
    </cfRule>
    <cfRule type="expression" dxfId="68" priority="245">
      <formula>AND(NOT(K560=P560),NOT(P560=""))</formula>
    </cfRule>
    <cfRule type="expression" dxfId="67" priority="246">
      <formula>AND((K560=P560),NOT(P560=""))</formula>
    </cfRule>
  </conditionalFormatting>
  <conditionalFormatting sqref="P560:P568">
    <cfRule type="expression" dxfId="66" priority="243">
      <formula>IF(L560="NO BET", TRUE, FALSE)</formula>
    </cfRule>
  </conditionalFormatting>
  <conditionalFormatting sqref="P573">
    <cfRule type="expression" priority="240">
      <formula>(P573="")</formula>
    </cfRule>
    <cfRule type="expression" dxfId="65" priority="241">
      <formula>AND(NOT(K573=P573),NOT(P573=""))</formula>
    </cfRule>
    <cfRule type="expression" dxfId="64" priority="242">
      <formula>AND((K573=P573),NOT(P573=""))</formula>
    </cfRule>
  </conditionalFormatting>
  <conditionalFormatting sqref="P573">
    <cfRule type="expression" dxfId="63" priority="239">
      <formula>IF(L573="NO BET", TRUE, FALSE)</formula>
    </cfRule>
  </conditionalFormatting>
  <conditionalFormatting sqref="P574:P582">
    <cfRule type="expression" priority="236">
      <formula>(P574="")</formula>
    </cfRule>
    <cfRule type="expression" dxfId="62" priority="237">
      <formula>AND(NOT(K574=P574),NOT(P574=""))</formula>
    </cfRule>
    <cfRule type="expression" dxfId="61" priority="238">
      <formula>AND((K574=P574),NOT(P574=""))</formula>
    </cfRule>
  </conditionalFormatting>
  <conditionalFormatting sqref="P574:P582">
    <cfRule type="expression" dxfId="60" priority="235">
      <formula>IF(L574="NO BET", TRUE, FALSE)</formula>
    </cfRule>
  </conditionalFormatting>
  <conditionalFormatting sqref="R150:R158">
    <cfRule type="expression" dxfId="59" priority="60">
      <formula>R150=0</formula>
    </cfRule>
  </conditionalFormatting>
  <conditionalFormatting sqref="R149">
    <cfRule type="expression" dxfId="58" priority="59">
      <formula>R149=0</formula>
    </cfRule>
  </conditionalFormatting>
  <conditionalFormatting sqref="R164:R172">
    <cfRule type="expression" dxfId="57" priority="58">
      <formula>R164=0</formula>
    </cfRule>
  </conditionalFormatting>
  <conditionalFormatting sqref="R163">
    <cfRule type="expression" dxfId="56" priority="57">
      <formula>R163=0</formula>
    </cfRule>
  </conditionalFormatting>
  <conditionalFormatting sqref="R178:R186">
    <cfRule type="expression" dxfId="55" priority="56">
      <formula>R178=0</formula>
    </cfRule>
  </conditionalFormatting>
  <conditionalFormatting sqref="R177">
    <cfRule type="expression" dxfId="54" priority="55">
      <formula>R177=0</formula>
    </cfRule>
  </conditionalFormatting>
  <conditionalFormatting sqref="R192:R200">
    <cfRule type="expression" dxfId="53" priority="54">
      <formula>R192=0</formula>
    </cfRule>
  </conditionalFormatting>
  <conditionalFormatting sqref="R191">
    <cfRule type="expression" dxfId="52" priority="53">
      <formula>R191=0</formula>
    </cfRule>
  </conditionalFormatting>
  <conditionalFormatting sqref="R206:R214">
    <cfRule type="expression" dxfId="51" priority="52">
      <formula>R206=0</formula>
    </cfRule>
  </conditionalFormatting>
  <conditionalFormatting sqref="R205">
    <cfRule type="expression" dxfId="50" priority="51">
      <formula>R205=0</formula>
    </cfRule>
  </conditionalFormatting>
  <conditionalFormatting sqref="R220:R228">
    <cfRule type="expression" dxfId="49" priority="50">
      <formula>R220=0</formula>
    </cfRule>
  </conditionalFormatting>
  <conditionalFormatting sqref="R219">
    <cfRule type="expression" dxfId="48" priority="49">
      <formula>R219=0</formula>
    </cfRule>
  </conditionalFormatting>
  <conditionalFormatting sqref="R234:R242">
    <cfRule type="expression" dxfId="47" priority="48">
      <formula>R234=0</formula>
    </cfRule>
  </conditionalFormatting>
  <conditionalFormatting sqref="R233">
    <cfRule type="expression" dxfId="46" priority="47">
      <formula>R233=0</formula>
    </cfRule>
  </conditionalFormatting>
  <conditionalFormatting sqref="R248:R256">
    <cfRule type="expression" dxfId="45" priority="46">
      <formula>R248=0</formula>
    </cfRule>
  </conditionalFormatting>
  <conditionalFormatting sqref="R247">
    <cfRule type="expression" dxfId="44" priority="45">
      <formula>R247=0</formula>
    </cfRule>
  </conditionalFormatting>
  <conditionalFormatting sqref="R262:R270">
    <cfRule type="expression" dxfId="43" priority="44">
      <formula>R262=0</formula>
    </cfRule>
  </conditionalFormatting>
  <conditionalFormatting sqref="R261">
    <cfRule type="expression" dxfId="42" priority="43">
      <formula>R261=0</formula>
    </cfRule>
  </conditionalFormatting>
  <conditionalFormatting sqref="R276:R284">
    <cfRule type="expression" dxfId="41" priority="42">
      <formula>R276=0</formula>
    </cfRule>
  </conditionalFormatting>
  <conditionalFormatting sqref="R275">
    <cfRule type="expression" dxfId="40" priority="41">
      <formula>R275=0</formula>
    </cfRule>
  </conditionalFormatting>
  <conditionalFormatting sqref="R306:R314">
    <cfRule type="expression" dxfId="39" priority="40">
      <formula>R306=0</formula>
    </cfRule>
  </conditionalFormatting>
  <conditionalFormatting sqref="R305">
    <cfRule type="expression" dxfId="38" priority="39">
      <formula>R305=0</formula>
    </cfRule>
  </conditionalFormatting>
  <conditionalFormatting sqref="R320:R328">
    <cfRule type="expression" dxfId="37" priority="38">
      <formula>R320=0</formula>
    </cfRule>
  </conditionalFormatting>
  <conditionalFormatting sqref="R319">
    <cfRule type="expression" dxfId="36" priority="37">
      <formula>R319=0</formula>
    </cfRule>
  </conditionalFormatting>
  <conditionalFormatting sqref="R334:R342">
    <cfRule type="expression" dxfId="35" priority="36">
      <formula>R334=0</formula>
    </cfRule>
  </conditionalFormatting>
  <conditionalFormatting sqref="R333">
    <cfRule type="expression" dxfId="34" priority="35">
      <formula>R333=0</formula>
    </cfRule>
  </conditionalFormatting>
  <conditionalFormatting sqref="R348:R356">
    <cfRule type="expression" dxfId="33" priority="34">
      <formula>R348=0</formula>
    </cfRule>
  </conditionalFormatting>
  <conditionalFormatting sqref="R347">
    <cfRule type="expression" dxfId="32" priority="33">
      <formula>R347=0</formula>
    </cfRule>
  </conditionalFormatting>
  <conditionalFormatting sqref="R362:R370">
    <cfRule type="expression" dxfId="31" priority="32">
      <formula>R362=0</formula>
    </cfRule>
  </conditionalFormatting>
  <conditionalFormatting sqref="R361">
    <cfRule type="expression" dxfId="30" priority="31">
      <formula>R361=0</formula>
    </cfRule>
  </conditionalFormatting>
  <conditionalFormatting sqref="R376:R384">
    <cfRule type="expression" dxfId="29" priority="30">
      <formula>R376=0</formula>
    </cfRule>
  </conditionalFormatting>
  <conditionalFormatting sqref="R375">
    <cfRule type="expression" dxfId="28" priority="29">
      <formula>R375=0</formula>
    </cfRule>
  </conditionalFormatting>
  <conditionalFormatting sqref="R390:R398">
    <cfRule type="expression" dxfId="27" priority="28">
      <formula>R390=0</formula>
    </cfRule>
  </conditionalFormatting>
  <conditionalFormatting sqref="R389">
    <cfRule type="expression" dxfId="26" priority="27">
      <formula>R389=0</formula>
    </cfRule>
  </conditionalFormatting>
  <conditionalFormatting sqref="R404:R412">
    <cfRule type="expression" dxfId="25" priority="26">
      <formula>R404=0</formula>
    </cfRule>
  </conditionalFormatting>
  <conditionalFormatting sqref="R403">
    <cfRule type="expression" dxfId="24" priority="25">
      <formula>R403=0</formula>
    </cfRule>
  </conditionalFormatting>
  <conditionalFormatting sqref="R418:R426">
    <cfRule type="expression" dxfId="23" priority="24">
      <formula>R418=0</formula>
    </cfRule>
  </conditionalFormatting>
  <conditionalFormatting sqref="R417">
    <cfRule type="expression" dxfId="22" priority="23">
      <formula>R417=0</formula>
    </cfRule>
  </conditionalFormatting>
  <conditionalFormatting sqref="R432:R440">
    <cfRule type="expression" dxfId="21" priority="22">
      <formula>R432=0</formula>
    </cfRule>
  </conditionalFormatting>
  <conditionalFormatting sqref="R431">
    <cfRule type="expression" dxfId="20" priority="21">
      <formula>R431=0</formula>
    </cfRule>
  </conditionalFormatting>
  <conditionalFormatting sqref="R462:R470">
    <cfRule type="expression" dxfId="19" priority="20">
      <formula>R462=0</formula>
    </cfRule>
  </conditionalFormatting>
  <conditionalFormatting sqref="R461">
    <cfRule type="expression" dxfId="18" priority="19">
      <formula>R461=0</formula>
    </cfRule>
  </conditionalFormatting>
  <conditionalFormatting sqref="R476:R484">
    <cfRule type="expression" dxfId="17" priority="18">
      <formula>R476=0</formula>
    </cfRule>
  </conditionalFormatting>
  <conditionalFormatting sqref="R475">
    <cfRule type="expression" dxfId="16" priority="17">
      <formula>R475=0</formula>
    </cfRule>
  </conditionalFormatting>
  <conditionalFormatting sqref="R490:R498">
    <cfRule type="expression" dxfId="15" priority="16">
      <formula>R490=0</formula>
    </cfRule>
  </conditionalFormatting>
  <conditionalFormatting sqref="R489">
    <cfRule type="expression" dxfId="14" priority="15">
      <formula>R489=0</formula>
    </cfRule>
  </conditionalFormatting>
  <conditionalFormatting sqref="R504:R512">
    <cfRule type="expression" dxfId="13" priority="14">
      <formula>R504=0</formula>
    </cfRule>
  </conditionalFormatting>
  <conditionalFormatting sqref="R503">
    <cfRule type="expression" dxfId="12" priority="13">
      <formula>R503=0</formula>
    </cfRule>
  </conditionalFormatting>
  <conditionalFormatting sqref="R518:R526">
    <cfRule type="expression" dxfId="11" priority="12">
      <formula>R518=0</formula>
    </cfRule>
  </conditionalFormatting>
  <conditionalFormatting sqref="R517">
    <cfRule type="expression" dxfId="10" priority="11">
      <formula>R517=0</formula>
    </cfRule>
  </conditionalFormatting>
  <conditionalFormatting sqref="R532:R540">
    <cfRule type="expression" dxfId="9" priority="10">
      <formula>R532=0</formula>
    </cfRule>
  </conditionalFormatting>
  <conditionalFormatting sqref="R531">
    <cfRule type="expression" dxfId="8" priority="9">
      <formula>R531=0</formula>
    </cfRule>
  </conditionalFormatting>
  <conditionalFormatting sqref="R546:R554">
    <cfRule type="expression" dxfId="7" priority="8">
      <formula>R546=0</formula>
    </cfRule>
  </conditionalFormatting>
  <conditionalFormatting sqref="R545">
    <cfRule type="expression" dxfId="6" priority="7">
      <formula>R545=0</formula>
    </cfRule>
  </conditionalFormatting>
  <conditionalFormatting sqref="R560:R568">
    <cfRule type="expression" dxfId="5" priority="6">
      <formula>R560=0</formula>
    </cfRule>
  </conditionalFormatting>
  <conditionalFormatting sqref="R559">
    <cfRule type="expression" dxfId="4" priority="5">
      <formula>R559=0</formula>
    </cfRule>
  </conditionalFormatting>
  <conditionalFormatting sqref="R574:R582">
    <cfRule type="expression" dxfId="3" priority="4">
      <formula>R574=0</formula>
    </cfRule>
  </conditionalFormatting>
  <conditionalFormatting sqref="R573">
    <cfRule type="expression" dxfId="2" priority="3">
      <formula>R573=0</formula>
    </cfRule>
  </conditionalFormatting>
  <conditionalFormatting sqref="R588:R596">
    <cfRule type="expression" dxfId="1" priority="2">
      <formula>R588=0</formula>
    </cfRule>
  </conditionalFormatting>
  <conditionalFormatting sqref="R587">
    <cfRule type="expression" dxfId="0" priority="1">
      <formula>R587=0</formula>
    </cfRule>
  </conditionalFormatting>
  <pageMargins left="0.7" right="0.7" top="0.78740157499999996" bottom="0.78740157499999996" header="0.3" footer="0.3"/>
  <pageSetup paperSize="9" orientation="portrait" horizontalDpi="4294967293" r:id="rId1"/>
  <ignoredErrors>
    <ignoredError sqref="F9:H9 G8:H8 G10:H10" twoDigitTextYear="1"/>
  </ignoredErrors>
  <drawing r:id="rId2"/>
  <legacyDrawing r:id="rId3"/>
  <controls>
    <mc:AlternateContent xmlns:mc="http://schemas.openxmlformats.org/markup-compatibility/2006">
      <mc:Choice Requires="x14">
        <control shapeId="1166" r:id="rId4" name="cav">
          <controlPr defaultSize="0" autoLine="0" r:id="rId5">
            <anchor moveWithCells="1">
              <from>
                <xdr:col>3</xdr:col>
                <xdr:colOff>38100</xdr:colOff>
                <xdr:row>2</xdr:row>
                <xdr:rowOff>38100</xdr:rowOff>
              </from>
              <to>
                <xdr:col>3</xdr:col>
                <xdr:colOff>1419225</xdr:colOff>
                <xdr:row>3</xdr:row>
                <xdr:rowOff>152400</xdr:rowOff>
              </to>
            </anchor>
          </controlPr>
        </control>
      </mc:Choice>
      <mc:Fallback>
        <control shapeId="1166" r:id="rId4" name="cav"/>
      </mc:Fallback>
    </mc:AlternateContent>
    <mc:AlternateContent xmlns:mc="http://schemas.openxmlformats.org/markup-compatibility/2006">
      <mc:Choice Requires="x14">
        <control shapeId="1194" r:id="rId6" name="jumpToInfo">
          <controlPr defaultSize="0" autoLine="0" r:id="rId7">
            <anchor moveWithCells="1">
              <from>
                <xdr:col>2</xdr:col>
                <xdr:colOff>19050</xdr:colOff>
                <xdr:row>2</xdr:row>
                <xdr:rowOff>38100</xdr:rowOff>
              </from>
              <to>
                <xdr:col>3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94" r:id="rId6" name="jumpToInfo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jumpToLeague_LCK_Click" altText="League of Legends">
            <anchor moveWithCells="1" sizeWithCells="1">
              <from>
                <xdr:col>1</xdr:col>
                <xdr:colOff>104775</xdr:colOff>
                <xdr:row>49</xdr:row>
                <xdr:rowOff>123825</xdr:rowOff>
              </from>
              <to>
                <xdr:col>2</xdr:col>
                <xdr:colOff>647700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jumpToLeague_EULCS_Click" altText="League of Legends">
            <anchor moveWithCells="1" sizeWithCells="1">
              <from>
                <xdr:col>1</xdr:col>
                <xdr:colOff>104775</xdr:colOff>
                <xdr:row>51</xdr:row>
                <xdr:rowOff>114300</xdr:rowOff>
              </from>
              <to>
                <xdr:col>2</xdr:col>
                <xdr:colOff>647700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jumpToLeague_NALCS_Click" altText="League of Legends">
            <anchor moveWithCells="1" sizeWithCells="1">
              <from>
                <xdr:col>1</xdr:col>
                <xdr:colOff>104775</xdr:colOff>
                <xdr:row>53</xdr:row>
                <xdr:rowOff>114300</xdr:rowOff>
              </from>
              <to>
                <xdr:col>2</xdr:col>
                <xdr:colOff>647700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jumptToLeague_LCK_Week1_Click" altText="League of Legends">
            <anchor moveWithCells="1" sizeWithCells="1">
              <from>
                <xdr:col>1</xdr:col>
                <xdr:colOff>142875</xdr:colOff>
                <xdr:row>74</xdr:row>
                <xdr:rowOff>104775</xdr:rowOff>
              </from>
              <to>
                <xdr:col>3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jumptToLeague_LCK_Week2_Click" altText="League of Legends">
            <anchor moveWithCells="1" sizeWithCells="1">
              <from>
                <xdr:col>1</xdr:col>
                <xdr:colOff>142875</xdr:colOff>
                <xdr:row>76</xdr:row>
                <xdr:rowOff>104775</xdr:rowOff>
              </from>
              <to>
                <xdr:col>3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jumptToLeague_LCK_Week3_Click" altText="League of Legends">
            <anchor moveWithCells="1" sizeWithCells="1">
              <from>
                <xdr:col>1</xdr:col>
                <xdr:colOff>142875</xdr:colOff>
                <xdr:row>78</xdr:row>
                <xdr:rowOff>104775</xdr:rowOff>
              </from>
              <to>
                <xdr:col>3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5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6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7" name="Schaltfläche 13">
          <controlPr defaultSize="0" print="0" autoFill="0" autoPict="0" macro="[0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8" name="Schaltfläche 14">
          <controlPr defaultSize="0" print="0" autoFill="0" autoPict="0" macro="[0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9" name="Schaltfläche 15">
          <controlPr defaultSize="0" print="0" autoFill="0" autoPict="0" macro="[0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0" name="Schaltfläche 16">
          <controlPr defaultSize="0" print="0" autoFill="0" autoPict="0" macro="[0]!jumptToLeague_LCK_Week10_Click" altText="League of Legends">
            <anchor moveWithCells="1" sizeWithCells="1">
              <from>
                <xdr:col>8</xdr:col>
                <xdr:colOff>371475</xdr:colOff>
                <xdr:row>74</xdr:row>
                <xdr:rowOff>104775</xdr:rowOff>
              </from>
              <to>
                <xdr:col>10</xdr:col>
                <xdr:colOff>276225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Schaltfläche 17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78</xdr:row>
                <xdr:rowOff>104775</xdr:rowOff>
              </from>
              <to>
                <xdr:col>10</xdr:col>
                <xdr:colOff>276225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jumptToLeague_EULCS_Week1_Click" altText="League of Legends">
            <anchor moveWithCells="1" sizeWithCells="1">
              <from>
                <xdr:col>1</xdr:col>
                <xdr:colOff>142875</xdr:colOff>
                <xdr:row>89</xdr:row>
                <xdr:rowOff>104775</xdr:rowOff>
              </from>
              <to>
                <xdr:col>3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jumptToLeague_EULCS_Week2_Click" altText="League of Legends">
            <anchor moveWithCells="1" sizeWithCells="1">
              <from>
                <xdr:col>1</xdr:col>
                <xdr:colOff>142875</xdr:colOff>
                <xdr:row>91</xdr:row>
                <xdr:rowOff>104775</xdr:rowOff>
              </from>
              <to>
                <xdr:col>3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jumptToLeague_EULCS_Week3_Click" altText="League of Legends">
            <anchor moveWithCells="1" sizeWithCells="1">
              <from>
                <xdr:col>1</xdr:col>
                <xdr:colOff>142875</xdr:colOff>
                <xdr:row>93</xdr:row>
                <xdr:rowOff>104775</xdr:rowOff>
              </from>
              <to>
                <xdr:col>3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7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8" name="Button 24">
          <controlPr defaultSize="0" print="0" autoFill="0" autoPict="0" macro="[0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9" name="Button 25">
          <controlPr defaultSize="0" print="0" autoFill="0" autoPict="0" macro="[0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0" name="Button 26">
          <controlPr defaultSize="0" print="0" autoFill="0" autoPict="0" macro="[0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1" name="Button 27">
          <controlPr defaultSize="0" print="0" autoFill="0" autoPict="0" macro="[0]!jumptToLeague_EULCS_Week10_Click" altText="League of Legends">
            <anchor moveWithCells="1" sizeWithCells="1">
              <from>
                <xdr:col>8</xdr:col>
                <xdr:colOff>371475</xdr:colOff>
                <xdr:row>89</xdr:row>
                <xdr:rowOff>104775</xdr:rowOff>
              </from>
              <to>
                <xdr:col>10</xdr:col>
                <xdr:colOff>276225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2" name="Button 28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93</xdr:row>
                <xdr:rowOff>104775</xdr:rowOff>
              </from>
              <to>
                <xdr:col>10</xdr:col>
                <xdr:colOff>276225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3" name="Button 29">
          <controlPr defaultSize="0" print="0" autoFill="0" autoPict="0" macro="[0]!jumptToLeague_NALCS_Week1_Click" altText="League of Legends">
            <anchor moveWithCells="1" sizeWithCells="1">
              <from>
                <xdr:col>1</xdr:col>
                <xdr:colOff>142875</xdr:colOff>
                <xdr:row>104</xdr:row>
                <xdr:rowOff>104775</xdr:rowOff>
              </from>
              <to>
                <xdr:col>3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4" name="Button 30">
          <controlPr defaultSize="0" print="0" autoFill="0" autoPict="0" macro="[0]!jumptToLeague_NALCS_Week2_Click" altText="League of Legends">
            <anchor moveWithCells="1" sizeWithCells="1">
              <from>
                <xdr:col>1</xdr:col>
                <xdr:colOff>142875</xdr:colOff>
                <xdr:row>106</xdr:row>
                <xdr:rowOff>104775</xdr:rowOff>
              </from>
              <to>
                <xdr:col>3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5" name="Button 31">
          <controlPr defaultSize="0" print="0" autoFill="0" autoPict="0" macro="[0]!jumptToLeague_NALCS_Week3_Click" altText="League of Legends">
            <anchor moveWithCells="1" sizeWithCells="1">
              <from>
                <xdr:col>1</xdr:col>
                <xdr:colOff>142875</xdr:colOff>
                <xdr:row>108</xdr:row>
                <xdr:rowOff>104775</xdr:rowOff>
              </from>
              <to>
                <xdr:col>3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6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Button 35">
          <controlPr defaultSize="0" print="0" autoFill="0" autoPict="0" macro="[0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Button 36">
          <controlPr defaultSize="0" print="0" autoFill="0" autoPict="0" macro="[0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Button 37">
          <controlPr defaultSize="0" print="0" autoFill="0" autoPict="0" macro="[0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Button 38">
          <controlPr defaultSize="0" print="0" autoFill="0" autoPict="0" macro="[0]!jumptToLeague_NALCS_Week10_Click" altText="League of Legends">
            <anchor moveWithCells="1" sizeWithCells="1">
              <from>
                <xdr:col>8</xdr:col>
                <xdr:colOff>371475</xdr:colOff>
                <xdr:row>104</xdr:row>
                <xdr:rowOff>104775</xdr:rowOff>
              </from>
              <to>
                <xdr:col>10</xdr:col>
                <xdr:colOff>276225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108</xdr:row>
                <xdr:rowOff>104775</xdr:rowOff>
              </from>
              <to>
                <xdr:col>10</xdr:col>
                <xdr:colOff>276225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4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161</xdr:row>
                <xdr:rowOff>28575</xdr:rowOff>
              </from>
              <to>
                <xdr:col>1</xdr:col>
                <xdr:colOff>733425</xdr:colOff>
                <xdr:row>162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5" name="Button 5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175</xdr:row>
                <xdr:rowOff>28575</xdr:rowOff>
              </from>
              <to>
                <xdr:col>1</xdr:col>
                <xdr:colOff>733425</xdr:colOff>
                <xdr:row>176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6" name="Button 5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189</xdr:row>
                <xdr:rowOff>28575</xdr:rowOff>
              </from>
              <to>
                <xdr:col>1</xdr:col>
                <xdr:colOff>733425</xdr:colOff>
                <xdr:row>190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7" name="Button 5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203</xdr:row>
                <xdr:rowOff>28575</xdr:rowOff>
              </from>
              <to>
                <xdr:col>1</xdr:col>
                <xdr:colOff>733425</xdr:colOff>
                <xdr:row>204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48" name="Button 5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217</xdr:row>
                <xdr:rowOff>28575</xdr:rowOff>
              </from>
              <to>
                <xdr:col>1</xdr:col>
                <xdr:colOff>733425</xdr:colOff>
                <xdr:row>218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49" name="Button 5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231</xdr:row>
                <xdr:rowOff>28575</xdr:rowOff>
              </from>
              <to>
                <xdr:col>1</xdr:col>
                <xdr:colOff>733425</xdr:colOff>
                <xdr:row>232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50" name="Button 5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245</xdr:row>
                <xdr:rowOff>28575</xdr:rowOff>
              </from>
              <to>
                <xdr:col>1</xdr:col>
                <xdr:colOff>733425</xdr:colOff>
                <xdr:row>246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1" name="Button 5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259</xdr:row>
                <xdr:rowOff>28575</xdr:rowOff>
              </from>
              <to>
                <xdr:col>1</xdr:col>
                <xdr:colOff>733425</xdr:colOff>
                <xdr:row>260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2" name="Button 6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273</xdr:row>
                <xdr:rowOff>28575</xdr:rowOff>
              </from>
              <to>
                <xdr:col>1</xdr:col>
                <xdr:colOff>733425</xdr:colOff>
                <xdr:row>274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3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4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5" name="Button 6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6" name="Button 6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7" name="Button 6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8" name="Button 6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59" name="Button 6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0" name="Button 7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1" name="Button 7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2" name="Button 7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3" name="Button 7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64" name="Button 7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5" name="Button 75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66" name="Button 7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67" name="Button 77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68" name="Button 78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9" name="Button 79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70" name="Button 80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1" name="Button 81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2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3" name="Button 73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4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75" name="Button 8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76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77" name="Button 8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78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79" name="Button 9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1" name="Button 9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2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3" name="Button 9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4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85" name="Button 9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6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87" name="Button 9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88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9" name="Button 10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90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1" name="Button 10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2" name="Button 6">
          <controlPr defaultSize="0" print="0" autoFill="0" autoPict="0" macro="[0]!jumpToLeague_LMS_Click" altText="League of Legends">
            <anchor moveWithCells="1" sizeWithCells="1">
              <from>
                <xdr:col>1</xdr:col>
                <xdr:colOff>104775</xdr:colOff>
                <xdr:row>55</xdr:row>
                <xdr:rowOff>142875</xdr:rowOff>
              </from>
              <to>
                <xdr:col>2</xdr:col>
                <xdr:colOff>647700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3" name="Button 29">
          <controlPr defaultSize="0" print="0" autoFill="0" autoPict="0" macro="[0]!jumptToLeague_LMS_Week1_Click" altText="League of Legends">
            <anchor moveWithCells="1" sizeWithCells="1">
              <from>
                <xdr:col>1</xdr:col>
                <xdr:colOff>142875</xdr:colOff>
                <xdr:row>119</xdr:row>
                <xdr:rowOff>104775</xdr:rowOff>
              </from>
              <to>
                <xdr:col>3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4" name="Button 30">
          <controlPr defaultSize="0" print="0" autoFill="0" autoPict="0" macro="[0]!jumptToLeague_LMS_Week2_Click" altText="League of Legends">
            <anchor moveWithCells="1" sizeWithCells="1">
              <from>
                <xdr:col>1</xdr:col>
                <xdr:colOff>142875</xdr:colOff>
                <xdr:row>121</xdr:row>
                <xdr:rowOff>104775</xdr:rowOff>
              </from>
              <to>
                <xdr:col>3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95" name="Button 31">
          <controlPr defaultSize="0" print="0" autoFill="0" autoPict="0" macro="[0]!jumptToLeague_LMS_Week3_Click" altText="League of Legends">
            <anchor moveWithCells="1" sizeWithCells="1">
              <from>
                <xdr:col>1</xdr:col>
                <xdr:colOff>142875</xdr:colOff>
                <xdr:row>123</xdr:row>
                <xdr:rowOff>104775</xdr:rowOff>
              </from>
              <to>
                <xdr:col>3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96" name="Button 32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97" name="Button 33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98" name="Button 34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99" name="Button 35">
          <controlPr defaultSize="0" print="0" autoFill="0" autoPict="0" macro="[0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100" name="Button 36">
          <controlPr defaultSize="0" print="0" autoFill="0" autoPict="0" macro="[0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1" name="Button 37">
          <controlPr defaultSize="0" print="0" autoFill="0" autoPict="0" macro="[0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2" name="Button 38">
          <controlPr defaultSize="0" print="0" autoFill="0" autoPict="0" macro="[0]!jumptToLeague_LMS_Week10_Click" altText="League of Legends">
            <anchor moveWithCells="1" sizeWithCells="1">
              <from>
                <xdr:col>8</xdr:col>
                <xdr:colOff>371475</xdr:colOff>
                <xdr:row>119</xdr:row>
                <xdr:rowOff>104775</xdr:rowOff>
              </from>
              <to>
                <xdr:col>10</xdr:col>
                <xdr:colOff>276225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3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123</xdr:row>
                <xdr:rowOff>104775</xdr:rowOff>
              </from>
              <to>
                <xdr:col>10</xdr:col>
                <xdr:colOff>276225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4" name="Button 11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05" name="Button 11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06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07" name="Button 8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8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09" name="Button 8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0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1" name="Button 9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2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3" name="Button 9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4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5" name="Button 9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16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17" name="Button 9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18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19" name="Button 9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20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1" name="Button 10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2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3" name="Button 10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4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5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26" name="Button 10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27" name="Button 4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28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29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30" name="Button 10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1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147</xdr:row>
                <xdr:rowOff>28575</xdr:rowOff>
              </from>
              <to>
                <xdr:col>1</xdr:col>
                <xdr:colOff>733425</xdr:colOff>
                <xdr:row>148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2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3" name="Button 14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4" name="Button 14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35" name="Schaltfläche 1">
          <controlPr defaultSize="0" print="0" autoFill="0" autoPict="0" macro="[0]!jumpToLeague_Click" altText="League of Legends">
            <anchor moveWithCells="1" siz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1419225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36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37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38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39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0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1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2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43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44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45" name="Button 159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46" name="Button 160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47" name="Button 161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48" name="Button 162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49" name="Schaltfläche 163">
          <controlPr defaultSize="0" print="0" autoFill="0" autoPict="0" macro="[0]!Write_teams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3</xdr:col>
                <xdr:colOff>1419225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0" name="Schaltfläche 164">
          <controlPr defaultSize="0" print="0" autoFill="0" autoPict="0" macro="[0]!Import_Percentages">
            <anchor moveWithCells="1" sizeWithCells="1">
              <from>
                <xdr:col>2</xdr:col>
                <xdr:colOff>28575</xdr:colOff>
                <xdr:row>7</xdr:row>
                <xdr:rowOff>114300</xdr:rowOff>
              </from>
              <to>
                <xdr:col>3</xdr:col>
                <xdr:colOff>142875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1" name="Schaltfläche 165">
          <controlPr defaultSize="0" print="0" autoFill="0" autoPict="0" macro="[0]!Delete_Percentages" altText="Clear Win%">
            <anchor moveWithCells="1" sizeWithCells="1">
              <from>
                <xdr:col>2</xdr:col>
                <xdr:colOff>28575</xdr:colOff>
                <xdr:row>5</xdr:row>
                <xdr:rowOff>161925</xdr:rowOff>
              </from>
              <to>
                <xdr:col>3</xdr:col>
                <xdr:colOff>142875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52" name="Button 166">
          <controlPr defaultSize="0" print="0" autoFill="0" autoPict="0" macro="[0]!Import_Percentages_Weekly">
            <anchor moveWithCells="1" sizeWithCells="1">
              <from>
                <xdr:col>3</xdr:col>
                <xdr:colOff>180975</xdr:colOff>
                <xdr:row>7</xdr:row>
                <xdr:rowOff>114300</xdr:rowOff>
              </from>
              <to>
                <xdr:col>3</xdr:col>
                <xdr:colOff>1428750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5" r:id="rId153" name="Schaltfläche 165">
          <controlPr defaultSize="0" print="0" autoFill="0" autoPict="0" macro="[0]!Delete_Weekly_Table" altText="Clear Win%">
            <anchor moveWithCells="1" sizeWithCells="1">
              <from>
                <xdr:col>3</xdr:col>
                <xdr:colOff>180975</xdr:colOff>
                <xdr:row>5</xdr:row>
                <xdr:rowOff>161925</xdr:rowOff>
              </from>
              <to>
                <xdr:col>3</xdr:col>
                <xdr:colOff>1419225</xdr:colOff>
                <xdr:row>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Ougagagoubu</cp:lastModifiedBy>
  <dcterms:created xsi:type="dcterms:W3CDTF">2017-05-31T13:55:13Z</dcterms:created>
  <dcterms:modified xsi:type="dcterms:W3CDTF">2018-06-11T19:45:49Z</dcterms:modified>
</cp:coreProperties>
</file>