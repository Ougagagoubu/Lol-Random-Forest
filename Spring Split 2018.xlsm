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83900760\Desktop\LolShit\"/>
    </mc:Choice>
  </mc:AlternateContent>
  <bookViews>
    <workbookView xWindow="0" yWindow="0" windowWidth="28800" windowHeight="12210"/>
  </bookViews>
  <sheets>
    <sheet name="Übersicht" sheetId="1" r:id="rId1"/>
  </sheets>
  <definedNames>
    <definedName name="UpdateRange">Übersicht!$O$150:$O$596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38" i="1" l="1"/>
  <c r="I539" i="1"/>
  <c r="I540" i="1"/>
  <c r="I163" i="1"/>
  <c r="F163" i="1"/>
  <c r="J163" i="1"/>
  <c r="K163" i="1"/>
  <c r="L163" i="1"/>
  <c r="I164" i="1"/>
  <c r="F164" i="1"/>
  <c r="J164" i="1"/>
  <c r="K164" i="1"/>
  <c r="L164" i="1"/>
  <c r="I165" i="1"/>
  <c r="F165" i="1"/>
  <c r="J165" i="1"/>
  <c r="K165" i="1"/>
  <c r="L165" i="1"/>
  <c r="I166" i="1"/>
  <c r="F166" i="1"/>
  <c r="J166" i="1"/>
  <c r="K166" i="1"/>
  <c r="L166" i="1"/>
  <c r="I167" i="1"/>
  <c r="F167" i="1"/>
  <c r="J167" i="1"/>
  <c r="K167" i="1"/>
  <c r="L167" i="1"/>
  <c r="I168" i="1"/>
  <c r="F168" i="1"/>
  <c r="J168" i="1"/>
  <c r="K168" i="1"/>
  <c r="L168" i="1"/>
  <c r="I169" i="1"/>
  <c r="F169" i="1"/>
  <c r="J169" i="1"/>
  <c r="K169" i="1"/>
  <c r="L169" i="1"/>
  <c r="I170" i="1"/>
  <c r="F170" i="1"/>
  <c r="J170" i="1"/>
  <c r="K170" i="1"/>
  <c r="L170" i="1"/>
  <c r="I171" i="1"/>
  <c r="F171" i="1"/>
  <c r="J171" i="1"/>
  <c r="K171" i="1"/>
  <c r="L171" i="1"/>
  <c r="I172" i="1"/>
  <c r="F172" i="1"/>
  <c r="J172" i="1"/>
  <c r="K172" i="1"/>
  <c r="L172" i="1"/>
  <c r="M163" i="1"/>
  <c r="F314" i="1"/>
  <c r="S314" i="1"/>
  <c r="I314" i="1"/>
  <c r="J314" i="1"/>
  <c r="K314" i="1"/>
  <c r="L314" i="1"/>
  <c r="Q314" i="1"/>
  <c r="F313" i="1"/>
  <c r="S313" i="1"/>
  <c r="I313" i="1"/>
  <c r="J313" i="1"/>
  <c r="K313" i="1"/>
  <c r="L313" i="1"/>
  <c r="Q313" i="1"/>
  <c r="I305" i="1"/>
  <c r="F305" i="1"/>
  <c r="J305" i="1"/>
  <c r="K305" i="1"/>
  <c r="L305" i="1"/>
  <c r="I306" i="1"/>
  <c r="F306" i="1"/>
  <c r="J306" i="1"/>
  <c r="K306" i="1"/>
  <c r="L306" i="1"/>
  <c r="I307" i="1"/>
  <c r="F307" i="1"/>
  <c r="J307" i="1"/>
  <c r="K307" i="1"/>
  <c r="L307" i="1"/>
  <c r="I308" i="1"/>
  <c r="F308" i="1"/>
  <c r="J308" i="1"/>
  <c r="K308" i="1"/>
  <c r="L308" i="1"/>
  <c r="I309" i="1"/>
  <c r="F309" i="1"/>
  <c r="J309" i="1"/>
  <c r="K309" i="1"/>
  <c r="L309" i="1"/>
  <c r="I310" i="1"/>
  <c r="F310" i="1"/>
  <c r="J310" i="1"/>
  <c r="K310" i="1"/>
  <c r="L310" i="1"/>
  <c r="I311" i="1"/>
  <c r="F311" i="1"/>
  <c r="J311" i="1"/>
  <c r="K311" i="1"/>
  <c r="L311" i="1"/>
  <c r="I312" i="1"/>
  <c r="F312" i="1"/>
  <c r="J312" i="1"/>
  <c r="K312" i="1"/>
  <c r="L312" i="1"/>
  <c r="M305" i="1"/>
  <c r="Q305" i="1"/>
  <c r="Q306" i="1"/>
  <c r="Q307" i="1"/>
  <c r="Q308" i="1"/>
  <c r="Q309" i="1"/>
  <c r="Q310" i="1"/>
  <c r="Q311" i="1"/>
  <c r="Q312" i="1"/>
  <c r="U305" i="1"/>
  <c r="U312" i="1"/>
  <c r="S312" i="1"/>
  <c r="S311" i="1"/>
  <c r="S310" i="1"/>
  <c r="S309" i="1"/>
  <c r="S308" i="1"/>
  <c r="S307" i="1"/>
  <c r="S306" i="1"/>
  <c r="S305" i="1"/>
  <c r="I617" i="1"/>
  <c r="K617" i="1"/>
  <c r="L617" i="1"/>
  <c r="Q617" i="1"/>
  <c r="I618" i="1"/>
  <c r="K618" i="1"/>
  <c r="L618" i="1"/>
  <c r="Q618" i="1"/>
  <c r="I619" i="1"/>
  <c r="K619" i="1"/>
  <c r="L619" i="1"/>
  <c r="Q619" i="1"/>
  <c r="I620" i="1"/>
  <c r="K620" i="1"/>
  <c r="L620" i="1"/>
  <c r="Q620" i="1"/>
  <c r="I621" i="1"/>
  <c r="K621" i="1"/>
  <c r="L621" i="1"/>
  <c r="Q621" i="1"/>
  <c r="I622" i="1"/>
  <c r="K622" i="1"/>
  <c r="L622" i="1"/>
  <c r="Q622" i="1"/>
  <c r="I623" i="1"/>
  <c r="K623" i="1"/>
  <c r="L623" i="1"/>
  <c r="Q623" i="1"/>
  <c r="I624" i="1"/>
  <c r="K624" i="1"/>
  <c r="L624" i="1"/>
  <c r="Q624" i="1"/>
  <c r="U617" i="1"/>
  <c r="I659" i="1"/>
  <c r="K659" i="1"/>
  <c r="L659" i="1"/>
  <c r="Q659" i="1"/>
  <c r="I660" i="1"/>
  <c r="K660" i="1"/>
  <c r="L660" i="1"/>
  <c r="Q660" i="1"/>
  <c r="U659" i="1"/>
  <c r="M124" i="1"/>
  <c r="I461" i="1"/>
  <c r="F461" i="1"/>
  <c r="J461" i="1"/>
  <c r="K461" i="1"/>
  <c r="L461" i="1"/>
  <c r="Q461" i="1"/>
  <c r="I462" i="1"/>
  <c r="F462" i="1"/>
  <c r="J462" i="1"/>
  <c r="K462" i="1"/>
  <c r="L462" i="1"/>
  <c r="Q462" i="1"/>
  <c r="I463" i="1"/>
  <c r="F463" i="1"/>
  <c r="J463" i="1"/>
  <c r="K463" i="1"/>
  <c r="L463" i="1"/>
  <c r="Q463" i="1"/>
  <c r="I464" i="1"/>
  <c r="F464" i="1"/>
  <c r="J464" i="1"/>
  <c r="K464" i="1"/>
  <c r="L464" i="1"/>
  <c r="Q464" i="1"/>
  <c r="I465" i="1"/>
  <c r="F465" i="1"/>
  <c r="J465" i="1"/>
  <c r="K465" i="1"/>
  <c r="L465" i="1"/>
  <c r="Q465" i="1"/>
  <c r="I466" i="1"/>
  <c r="F466" i="1"/>
  <c r="J466" i="1"/>
  <c r="K466" i="1"/>
  <c r="L466" i="1"/>
  <c r="Q466" i="1"/>
  <c r="I467" i="1"/>
  <c r="F467" i="1"/>
  <c r="J467" i="1"/>
  <c r="K467" i="1"/>
  <c r="L467" i="1"/>
  <c r="Q467" i="1"/>
  <c r="I468" i="1"/>
  <c r="F468" i="1"/>
  <c r="J468" i="1"/>
  <c r="K468" i="1"/>
  <c r="L468" i="1"/>
  <c r="Q468" i="1"/>
  <c r="I469" i="1"/>
  <c r="K469" i="1"/>
  <c r="L469" i="1"/>
  <c r="Q469" i="1"/>
  <c r="I470" i="1"/>
  <c r="K470" i="1"/>
  <c r="L470" i="1"/>
  <c r="Q470" i="1"/>
  <c r="U461" i="1"/>
  <c r="I475" i="1"/>
  <c r="K475" i="1"/>
  <c r="L475" i="1"/>
  <c r="Q475" i="1"/>
  <c r="I476" i="1"/>
  <c r="K476" i="1"/>
  <c r="L476" i="1"/>
  <c r="Q476" i="1"/>
  <c r="I477" i="1"/>
  <c r="K477" i="1"/>
  <c r="L477" i="1"/>
  <c r="Q477" i="1"/>
  <c r="I478" i="1"/>
  <c r="K478" i="1"/>
  <c r="L478" i="1"/>
  <c r="Q478" i="1"/>
  <c r="I479" i="1"/>
  <c r="K479" i="1"/>
  <c r="L479" i="1"/>
  <c r="Q479" i="1"/>
  <c r="I480" i="1"/>
  <c r="K480" i="1"/>
  <c r="L480" i="1"/>
  <c r="Q480" i="1"/>
  <c r="I481" i="1"/>
  <c r="K481" i="1"/>
  <c r="L481" i="1"/>
  <c r="Q481" i="1"/>
  <c r="I482" i="1"/>
  <c r="K482" i="1"/>
  <c r="L482" i="1"/>
  <c r="Q482" i="1"/>
  <c r="I483" i="1"/>
  <c r="K483" i="1"/>
  <c r="L483" i="1"/>
  <c r="Q483" i="1"/>
  <c r="I484" i="1"/>
  <c r="K484" i="1"/>
  <c r="L484" i="1"/>
  <c r="Q484" i="1"/>
  <c r="U475" i="1"/>
  <c r="I503" i="1"/>
  <c r="K503" i="1"/>
  <c r="L503" i="1"/>
  <c r="Q503" i="1"/>
  <c r="I504" i="1"/>
  <c r="K504" i="1"/>
  <c r="L504" i="1"/>
  <c r="Q504" i="1"/>
  <c r="I505" i="1"/>
  <c r="K505" i="1"/>
  <c r="L505" i="1"/>
  <c r="Q505" i="1"/>
  <c r="I506" i="1"/>
  <c r="K506" i="1"/>
  <c r="L506" i="1"/>
  <c r="Q506" i="1"/>
  <c r="I507" i="1"/>
  <c r="K507" i="1"/>
  <c r="L507" i="1"/>
  <c r="Q507" i="1"/>
  <c r="I508" i="1"/>
  <c r="K508" i="1"/>
  <c r="L508" i="1"/>
  <c r="Q508" i="1"/>
  <c r="I509" i="1"/>
  <c r="K509" i="1"/>
  <c r="L509" i="1"/>
  <c r="Q509" i="1"/>
  <c r="I510" i="1"/>
  <c r="K510" i="1"/>
  <c r="L510" i="1"/>
  <c r="Q510" i="1"/>
  <c r="I511" i="1"/>
  <c r="K511" i="1"/>
  <c r="L511" i="1"/>
  <c r="Q511" i="1"/>
  <c r="I512" i="1"/>
  <c r="K512" i="1"/>
  <c r="L512" i="1"/>
  <c r="Q512" i="1"/>
  <c r="U503" i="1"/>
  <c r="I517" i="1"/>
  <c r="K517" i="1"/>
  <c r="L517" i="1"/>
  <c r="Q517" i="1"/>
  <c r="I518" i="1"/>
  <c r="K518" i="1"/>
  <c r="L518" i="1"/>
  <c r="Q518" i="1"/>
  <c r="I519" i="1"/>
  <c r="K519" i="1"/>
  <c r="L519" i="1"/>
  <c r="Q519" i="1"/>
  <c r="I520" i="1"/>
  <c r="K520" i="1"/>
  <c r="L520" i="1"/>
  <c r="Q520" i="1"/>
  <c r="I521" i="1"/>
  <c r="K521" i="1"/>
  <c r="L521" i="1"/>
  <c r="Q521" i="1"/>
  <c r="I522" i="1"/>
  <c r="K522" i="1"/>
  <c r="L522" i="1"/>
  <c r="Q522" i="1"/>
  <c r="I523" i="1"/>
  <c r="K523" i="1"/>
  <c r="L523" i="1"/>
  <c r="Q523" i="1"/>
  <c r="I524" i="1"/>
  <c r="K524" i="1"/>
  <c r="L524" i="1"/>
  <c r="Q524" i="1"/>
  <c r="I525" i="1"/>
  <c r="K525" i="1"/>
  <c r="L525" i="1"/>
  <c r="Q525" i="1"/>
  <c r="I526" i="1"/>
  <c r="K526" i="1"/>
  <c r="L526" i="1"/>
  <c r="Q526" i="1"/>
  <c r="U517" i="1"/>
  <c r="I531" i="1"/>
  <c r="K531" i="1"/>
  <c r="L531" i="1"/>
  <c r="Q531" i="1"/>
  <c r="I532" i="1"/>
  <c r="K532" i="1"/>
  <c r="L532" i="1"/>
  <c r="Q532" i="1"/>
  <c r="I533" i="1"/>
  <c r="K533" i="1"/>
  <c r="L533" i="1"/>
  <c r="Q533" i="1"/>
  <c r="I534" i="1"/>
  <c r="K534" i="1"/>
  <c r="L534" i="1"/>
  <c r="Q534" i="1"/>
  <c r="I535" i="1"/>
  <c r="K535" i="1"/>
  <c r="L535" i="1"/>
  <c r="Q535" i="1"/>
  <c r="I536" i="1"/>
  <c r="K536" i="1"/>
  <c r="L536" i="1"/>
  <c r="Q536" i="1"/>
  <c r="I537" i="1"/>
  <c r="K537" i="1"/>
  <c r="L537" i="1"/>
  <c r="Q537" i="1"/>
  <c r="K538" i="1"/>
  <c r="L538" i="1"/>
  <c r="Q538" i="1"/>
  <c r="K539" i="1"/>
  <c r="L539" i="1"/>
  <c r="Q539" i="1"/>
  <c r="K540" i="1"/>
  <c r="L540" i="1"/>
  <c r="Q540" i="1"/>
  <c r="U531" i="1"/>
  <c r="I545" i="1"/>
  <c r="K545" i="1"/>
  <c r="L545" i="1"/>
  <c r="Q545" i="1"/>
  <c r="I546" i="1"/>
  <c r="K546" i="1"/>
  <c r="L546" i="1"/>
  <c r="Q546" i="1"/>
  <c r="I547" i="1"/>
  <c r="K547" i="1"/>
  <c r="L547" i="1"/>
  <c r="Q547" i="1"/>
  <c r="I548" i="1"/>
  <c r="K548" i="1"/>
  <c r="L548" i="1"/>
  <c r="Q548" i="1"/>
  <c r="I549" i="1"/>
  <c r="K549" i="1"/>
  <c r="L549" i="1"/>
  <c r="Q549" i="1"/>
  <c r="I550" i="1"/>
  <c r="K550" i="1"/>
  <c r="L550" i="1"/>
  <c r="Q550" i="1"/>
  <c r="I551" i="1"/>
  <c r="K551" i="1"/>
  <c r="L551" i="1"/>
  <c r="Q551" i="1"/>
  <c r="I552" i="1"/>
  <c r="K552" i="1"/>
  <c r="L552" i="1"/>
  <c r="Q552" i="1"/>
  <c r="I553" i="1"/>
  <c r="K553" i="1"/>
  <c r="L553" i="1"/>
  <c r="Q553" i="1"/>
  <c r="I554" i="1"/>
  <c r="K554" i="1"/>
  <c r="L554" i="1"/>
  <c r="Q554" i="1"/>
  <c r="U545" i="1"/>
  <c r="I559" i="1"/>
  <c r="K559" i="1"/>
  <c r="L559" i="1"/>
  <c r="Q559" i="1"/>
  <c r="I560" i="1"/>
  <c r="K560" i="1"/>
  <c r="L560" i="1"/>
  <c r="Q560" i="1"/>
  <c r="I561" i="1"/>
  <c r="K561" i="1"/>
  <c r="L561" i="1"/>
  <c r="Q561" i="1"/>
  <c r="I562" i="1"/>
  <c r="K562" i="1"/>
  <c r="L562" i="1"/>
  <c r="Q562" i="1"/>
  <c r="I563" i="1"/>
  <c r="K563" i="1"/>
  <c r="L563" i="1"/>
  <c r="Q563" i="1"/>
  <c r="I564" i="1"/>
  <c r="K564" i="1"/>
  <c r="L564" i="1"/>
  <c r="Q564" i="1"/>
  <c r="I565" i="1"/>
  <c r="K565" i="1"/>
  <c r="L565" i="1"/>
  <c r="Q565" i="1"/>
  <c r="I567" i="1"/>
  <c r="K567" i="1"/>
  <c r="L567" i="1"/>
  <c r="Q567" i="1"/>
  <c r="I566" i="1"/>
  <c r="K566" i="1"/>
  <c r="L566" i="1"/>
  <c r="Q566" i="1"/>
  <c r="I568" i="1"/>
  <c r="K568" i="1"/>
  <c r="L568" i="1"/>
  <c r="Q568" i="1"/>
  <c r="U559" i="1"/>
  <c r="I573" i="1"/>
  <c r="K573" i="1"/>
  <c r="L573" i="1"/>
  <c r="Q573" i="1"/>
  <c r="I574" i="1"/>
  <c r="K574" i="1"/>
  <c r="L574" i="1"/>
  <c r="Q574" i="1"/>
  <c r="I575" i="1"/>
  <c r="K575" i="1"/>
  <c r="L575" i="1"/>
  <c r="Q575" i="1"/>
  <c r="I576" i="1"/>
  <c r="K576" i="1"/>
  <c r="L576" i="1"/>
  <c r="Q576" i="1"/>
  <c r="I577" i="1"/>
  <c r="K577" i="1"/>
  <c r="L577" i="1"/>
  <c r="Q577" i="1"/>
  <c r="I578" i="1"/>
  <c r="K578" i="1"/>
  <c r="L578" i="1"/>
  <c r="Q578" i="1"/>
  <c r="I579" i="1"/>
  <c r="K579" i="1"/>
  <c r="L579" i="1"/>
  <c r="Q579" i="1"/>
  <c r="I580" i="1"/>
  <c r="K580" i="1"/>
  <c r="L580" i="1"/>
  <c r="Q580" i="1"/>
  <c r="I581" i="1"/>
  <c r="K581" i="1"/>
  <c r="L581" i="1"/>
  <c r="Q581" i="1"/>
  <c r="I582" i="1"/>
  <c r="K582" i="1"/>
  <c r="L582" i="1"/>
  <c r="Q582" i="1"/>
  <c r="U573" i="1"/>
  <c r="I489" i="1"/>
  <c r="K489" i="1"/>
  <c r="L489" i="1"/>
  <c r="Q489" i="1"/>
  <c r="I490" i="1"/>
  <c r="K490" i="1"/>
  <c r="L490" i="1"/>
  <c r="Q490" i="1"/>
  <c r="I491" i="1"/>
  <c r="K491" i="1"/>
  <c r="L491" i="1"/>
  <c r="Q491" i="1"/>
  <c r="I492" i="1"/>
  <c r="K492" i="1"/>
  <c r="L492" i="1"/>
  <c r="Q492" i="1"/>
  <c r="I493" i="1"/>
  <c r="K493" i="1"/>
  <c r="L493" i="1"/>
  <c r="Q493" i="1"/>
  <c r="I494" i="1"/>
  <c r="K494" i="1"/>
  <c r="L494" i="1"/>
  <c r="Q494" i="1"/>
  <c r="I495" i="1"/>
  <c r="K495" i="1"/>
  <c r="L495" i="1"/>
  <c r="Q495" i="1"/>
  <c r="I496" i="1"/>
  <c r="K496" i="1"/>
  <c r="L496" i="1"/>
  <c r="Q496" i="1"/>
  <c r="I497" i="1"/>
  <c r="K497" i="1"/>
  <c r="L497" i="1"/>
  <c r="Q497" i="1"/>
  <c r="I498" i="1"/>
  <c r="K498" i="1"/>
  <c r="L498" i="1"/>
  <c r="Q498" i="1"/>
  <c r="U489" i="1"/>
  <c r="I587" i="1"/>
  <c r="K587" i="1"/>
  <c r="L587" i="1"/>
  <c r="Q587" i="1"/>
  <c r="I588" i="1"/>
  <c r="K588" i="1"/>
  <c r="L588" i="1"/>
  <c r="Q588" i="1"/>
  <c r="I589" i="1"/>
  <c r="K589" i="1"/>
  <c r="L589" i="1"/>
  <c r="Q589" i="1"/>
  <c r="I590" i="1"/>
  <c r="K590" i="1"/>
  <c r="L590" i="1"/>
  <c r="Q590" i="1"/>
  <c r="I591" i="1"/>
  <c r="K591" i="1"/>
  <c r="L591" i="1"/>
  <c r="Q591" i="1"/>
  <c r="I592" i="1"/>
  <c r="K592" i="1"/>
  <c r="L592" i="1"/>
  <c r="Q592" i="1"/>
  <c r="I593" i="1"/>
  <c r="K593" i="1"/>
  <c r="L593" i="1"/>
  <c r="Q593" i="1"/>
  <c r="I594" i="1"/>
  <c r="K594" i="1"/>
  <c r="L594" i="1"/>
  <c r="Q594" i="1"/>
  <c r="I595" i="1"/>
  <c r="K595" i="1"/>
  <c r="L595" i="1"/>
  <c r="Q595" i="1"/>
  <c r="I596" i="1"/>
  <c r="K596" i="1"/>
  <c r="L596" i="1"/>
  <c r="Q596" i="1"/>
  <c r="U587" i="1"/>
  <c r="M109" i="1"/>
  <c r="I319" i="1"/>
  <c r="F319" i="1"/>
  <c r="J319" i="1"/>
  <c r="K319" i="1"/>
  <c r="L319" i="1"/>
  <c r="Q319" i="1"/>
  <c r="I320" i="1"/>
  <c r="F320" i="1"/>
  <c r="J320" i="1"/>
  <c r="K320" i="1"/>
  <c r="L320" i="1"/>
  <c r="Q320" i="1"/>
  <c r="I321" i="1"/>
  <c r="F321" i="1"/>
  <c r="J321" i="1"/>
  <c r="K321" i="1"/>
  <c r="L321" i="1"/>
  <c r="Q321" i="1"/>
  <c r="I322" i="1"/>
  <c r="F322" i="1"/>
  <c r="J322" i="1"/>
  <c r="K322" i="1"/>
  <c r="L322" i="1"/>
  <c r="Q322" i="1"/>
  <c r="I323" i="1"/>
  <c r="F323" i="1"/>
  <c r="J323" i="1"/>
  <c r="K323" i="1"/>
  <c r="L323" i="1"/>
  <c r="Q323" i="1"/>
  <c r="I324" i="1"/>
  <c r="F324" i="1"/>
  <c r="J324" i="1"/>
  <c r="K324" i="1"/>
  <c r="L324" i="1"/>
  <c r="Q324" i="1"/>
  <c r="I325" i="1"/>
  <c r="F325" i="1"/>
  <c r="J325" i="1"/>
  <c r="K325" i="1"/>
  <c r="L325" i="1"/>
  <c r="Q325" i="1"/>
  <c r="I326" i="1"/>
  <c r="F326" i="1"/>
  <c r="J326" i="1"/>
  <c r="K326" i="1"/>
  <c r="L326" i="1"/>
  <c r="Q326" i="1"/>
  <c r="I327" i="1"/>
  <c r="F327" i="1"/>
  <c r="J327" i="1"/>
  <c r="K327" i="1"/>
  <c r="L327" i="1"/>
  <c r="Q327" i="1"/>
  <c r="I328" i="1"/>
  <c r="F328" i="1"/>
  <c r="J328" i="1"/>
  <c r="K328" i="1"/>
  <c r="L328" i="1"/>
  <c r="Q328" i="1"/>
  <c r="U319" i="1"/>
  <c r="I333" i="1"/>
  <c r="F333" i="1"/>
  <c r="J333" i="1"/>
  <c r="K333" i="1"/>
  <c r="L333" i="1"/>
  <c r="Q333" i="1"/>
  <c r="I334" i="1"/>
  <c r="F334" i="1"/>
  <c r="J334" i="1"/>
  <c r="K334" i="1"/>
  <c r="L334" i="1"/>
  <c r="Q334" i="1"/>
  <c r="I335" i="1"/>
  <c r="F335" i="1"/>
  <c r="J335" i="1"/>
  <c r="K335" i="1"/>
  <c r="L335" i="1"/>
  <c r="Q335" i="1"/>
  <c r="I336" i="1"/>
  <c r="F336" i="1"/>
  <c r="J336" i="1"/>
  <c r="K336" i="1"/>
  <c r="L336" i="1"/>
  <c r="Q336" i="1"/>
  <c r="I337" i="1"/>
  <c r="F337" i="1"/>
  <c r="J337" i="1"/>
  <c r="K337" i="1"/>
  <c r="L337" i="1"/>
  <c r="Q337" i="1"/>
  <c r="I338" i="1"/>
  <c r="F338" i="1"/>
  <c r="J338" i="1"/>
  <c r="K338" i="1"/>
  <c r="L338" i="1"/>
  <c r="Q338" i="1"/>
  <c r="I339" i="1"/>
  <c r="F339" i="1"/>
  <c r="J339" i="1"/>
  <c r="K339" i="1"/>
  <c r="L339" i="1"/>
  <c r="Q339" i="1"/>
  <c r="I340" i="1"/>
  <c r="F340" i="1"/>
  <c r="J340" i="1"/>
  <c r="K340" i="1"/>
  <c r="L340" i="1"/>
  <c r="Q340" i="1"/>
  <c r="I341" i="1"/>
  <c r="F341" i="1"/>
  <c r="J341" i="1"/>
  <c r="K341" i="1"/>
  <c r="L341" i="1"/>
  <c r="Q341" i="1"/>
  <c r="I342" i="1"/>
  <c r="F342" i="1"/>
  <c r="J342" i="1"/>
  <c r="K342" i="1"/>
  <c r="L342" i="1"/>
  <c r="Q342" i="1"/>
  <c r="U333" i="1"/>
  <c r="I347" i="1"/>
  <c r="F347" i="1"/>
  <c r="J347" i="1"/>
  <c r="K347" i="1"/>
  <c r="L347" i="1"/>
  <c r="Q347" i="1"/>
  <c r="I348" i="1"/>
  <c r="F348" i="1"/>
  <c r="J348" i="1"/>
  <c r="K348" i="1"/>
  <c r="L348" i="1"/>
  <c r="Q348" i="1"/>
  <c r="I349" i="1"/>
  <c r="F349" i="1"/>
  <c r="J349" i="1"/>
  <c r="K349" i="1"/>
  <c r="L349" i="1"/>
  <c r="Q349" i="1"/>
  <c r="I350" i="1"/>
  <c r="F350" i="1"/>
  <c r="J350" i="1"/>
  <c r="K350" i="1"/>
  <c r="L350" i="1"/>
  <c r="Q350" i="1"/>
  <c r="I351" i="1"/>
  <c r="F351" i="1"/>
  <c r="J351" i="1"/>
  <c r="K351" i="1"/>
  <c r="L351" i="1"/>
  <c r="Q351" i="1"/>
  <c r="I352" i="1"/>
  <c r="F352" i="1"/>
  <c r="J352" i="1"/>
  <c r="K352" i="1"/>
  <c r="L352" i="1"/>
  <c r="Q352" i="1"/>
  <c r="I353" i="1"/>
  <c r="F353" i="1"/>
  <c r="J353" i="1"/>
  <c r="K353" i="1"/>
  <c r="L353" i="1"/>
  <c r="Q353" i="1"/>
  <c r="I354" i="1"/>
  <c r="F354" i="1"/>
  <c r="J354" i="1"/>
  <c r="K354" i="1"/>
  <c r="L354" i="1"/>
  <c r="Q354" i="1"/>
  <c r="I355" i="1"/>
  <c r="F355" i="1"/>
  <c r="J355" i="1"/>
  <c r="K355" i="1"/>
  <c r="L355" i="1"/>
  <c r="Q355" i="1"/>
  <c r="I356" i="1"/>
  <c r="F356" i="1"/>
  <c r="J356" i="1"/>
  <c r="K356" i="1"/>
  <c r="L356" i="1"/>
  <c r="Q356" i="1"/>
  <c r="U347" i="1"/>
  <c r="I361" i="1"/>
  <c r="F361" i="1"/>
  <c r="J361" i="1"/>
  <c r="K361" i="1"/>
  <c r="L361" i="1"/>
  <c r="Q361" i="1"/>
  <c r="I362" i="1"/>
  <c r="F362" i="1"/>
  <c r="J362" i="1"/>
  <c r="K362" i="1"/>
  <c r="L362" i="1"/>
  <c r="Q362" i="1"/>
  <c r="I363" i="1"/>
  <c r="F363" i="1"/>
  <c r="J363" i="1"/>
  <c r="K363" i="1"/>
  <c r="L363" i="1"/>
  <c r="Q363" i="1"/>
  <c r="I364" i="1"/>
  <c r="F364" i="1"/>
  <c r="J364" i="1"/>
  <c r="K364" i="1"/>
  <c r="L364" i="1"/>
  <c r="Q364" i="1"/>
  <c r="I365" i="1"/>
  <c r="F365" i="1"/>
  <c r="J365" i="1"/>
  <c r="K365" i="1"/>
  <c r="L365" i="1"/>
  <c r="Q365" i="1"/>
  <c r="I366" i="1"/>
  <c r="F366" i="1"/>
  <c r="J366" i="1"/>
  <c r="K366" i="1"/>
  <c r="L366" i="1"/>
  <c r="Q366" i="1"/>
  <c r="I367" i="1"/>
  <c r="F367" i="1"/>
  <c r="J367" i="1"/>
  <c r="K367" i="1"/>
  <c r="L367" i="1"/>
  <c r="Q367" i="1"/>
  <c r="I368" i="1"/>
  <c r="F368" i="1"/>
  <c r="J368" i="1"/>
  <c r="K368" i="1"/>
  <c r="L368" i="1"/>
  <c r="Q368" i="1"/>
  <c r="I369" i="1"/>
  <c r="F369" i="1"/>
  <c r="J369" i="1"/>
  <c r="K369" i="1"/>
  <c r="L369" i="1"/>
  <c r="Q369" i="1"/>
  <c r="I370" i="1"/>
  <c r="F370" i="1"/>
  <c r="J370" i="1"/>
  <c r="K370" i="1"/>
  <c r="L370" i="1"/>
  <c r="Q370" i="1"/>
  <c r="U361" i="1"/>
  <c r="I375" i="1"/>
  <c r="F375" i="1"/>
  <c r="J375" i="1"/>
  <c r="K375" i="1"/>
  <c r="L375" i="1"/>
  <c r="Q375" i="1"/>
  <c r="I376" i="1"/>
  <c r="F376" i="1"/>
  <c r="J376" i="1"/>
  <c r="K376" i="1"/>
  <c r="L376" i="1"/>
  <c r="Q376" i="1"/>
  <c r="I377" i="1"/>
  <c r="F377" i="1"/>
  <c r="J377" i="1"/>
  <c r="K377" i="1"/>
  <c r="L377" i="1"/>
  <c r="Q377" i="1"/>
  <c r="I378" i="1"/>
  <c r="F378" i="1"/>
  <c r="J378" i="1"/>
  <c r="K378" i="1"/>
  <c r="L378" i="1"/>
  <c r="Q378" i="1"/>
  <c r="I379" i="1"/>
  <c r="F379" i="1"/>
  <c r="J379" i="1"/>
  <c r="K379" i="1"/>
  <c r="L379" i="1"/>
  <c r="Q379" i="1"/>
  <c r="I380" i="1"/>
  <c r="F380" i="1"/>
  <c r="J380" i="1"/>
  <c r="K380" i="1"/>
  <c r="L380" i="1"/>
  <c r="Q380" i="1"/>
  <c r="I381" i="1"/>
  <c r="F381" i="1"/>
  <c r="J381" i="1"/>
  <c r="K381" i="1"/>
  <c r="L381" i="1"/>
  <c r="Q381" i="1"/>
  <c r="I382" i="1"/>
  <c r="F382" i="1"/>
  <c r="J382" i="1"/>
  <c r="K382" i="1"/>
  <c r="L382" i="1"/>
  <c r="Q382" i="1"/>
  <c r="I383" i="1"/>
  <c r="F383" i="1"/>
  <c r="J383" i="1"/>
  <c r="K383" i="1"/>
  <c r="L383" i="1"/>
  <c r="Q383" i="1"/>
  <c r="I384" i="1"/>
  <c r="F384" i="1"/>
  <c r="J384" i="1"/>
  <c r="K384" i="1"/>
  <c r="L384" i="1"/>
  <c r="Q384" i="1"/>
  <c r="U375" i="1"/>
  <c r="I389" i="1"/>
  <c r="F389" i="1"/>
  <c r="J389" i="1"/>
  <c r="K389" i="1"/>
  <c r="L389" i="1"/>
  <c r="Q389" i="1"/>
  <c r="I390" i="1"/>
  <c r="F390" i="1"/>
  <c r="J390" i="1"/>
  <c r="K390" i="1"/>
  <c r="L390" i="1"/>
  <c r="Q390" i="1"/>
  <c r="I391" i="1"/>
  <c r="F391" i="1"/>
  <c r="J391" i="1"/>
  <c r="K391" i="1"/>
  <c r="L391" i="1"/>
  <c r="Q391" i="1"/>
  <c r="I392" i="1"/>
  <c r="F392" i="1"/>
  <c r="J392" i="1"/>
  <c r="K392" i="1"/>
  <c r="L392" i="1"/>
  <c r="Q392" i="1"/>
  <c r="I393" i="1"/>
  <c r="F393" i="1"/>
  <c r="J393" i="1"/>
  <c r="K393" i="1"/>
  <c r="L393" i="1"/>
  <c r="Q393" i="1"/>
  <c r="I394" i="1"/>
  <c r="F394" i="1"/>
  <c r="J394" i="1"/>
  <c r="K394" i="1"/>
  <c r="L394" i="1"/>
  <c r="Q394" i="1"/>
  <c r="I395" i="1"/>
  <c r="F395" i="1"/>
  <c r="J395" i="1"/>
  <c r="K395" i="1"/>
  <c r="L395" i="1"/>
  <c r="Q395" i="1"/>
  <c r="I396" i="1"/>
  <c r="F396" i="1"/>
  <c r="J396" i="1"/>
  <c r="K396" i="1"/>
  <c r="L396" i="1"/>
  <c r="Q396" i="1"/>
  <c r="I397" i="1"/>
  <c r="F397" i="1"/>
  <c r="J397" i="1"/>
  <c r="K397" i="1"/>
  <c r="L397" i="1"/>
  <c r="Q397" i="1"/>
  <c r="I398" i="1"/>
  <c r="F398" i="1"/>
  <c r="J398" i="1"/>
  <c r="K398" i="1"/>
  <c r="L398" i="1"/>
  <c r="Q398" i="1"/>
  <c r="U389" i="1"/>
  <c r="I403" i="1"/>
  <c r="F403" i="1"/>
  <c r="J403" i="1"/>
  <c r="K403" i="1"/>
  <c r="L403" i="1"/>
  <c r="Q403" i="1"/>
  <c r="I404" i="1"/>
  <c r="F404" i="1"/>
  <c r="J404" i="1"/>
  <c r="K404" i="1"/>
  <c r="L404" i="1"/>
  <c r="Q404" i="1"/>
  <c r="I405" i="1"/>
  <c r="F405" i="1"/>
  <c r="J405" i="1"/>
  <c r="K405" i="1"/>
  <c r="L405" i="1"/>
  <c r="Q405" i="1"/>
  <c r="I406" i="1"/>
  <c r="F406" i="1"/>
  <c r="J406" i="1"/>
  <c r="K406" i="1"/>
  <c r="L406" i="1"/>
  <c r="Q406" i="1"/>
  <c r="I407" i="1"/>
  <c r="F407" i="1"/>
  <c r="J407" i="1"/>
  <c r="K407" i="1"/>
  <c r="L407" i="1"/>
  <c r="Q407" i="1"/>
  <c r="I408" i="1"/>
  <c r="F408" i="1"/>
  <c r="J408" i="1"/>
  <c r="K408" i="1"/>
  <c r="L408" i="1"/>
  <c r="Q408" i="1"/>
  <c r="I409" i="1"/>
  <c r="F409" i="1"/>
  <c r="J409" i="1"/>
  <c r="K409" i="1"/>
  <c r="L409" i="1"/>
  <c r="Q409" i="1"/>
  <c r="I410" i="1"/>
  <c r="F410" i="1"/>
  <c r="J410" i="1"/>
  <c r="K410" i="1"/>
  <c r="L410" i="1"/>
  <c r="Q410" i="1"/>
  <c r="I411" i="1"/>
  <c r="F411" i="1"/>
  <c r="J411" i="1"/>
  <c r="K411" i="1"/>
  <c r="L411" i="1"/>
  <c r="Q411" i="1"/>
  <c r="I412" i="1"/>
  <c r="F412" i="1"/>
  <c r="J412" i="1"/>
  <c r="K412" i="1"/>
  <c r="L412" i="1"/>
  <c r="Q412" i="1"/>
  <c r="U403" i="1"/>
  <c r="I417" i="1"/>
  <c r="F417" i="1"/>
  <c r="J417" i="1"/>
  <c r="K417" i="1"/>
  <c r="L417" i="1"/>
  <c r="Q417" i="1"/>
  <c r="I418" i="1"/>
  <c r="F418" i="1"/>
  <c r="J418" i="1"/>
  <c r="K418" i="1"/>
  <c r="L418" i="1"/>
  <c r="Q418" i="1"/>
  <c r="I419" i="1"/>
  <c r="F419" i="1"/>
  <c r="J419" i="1"/>
  <c r="K419" i="1"/>
  <c r="L419" i="1"/>
  <c r="Q419" i="1"/>
  <c r="I420" i="1"/>
  <c r="F420" i="1"/>
  <c r="J420" i="1"/>
  <c r="K420" i="1"/>
  <c r="L420" i="1"/>
  <c r="Q420" i="1"/>
  <c r="I421" i="1"/>
  <c r="F421" i="1"/>
  <c r="J421" i="1"/>
  <c r="K421" i="1"/>
  <c r="L421" i="1"/>
  <c r="Q421" i="1"/>
  <c r="I422" i="1"/>
  <c r="F422" i="1"/>
  <c r="J422" i="1"/>
  <c r="K422" i="1"/>
  <c r="L422" i="1"/>
  <c r="Q422" i="1"/>
  <c r="I423" i="1"/>
  <c r="F423" i="1"/>
  <c r="J423" i="1"/>
  <c r="K423" i="1"/>
  <c r="L423" i="1"/>
  <c r="Q423" i="1"/>
  <c r="I424" i="1"/>
  <c r="F424" i="1"/>
  <c r="J424" i="1"/>
  <c r="K424" i="1"/>
  <c r="L424" i="1"/>
  <c r="Q424" i="1"/>
  <c r="I425" i="1"/>
  <c r="F425" i="1"/>
  <c r="J425" i="1"/>
  <c r="K425" i="1"/>
  <c r="L425" i="1"/>
  <c r="Q425" i="1"/>
  <c r="I426" i="1"/>
  <c r="F426" i="1"/>
  <c r="J426" i="1"/>
  <c r="K426" i="1"/>
  <c r="L426" i="1"/>
  <c r="Q426" i="1"/>
  <c r="U417" i="1"/>
  <c r="I431" i="1"/>
  <c r="K431" i="1"/>
  <c r="L431" i="1"/>
  <c r="Q431" i="1"/>
  <c r="I432" i="1"/>
  <c r="K432" i="1"/>
  <c r="L432" i="1"/>
  <c r="Q432" i="1"/>
  <c r="I433" i="1"/>
  <c r="K433" i="1"/>
  <c r="L433" i="1"/>
  <c r="Q433" i="1"/>
  <c r="I434" i="1"/>
  <c r="K434" i="1"/>
  <c r="L434" i="1"/>
  <c r="Q434" i="1"/>
  <c r="I435" i="1"/>
  <c r="K435" i="1"/>
  <c r="L435" i="1"/>
  <c r="Q435" i="1"/>
  <c r="I436" i="1"/>
  <c r="K436" i="1"/>
  <c r="L436" i="1"/>
  <c r="Q436" i="1"/>
  <c r="I437" i="1"/>
  <c r="K437" i="1"/>
  <c r="L437" i="1"/>
  <c r="Q437" i="1"/>
  <c r="I438" i="1"/>
  <c r="K438" i="1"/>
  <c r="L438" i="1"/>
  <c r="Q438" i="1"/>
  <c r="I439" i="1"/>
  <c r="K439" i="1"/>
  <c r="L439" i="1"/>
  <c r="Q439" i="1"/>
  <c r="I440" i="1"/>
  <c r="K440" i="1"/>
  <c r="L440" i="1"/>
  <c r="Q440" i="1"/>
  <c r="U431" i="1"/>
  <c r="M94" i="1"/>
  <c r="Q163" i="1"/>
  <c r="Q164" i="1"/>
  <c r="Q165" i="1"/>
  <c r="Q166" i="1"/>
  <c r="Q167" i="1"/>
  <c r="Q168" i="1"/>
  <c r="Q169" i="1"/>
  <c r="Q170" i="1"/>
  <c r="Q171" i="1"/>
  <c r="Q172" i="1"/>
  <c r="U163" i="1"/>
  <c r="I177" i="1"/>
  <c r="F177" i="1"/>
  <c r="J177" i="1"/>
  <c r="K177" i="1"/>
  <c r="L177" i="1"/>
  <c r="Q177" i="1"/>
  <c r="I178" i="1"/>
  <c r="F178" i="1"/>
  <c r="J178" i="1"/>
  <c r="K178" i="1"/>
  <c r="L178" i="1"/>
  <c r="Q178" i="1"/>
  <c r="I179" i="1"/>
  <c r="F179" i="1"/>
  <c r="J179" i="1"/>
  <c r="K179" i="1"/>
  <c r="L179" i="1"/>
  <c r="Q179" i="1"/>
  <c r="I180" i="1"/>
  <c r="F180" i="1"/>
  <c r="J180" i="1"/>
  <c r="K180" i="1"/>
  <c r="L180" i="1"/>
  <c r="Q180" i="1"/>
  <c r="I181" i="1"/>
  <c r="F181" i="1"/>
  <c r="J181" i="1"/>
  <c r="K181" i="1"/>
  <c r="L181" i="1"/>
  <c r="Q181" i="1"/>
  <c r="I182" i="1"/>
  <c r="F182" i="1"/>
  <c r="J182" i="1"/>
  <c r="K182" i="1"/>
  <c r="L182" i="1"/>
  <c r="Q182" i="1"/>
  <c r="I183" i="1"/>
  <c r="F183" i="1"/>
  <c r="J183" i="1"/>
  <c r="K183" i="1"/>
  <c r="L183" i="1"/>
  <c r="Q183" i="1"/>
  <c r="I184" i="1"/>
  <c r="F184" i="1"/>
  <c r="J184" i="1"/>
  <c r="K184" i="1"/>
  <c r="L184" i="1"/>
  <c r="Q184" i="1"/>
  <c r="I185" i="1"/>
  <c r="F185" i="1"/>
  <c r="J185" i="1"/>
  <c r="K185" i="1"/>
  <c r="L185" i="1"/>
  <c r="Q185" i="1"/>
  <c r="I186" i="1"/>
  <c r="F186" i="1"/>
  <c r="J186" i="1"/>
  <c r="K186" i="1"/>
  <c r="L186" i="1"/>
  <c r="Q186" i="1"/>
  <c r="U177" i="1"/>
  <c r="I191" i="1"/>
  <c r="F191" i="1"/>
  <c r="J191" i="1"/>
  <c r="K191" i="1"/>
  <c r="L191" i="1"/>
  <c r="Q191" i="1"/>
  <c r="I192" i="1"/>
  <c r="F192" i="1"/>
  <c r="J192" i="1"/>
  <c r="K192" i="1"/>
  <c r="L192" i="1"/>
  <c r="Q192" i="1"/>
  <c r="I193" i="1"/>
  <c r="F193" i="1"/>
  <c r="J193" i="1"/>
  <c r="K193" i="1"/>
  <c r="L193" i="1"/>
  <c r="Q193" i="1"/>
  <c r="I194" i="1"/>
  <c r="F194" i="1"/>
  <c r="J194" i="1"/>
  <c r="K194" i="1"/>
  <c r="L194" i="1"/>
  <c r="Q194" i="1"/>
  <c r="I195" i="1"/>
  <c r="F195" i="1"/>
  <c r="J195" i="1"/>
  <c r="K195" i="1"/>
  <c r="L195" i="1"/>
  <c r="Q195" i="1"/>
  <c r="I196" i="1"/>
  <c r="F196" i="1"/>
  <c r="J196" i="1"/>
  <c r="K196" i="1"/>
  <c r="L196" i="1"/>
  <c r="Q196" i="1"/>
  <c r="I197" i="1"/>
  <c r="F197" i="1"/>
  <c r="J197" i="1"/>
  <c r="K197" i="1"/>
  <c r="L197" i="1"/>
  <c r="Q197" i="1"/>
  <c r="I198" i="1"/>
  <c r="F198" i="1"/>
  <c r="J198" i="1"/>
  <c r="K198" i="1"/>
  <c r="L198" i="1"/>
  <c r="Q198" i="1"/>
  <c r="I199" i="1"/>
  <c r="F199" i="1"/>
  <c r="J199" i="1"/>
  <c r="K199" i="1"/>
  <c r="L199" i="1"/>
  <c r="Q199" i="1"/>
  <c r="I200" i="1"/>
  <c r="F200" i="1"/>
  <c r="J200" i="1"/>
  <c r="K200" i="1"/>
  <c r="L200" i="1"/>
  <c r="Q200" i="1"/>
  <c r="U191" i="1"/>
  <c r="I205" i="1"/>
  <c r="F205" i="1"/>
  <c r="J205" i="1"/>
  <c r="K205" i="1"/>
  <c r="L205" i="1"/>
  <c r="Q205" i="1"/>
  <c r="I206" i="1"/>
  <c r="F206" i="1"/>
  <c r="J206" i="1"/>
  <c r="K206" i="1"/>
  <c r="L206" i="1"/>
  <c r="Q206" i="1"/>
  <c r="I207" i="1"/>
  <c r="F207" i="1"/>
  <c r="J207" i="1"/>
  <c r="K207" i="1"/>
  <c r="L207" i="1"/>
  <c r="Q207" i="1"/>
  <c r="I208" i="1"/>
  <c r="F208" i="1"/>
  <c r="J208" i="1"/>
  <c r="K208" i="1"/>
  <c r="L208" i="1"/>
  <c r="Q208" i="1"/>
  <c r="I209" i="1"/>
  <c r="F209" i="1"/>
  <c r="J209" i="1"/>
  <c r="K209" i="1"/>
  <c r="L209" i="1"/>
  <c r="Q209" i="1"/>
  <c r="I210" i="1"/>
  <c r="F210" i="1"/>
  <c r="J210" i="1"/>
  <c r="K210" i="1"/>
  <c r="L210" i="1"/>
  <c r="Q210" i="1"/>
  <c r="I211" i="1"/>
  <c r="F211" i="1"/>
  <c r="J211" i="1"/>
  <c r="K211" i="1"/>
  <c r="L211" i="1"/>
  <c r="Q211" i="1"/>
  <c r="I212" i="1"/>
  <c r="F212" i="1"/>
  <c r="J212" i="1"/>
  <c r="K212" i="1"/>
  <c r="L212" i="1"/>
  <c r="Q212" i="1"/>
  <c r="I213" i="1"/>
  <c r="F213" i="1"/>
  <c r="J213" i="1"/>
  <c r="K213" i="1"/>
  <c r="L213" i="1"/>
  <c r="Q213" i="1"/>
  <c r="I214" i="1"/>
  <c r="F214" i="1"/>
  <c r="J214" i="1"/>
  <c r="K214" i="1"/>
  <c r="L214" i="1"/>
  <c r="Q214" i="1"/>
  <c r="U205" i="1"/>
  <c r="I219" i="1"/>
  <c r="F219" i="1"/>
  <c r="J219" i="1"/>
  <c r="K219" i="1"/>
  <c r="L219" i="1"/>
  <c r="Q219" i="1"/>
  <c r="I220" i="1"/>
  <c r="F220" i="1"/>
  <c r="J220" i="1"/>
  <c r="K220" i="1"/>
  <c r="L220" i="1"/>
  <c r="Q220" i="1"/>
  <c r="I221" i="1"/>
  <c r="F221" i="1"/>
  <c r="J221" i="1"/>
  <c r="K221" i="1"/>
  <c r="L221" i="1"/>
  <c r="Q221" i="1"/>
  <c r="I222" i="1"/>
  <c r="F222" i="1"/>
  <c r="J222" i="1"/>
  <c r="K222" i="1"/>
  <c r="L222" i="1"/>
  <c r="Q222" i="1"/>
  <c r="I223" i="1"/>
  <c r="F223" i="1"/>
  <c r="J223" i="1"/>
  <c r="K223" i="1"/>
  <c r="L223" i="1"/>
  <c r="Q223" i="1"/>
  <c r="I224" i="1"/>
  <c r="F224" i="1"/>
  <c r="J224" i="1"/>
  <c r="K224" i="1"/>
  <c r="L224" i="1"/>
  <c r="Q224" i="1"/>
  <c r="I225" i="1"/>
  <c r="K225" i="1"/>
  <c r="L225" i="1"/>
  <c r="Q225" i="1"/>
  <c r="I226" i="1"/>
  <c r="K226" i="1"/>
  <c r="L226" i="1"/>
  <c r="Q226" i="1"/>
  <c r="I227" i="1"/>
  <c r="K227" i="1"/>
  <c r="L227" i="1"/>
  <c r="Q227" i="1"/>
  <c r="I228" i="1"/>
  <c r="K228" i="1"/>
  <c r="L228" i="1"/>
  <c r="Q228" i="1"/>
  <c r="U219" i="1"/>
  <c r="I233" i="1"/>
  <c r="F233" i="1"/>
  <c r="J233" i="1"/>
  <c r="K233" i="1"/>
  <c r="L233" i="1"/>
  <c r="Q233" i="1"/>
  <c r="I234" i="1"/>
  <c r="F234" i="1"/>
  <c r="J234" i="1"/>
  <c r="K234" i="1"/>
  <c r="L234" i="1"/>
  <c r="Q234" i="1"/>
  <c r="I235" i="1"/>
  <c r="F235" i="1"/>
  <c r="J235" i="1"/>
  <c r="K235" i="1"/>
  <c r="L235" i="1"/>
  <c r="Q235" i="1"/>
  <c r="I236" i="1"/>
  <c r="F236" i="1"/>
  <c r="J236" i="1"/>
  <c r="K236" i="1"/>
  <c r="L236" i="1"/>
  <c r="Q236" i="1"/>
  <c r="I237" i="1"/>
  <c r="F237" i="1"/>
  <c r="J237" i="1"/>
  <c r="K237" i="1"/>
  <c r="L237" i="1"/>
  <c r="Q237" i="1"/>
  <c r="I238" i="1"/>
  <c r="F238" i="1"/>
  <c r="J238" i="1"/>
  <c r="K238" i="1"/>
  <c r="L238" i="1"/>
  <c r="Q238" i="1"/>
  <c r="I239" i="1"/>
  <c r="F239" i="1"/>
  <c r="J239" i="1"/>
  <c r="K239" i="1"/>
  <c r="L239" i="1"/>
  <c r="Q239" i="1"/>
  <c r="I240" i="1"/>
  <c r="F240" i="1"/>
  <c r="J240" i="1"/>
  <c r="K240" i="1"/>
  <c r="L240" i="1"/>
  <c r="Q240" i="1"/>
  <c r="I241" i="1"/>
  <c r="K241" i="1"/>
  <c r="L241" i="1"/>
  <c r="Q241" i="1"/>
  <c r="I242" i="1"/>
  <c r="K242" i="1"/>
  <c r="L242" i="1"/>
  <c r="Q242" i="1"/>
  <c r="U233" i="1"/>
  <c r="I247" i="1"/>
  <c r="F247" i="1"/>
  <c r="J247" i="1"/>
  <c r="K247" i="1"/>
  <c r="L247" i="1"/>
  <c r="Q247" i="1"/>
  <c r="I248" i="1"/>
  <c r="F248" i="1"/>
  <c r="J248" i="1"/>
  <c r="K248" i="1"/>
  <c r="L248" i="1"/>
  <c r="Q248" i="1"/>
  <c r="I249" i="1"/>
  <c r="F249" i="1"/>
  <c r="J249" i="1"/>
  <c r="K249" i="1"/>
  <c r="L249" i="1"/>
  <c r="Q249" i="1"/>
  <c r="I250" i="1"/>
  <c r="F250" i="1"/>
  <c r="J250" i="1"/>
  <c r="K250" i="1"/>
  <c r="L250" i="1"/>
  <c r="Q250" i="1"/>
  <c r="I251" i="1"/>
  <c r="F251" i="1"/>
  <c r="J251" i="1"/>
  <c r="K251" i="1"/>
  <c r="L251" i="1"/>
  <c r="Q251" i="1"/>
  <c r="I252" i="1"/>
  <c r="F252" i="1"/>
  <c r="J252" i="1"/>
  <c r="K252" i="1"/>
  <c r="L252" i="1"/>
  <c r="Q252" i="1"/>
  <c r="I253" i="1"/>
  <c r="F253" i="1"/>
  <c r="J253" i="1"/>
  <c r="K253" i="1"/>
  <c r="L253" i="1"/>
  <c r="Q253" i="1"/>
  <c r="I254" i="1"/>
  <c r="F254" i="1"/>
  <c r="J254" i="1"/>
  <c r="K254" i="1"/>
  <c r="L254" i="1"/>
  <c r="Q254" i="1"/>
  <c r="I255" i="1"/>
  <c r="F255" i="1"/>
  <c r="J255" i="1"/>
  <c r="K255" i="1"/>
  <c r="L255" i="1"/>
  <c r="Q255" i="1"/>
  <c r="I256" i="1"/>
  <c r="F256" i="1"/>
  <c r="J256" i="1"/>
  <c r="K256" i="1"/>
  <c r="L256" i="1"/>
  <c r="Q256" i="1"/>
  <c r="U247" i="1"/>
  <c r="I261" i="1"/>
  <c r="K261" i="1"/>
  <c r="L261" i="1"/>
  <c r="Q261" i="1"/>
  <c r="I262" i="1"/>
  <c r="K262" i="1"/>
  <c r="L262" i="1"/>
  <c r="Q262" i="1"/>
  <c r="I263" i="1"/>
  <c r="K263" i="1"/>
  <c r="L263" i="1"/>
  <c r="Q263" i="1"/>
  <c r="I264" i="1"/>
  <c r="K264" i="1"/>
  <c r="L264" i="1"/>
  <c r="Q264" i="1"/>
  <c r="I265" i="1"/>
  <c r="K265" i="1"/>
  <c r="L265" i="1"/>
  <c r="Q265" i="1"/>
  <c r="I266" i="1"/>
  <c r="K266" i="1"/>
  <c r="L266" i="1"/>
  <c r="Q266" i="1"/>
  <c r="I267" i="1"/>
  <c r="K267" i="1"/>
  <c r="L267" i="1"/>
  <c r="Q267" i="1"/>
  <c r="I268" i="1"/>
  <c r="K268" i="1"/>
  <c r="L268" i="1"/>
  <c r="Q268" i="1"/>
  <c r="I269" i="1"/>
  <c r="K269" i="1"/>
  <c r="L269" i="1"/>
  <c r="Q269" i="1"/>
  <c r="I270" i="1"/>
  <c r="K270" i="1"/>
  <c r="L270" i="1"/>
  <c r="Q270" i="1"/>
  <c r="U261" i="1"/>
  <c r="I275" i="1"/>
  <c r="K275" i="1"/>
  <c r="L275" i="1"/>
  <c r="Q275" i="1"/>
  <c r="I276" i="1"/>
  <c r="K276" i="1"/>
  <c r="L276" i="1"/>
  <c r="Q276" i="1"/>
  <c r="I277" i="1"/>
  <c r="K277" i="1"/>
  <c r="L277" i="1"/>
  <c r="Q277" i="1"/>
  <c r="I278" i="1"/>
  <c r="K278" i="1"/>
  <c r="L278" i="1"/>
  <c r="Q278" i="1"/>
  <c r="I279" i="1"/>
  <c r="K279" i="1"/>
  <c r="L279" i="1"/>
  <c r="Q279" i="1"/>
  <c r="I280" i="1"/>
  <c r="K280" i="1"/>
  <c r="L280" i="1"/>
  <c r="Q280" i="1"/>
  <c r="I281" i="1"/>
  <c r="K281" i="1"/>
  <c r="L281" i="1"/>
  <c r="Q281" i="1"/>
  <c r="I282" i="1"/>
  <c r="K282" i="1"/>
  <c r="L282" i="1"/>
  <c r="Q282" i="1"/>
  <c r="I283" i="1"/>
  <c r="K283" i="1"/>
  <c r="L283" i="1"/>
  <c r="Q283" i="1"/>
  <c r="I284" i="1"/>
  <c r="K284" i="1"/>
  <c r="L284" i="1"/>
  <c r="Q284" i="1"/>
  <c r="U275" i="1"/>
  <c r="M79" i="1"/>
  <c r="I5" i="1"/>
  <c r="M461" i="1"/>
  <c r="M475" i="1"/>
  <c r="M503" i="1"/>
  <c r="M517" i="1"/>
  <c r="M531" i="1"/>
  <c r="M545" i="1"/>
  <c r="M559" i="1"/>
  <c r="M573" i="1"/>
  <c r="M489" i="1"/>
  <c r="M587" i="1"/>
  <c r="M107" i="1"/>
  <c r="M177" i="1"/>
  <c r="M191" i="1"/>
  <c r="M205" i="1"/>
  <c r="M219" i="1"/>
  <c r="M233" i="1"/>
  <c r="M247" i="1"/>
  <c r="M261" i="1"/>
  <c r="M275" i="1"/>
  <c r="M77" i="1"/>
  <c r="M319" i="1"/>
  <c r="M333" i="1"/>
  <c r="M347" i="1"/>
  <c r="M361" i="1"/>
  <c r="M375" i="1"/>
  <c r="M389" i="1"/>
  <c r="M403" i="1"/>
  <c r="M417" i="1"/>
  <c r="M431" i="1"/>
  <c r="M92" i="1"/>
  <c r="M659" i="1"/>
  <c r="M122" i="1"/>
  <c r="E5" i="1"/>
  <c r="E8" i="1"/>
  <c r="J261" i="1"/>
  <c r="J262" i="1"/>
  <c r="J263" i="1"/>
  <c r="J264" i="1"/>
  <c r="J265" i="1"/>
  <c r="J266" i="1"/>
  <c r="J267" i="1"/>
  <c r="J268" i="1"/>
  <c r="J269" i="1"/>
  <c r="J270" i="1"/>
  <c r="J469" i="1"/>
  <c r="J470" i="1"/>
  <c r="J489" i="1"/>
  <c r="J490" i="1"/>
  <c r="J491" i="1"/>
  <c r="J492" i="1"/>
  <c r="J493" i="1"/>
  <c r="J494" i="1"/>
  <c r="J495" i="1"/>
  <c r="J496" i="1"/>
  <c r="J497" i="1"/>
  <c r="J498" i="1"/>
  <c r="J531" i="1"/>
  <c r="J532" i="1"/>
  <c r="J533" i="1"/>
  <c r="J534" i="1"/>
  <c r="J535" i="1"/>
  <c r="J536" i="1"/>
  <c r="J537" i="1"/>
  <c r="J538" i="1"/>
  <c r="J539" i="1"/>
  <c r="J540" i="1"/>
  <c r="J545" i="1"/>
  <c r="J546" i="1"/>
  <c r="J547" i="1"/>
  <c r="J548" i="1"/>
  <c r="J549" i="1"/>
  <c r="J550" i="1"/>
  <c r="J551" i="1"/>
  <c r="J552" i="1"/>
  <c r="J553" i="1"/>
  <c r="J554" i="1"/>
  <c r="J573" i="1"/>
  <c r="J574" i="1"/>
  <c r="J575" i="1"/>
  <c r="J576" i="1"/>
  <c r="J577" i="1"/>
  <c r="J578" i="1"/>
  <c r="J579" i="1"/>
  <c r="J580" i="1"/>
  <c r="J581" i="1"/>
  <c r="J582" i="1"/>
  <c r="I631" i="1"/>
  <c r="K631" i="1"/>
  <c r="L631" i="1"/>
  <c r="Q631" i="1"/>
  <c r="I632" i="1"/>
  <c r="K632" i="1"/>
  <c r="L632" i="1"/>
  <c r="Q632" i="1"/>
  <c r="I633" i="1"/>
  <c r="K633" i="1"/>
  <c r="L633" i="1"/>
  <c r="Q633" i="1"/>
  <c r="I634" i="1"/>
  <c r="K634" i="1"/>
  <c r="L634" i="1"/>
  <c r="Q634" i="1"/>
  <c r="I635" i="1"/>
  <c r="K635" i="1"/>
  <c r="L635" i="1"/>
  <c r="Q635" i="1"/>
  <c r="I636" i="1"/>
  <c r="K636" i="1"/>
  <c r="L636" i="1"/>
  <c r="Q636" i="1"/>
  <c r="I637" i="1"/>
  <c r="K637" i="1"/>
  <c r="L637" i="1"/>
  <c r="Q637" i="1"/>
  <c r="I638" i="1"/>
  <c r="K638" i="1"/>
  <c r="L638" i="1"/>
  <c r="Q638" i="1"/>
  <c r="I639" i="1"/>
  <c r="K639" i="1"/>
  <c r="L639" i="1"/>
  <c r="Q639" i="1"/>
  <c r="I640" i="1"/>
  <c r="K640" i="1"/>
  <c r="L640" i="1"/>
  <c r="Q640" i="1"/>
  <c r="U631" i="1"/>
  <c r="I645" i="1"/>
  <c r="J645" i="1"/>
  <c r="K645" i="1"/>
  <c r="L645" i="1"/>
  <c r="Q645" i="1"/>
  <c r="I646" i="1"/>
  <c r="K646" i="1"/>
  <c r="L646" i="1"/>
  <c r="Q646" i="1"/>
  <c r="I647" i="1"/>
  <c r="J647" i="1"/>
  <c r="K647" i="1"/>
  <c r="L647" i="1"/>
  <c r="Q647" i="1"/>
  <c r="I648" i="1"/>
  <c r="K648" i="1"/>
  <c r="L648" i="1"/>
  <c r="Q648" i="1"/>
  <c r="I649" i="1"/>
  <c r="J649" i="1"/>
  <c r="K649" i="1"/>
  <c r="L649" i="1"/>
  <c r="Q649" i="1"/>
  <c r="I650" i="1"/>
  <c r="K650" i="1"/>
  <c r="L650" i="1"/>
  <c r="Q650" i="1"/>
  <c r="I651" i="1"/>
  <c r="K651" i="1"/>
  <c r="L651" i="1"/>
  <c r="Q651" i="1"/>
  <c r="I652" i="1"/>
  <c r="K652" i="1"/>
  <c r="L652" i="1"/>
  <c r="Q652" i="1"/>
  <c r="I653" i="1"/>
  <c r="K653" i="1"/>
  <c r="L653" i="1"/>
  <c r="Q653" i="1"/>
  <c r="I654" i="1"/>
  <c r="K654" i="1"/>
  <c r="L654" i="1"/>
  <c r="Q654" i="1"/>
  <c r="U645" i="1"/>
  <c r="J659" i="1"/>
  <c r="J660" i="1"/>
  <c r="I661" i="1"/>
  <c r="J661" i="1"/>
  <c r="K661" i="1"/>
  <c r="L661" i="1"/>
  <c r="Q661" i="1"/>
  <c r="I662" i="1"/>
  <c r="J662" i="1"/>
  <c r="K662" i="1"/>
  <c r="L662" i="1"/>
  <c r="Q662" i="1"/>
  <c r="I663" i="1"/>
  <c r="J663" i="1"/>
  <c r="K663" i="1"/>
  <c r="L663" i="1"/>
  <c r="Q663" i="1"/>
  <c r="I664" i="1"/>
  <c r="K664" i="1"/>
  <c r="L664" i="1"/>
  <c r="Q664" i="1"/>
  <c r="I665" i="1"/>
  <c r="K665" i="1"/>
  <c r="L665" i="1"/>
  <c r="Q665" i="1"/>
  <c r="I666" i="1"/>
  <c r="K666" i="1"/>
  <c r="L666" i="1"/>
  <c r="Q666" i="1"/>
  <c r="I667" i="1"/>
  <c r="K667" i="1"/>
  <c r="L667" i="1"/>
  <c r="Q667" i="1"/>
  <c r="I668" i="1"/>
  <c r="K668" i="1"/>
  <c r="L668" i="1"/>
  <c r="Q668" i="1"/>
  <c r="I687" i="1"/>
  <c r="J687" i="1"/>
  <c r="K687" i="1"/>
  <c r="L687" i="1"/>
  <c r="Q687" i="1"/>
  <c r="I688" i="1"/>
  <c r="J688" i="1"/>
  <c r="K688" i="1"/>
  <c r="L688" i="1"/>
  <c r="Q688" i="1"/>
  <c r="I689" i="1"/>
  <c r="J689" i="1"/>
  <c r="K689" i="1"/>
  <c r="L689" i="1"/>
  <c r="Q689" i="1"/>
  <c r="I690" i="1"/>
  <c r="J690" i="1"/>
  <c r="K690" i="1"/>
  <c r="L690" i="1"/>
  <c r="Q690" i="1"/>
  <c r="I691" i="1"/>
  <c r="J691" i="1"/>
  <c r="K691" i="1"/>
  <c r="L691" i="1"/>
  <c r="Q691" i="1"/>
  <c r="I692" i="1"/>
  <c r="J692" i="1"/>
  <c r="K692" i="1"/>
  <c r="L692" i="1"/>
  <c r="Q692" i="1"/>
  <c r="I693" i="1"/>
  <c r="K693" i="1"/>
  <c r="L693" i="1"/>
  <c r="Q693" i="1"/>
  <c r="I694" i="1"/>
  <c r="K694" i="1"/>
  <c r="L694" i="1"/>
  <c r="Q694" i="1"/>
  <c r="I695" i="1"/>
  <c r="K695" i="1"/>
  <c r="L695" i="1"/>
  <c r="Q695" i="1"/>
  <c r="I696" i="1"/>
  <c r="K696" i="1"/>
  <c r="L696" i="1"/>
  <c r="Q696" i="1"/>
  <c r="U687" i="1"/>
  <c r="Q673" i="1"/>
  <c r="Q674" i="1"/>
  <c r="Q675" i="1"/>
  <c r="Q676" i="1"/>
  <c r="Q677" i="1"/>
  <c r="Q678" i="1"/>
  <c r="Q679" i="1"/>
  <c r="Q680" i="1"/>
  <c r="Q681" i="1"/>
  <c r="Q682" i="1"/>
  <c r="U673" i="1"/>
  <c r="I701" i="1"/>
  <c r="K701" i="1"/>
  <c r="L701" i="1"/>
  <c r="Q701" i="1"/>
  <c r="I702" i="1"/>
  <c r="K702" i="1"/>
  <c r="L702" i="1"/>
  <c r="Q702" i="1"/>
  <c r="I703" i="1"/>
  <c r="K703" i="1"/>
  <c r="L703" i="1"/>
  <c r="Q703" i="1"/>
  <c r="I704" i="1"/>
  <c r="K704" i="1"/>
  <c r="L704" i="1"/>
  <c r="Q704" i="1"/>
  <c r="I705" i="1"/>
  <c r="K705" i="1"/>
  <c r="L705" i="1"/>
  <c r="Q705" i="1"/>
  <c r="I706" i="1"/>
  <c r="K706" i="1"/>
  <c r="L706" i="1"/>
  <c r="Q706" i="1"/>
  <c r="I707" i="1"/>
  <c r="K707" i="1"/>
  <c r="L707" i="1"/>
  <c r="Q707" i="1"/>
  <c r="I708" i="1"/>
  <c r="K708" i="1"/>
  <c r="L708" i="1"/>
  <c r="Q708" i="1"/>
  <c r="I709" i="1"/>
  <c r="K709" i="1"/>
  <c r="L709" i="1"/>
  <c r="Q709" i="1"/>
  <c r="I710" i="1"/>
  <c r="K710" i="1"/>
  <c r="L710" i="1"/>
  <c r="Q710" i="1"/>
  <c r="U701" i="1"/>
  <c r="I715" i="1"/>
  <c r="J715" i="1"/>
  <c r="K715" i="1"/>
  <c r="L715" i="1"/>
  <c r="Q715" i="1"/>
  <c r="I716" i="1"/>
  <c r="J716" i="1"/>
  <c r="K716" i="1"/>
  <c r="L716" i="1"/>
  <c r="Q716" i="1"/>
  <c r="I717" i="1"/>
  <c r="J717" i="1"/>
  <c r="K717" i="1"/>
  <c r="L717" i="1"/>
  <c r="Q717" i="1"/>
  <c r="I718" i="1"/>
  <c r="J718" i="1"/>
  <c r="K718" i="1"/>
  <c r="L718" i="1"/>
  <c r="Q718" i="1"/>
  <c r="I719" i="1"/>
  <c r="J719" i="1"/>
  <c r="K719" i="1"/>
  <c r="L719" i="1"/>
  <c r="Q719" i="1"/>
  <c r="I720" i="1"/>
  <c r="J720" i="1"/>
  <c r="K720" i="1"/>
  <c r="L720" i="1"/>
  <c r="Q720" i="1"/>
  <c r="I721" i="1"/>
  <c r="J721" i="1"/>
  <c r="K721" i="1"/>
  <c r="L721" i="1"/>
  <c r="Q721" i="1"/>
  <c r="I722" i="1"/>
  <c r="J722" i="1"/>
  <c r="K722" i="1"/>
  <c r="L722" i="1"/>
  <c r="Q722" i="1"/>
  <c r="I723" i="1"/>
  <c r="K723" i="1"/>
  <c r="L723" i="1"/>
  <c r="Q723" i="1"/>
  <c r="I724" i="1"/>
  <c r="K724" i="1"/>
  <c r="L724" i="1"/>
  <c r="Q724" i="1"/>
  <c r="U715" i="1"/>
  <c r="I729" i="1"/>
  <c r="J729" i="1"/>
  <c r="K729" i="1"/>
  <c r="L729" i="1"/>
  <c r="Q729" i="1"/>
  <c r="I730" i="1"/>
  <c r="J730" i="1"/>
  <c r="K730" i="1"/>
  <c r="L730" i="1"/>
  <c r="Q730" i="1"/>
  <c r="I731" i="1"/>
  <c r="J731" i="1"/>
  <c r="K731" i="1"/>
  <c r="L731" i="1"/>
  <c r="Q731" i="1"/>
  <c r="I732" i="1"/>
  <c r="J732" i="1"/>
  <c r="K732" i="1"/>
  <c r="L732" i="1"/>
  <c r="Q732" i="1"/>
  <c r="I733" i="1"/>
  <c r="J733" i="1"/>
  <c r="K733" i="1"/>
  <c r="L733" i="1"/>
  <c r="Q733" i="1"/>
  <c r="I734" i="1"/>
  <c r="J734" i="1"/>
  <c r="K734" i="1"/>
  <c r="L734" i="1"/>
  <c r="Q734" i="1"/>
  <c r="I735" i="1"/>
  <c r="J735" i="1"/>
  <c r="K735" i="1"/>
  <c r="L735" i="1"/>
  <c r="Q735" i="1"/>
  <c r="I736" i="1"/>
  <c r="J736" i="1"/>
  <c r="K736" i="1"/>
  <c r="L736" i="1"/>
  <c r="Q736" i="1"/>
  <c r="I737" i="1"/>
  <c r="J737" i="1"/>
  <c r="K737" i="1"/>
  <c r="L737" i="1"/>
  <c r="Q737" i="1"/>
  <c r="I738" i="1"/>
  <c r="K738" i="1"/>
  <c r="L738" i="1"/>
  <c r="Q738" i="1"/>
  <c r="U729" i="1"/>
  <c r="I625" i="1"/>
  <c r="K625" i="1"/>
  <c r="L625" i="1"/>
  <c r="Q625" i="1"/>
  <c r="I626" i="1"/>
  <c r="K626" i="1"/>
  <c r="L626" i="1"/>
  <c r="Q626" i="1"/>
  <c r="I743" i="1"/>
  <c r="K743" i="1"/>
  <c r="L743" i="1"/>
  <c r="Q743" i="1"/>
  <c r="I744" i="1"/>
  <c r="K744" i="1"/>
  <c r="L744" i="1"/>
  <c r="Q744" i="1"/>
  <c r="I745" i="1"/>
  <c r="K745" i="1"/>
  <c r="L745" i="1"/>
  <c r="Q745" i="1"/>
  <c r="I746" i="1"/>
  <c r="K746" i="1"/>
  <c r="L746" i="1"/>
  <c r="Q746" i="1"/>
  <c r="I747" i="1"/>
  <c r="K747" i="1"/>
  <c r="L747" i="1"/>
  <c r="Q747" i="1"/>
  <c r="I748" i="1"/>
  <c r="K748" i="1"/>
  <c r="L748" i="1"/>
  <c r="Q748" i="1"/>
  <c r="I749" i="1"/>
  <c r="K749" i="1"/>
  <c r="L749" i="1"/>
  <c r="Q749" i="1"/>
  <c r="I750" i="1"/>
  <c r="K750" i="1"/>
  <c r="L750" i="1"/>
  <c r="Q750" i="1"/>
  <c r="I751" i="1"/>
  <c r="K751" i="1"/>
  <c r="L751" i="1"/>
  <c r="Q751" i="1"/>
  <c r="I752" i="1"/>
  <c r="K752" i="1"/>
  <c r="L752" i="1"/>
  <c r="Q752" i="1"/>
  <c r="U743" i="1"/>
  <c r="E2" i="1"/>
  <c r="F158" i="1"/>
  <c r="S158" i="1"/>
  <c r="I158" i="1"/>
  <c r="J158" i="1"/>
  <c r="K158" i="1"/>
  <c r="L158" i="1"/>
  <c r="Q158" i="1"/>
  <c r="F157" i="1"/>
  <c r="S157" i="1"/>
  <c r="I157" i="1"/>
  <c r="J157" i="1"/>
  <c r="K157" i="1"/>
  <c r="L157" i="1"/>
  <c r="Q157" i="1"/>
  <c r="I149" i="1"/>
  <c r="F149" i="1"/>
  <c r="J149" i="1"/>
  <c r="K149" i="1"/>
  <c r="L149" i="1"/>
  <c r="I150" i="1"/>
  <c r="F150" i="1"/>
  <c r="J150" i="1"/>
  <c r="K150" i="1"/>
  <c r="L150" i="1"/>
  <c r="I151" i="1"/>
  <c r="F151" i="1"/>
  <c r="J151" i="1"/>
  <c r="K151" i="1"/>
  <c r="L151" i="1"/>
  <c r="I152" i="1"/>
  <c r="F152" i="1"/>
  <c r="J152" i="1"/>
  <c r="K152" i="1"/>
  <c r="L152" i="1"/>
  <c r="I153" i="1"/>
  <c r="F153" i="1"/>
  <c r="J153" i="1"/>
  <c r="K153" i="1"/>
  <c r="L153" i="1"/>
  <c r="I154" i="1"/>
  <c r="F154" i="1"/>
  <c r="J154" i="1"/>
  <c r="K154" i="1"/>
  <c r="L154" i="1"/>
  <c r="I155" i="1"/>
  <c r="F155" i="1"/>
  <c r="J155" i="1"/>
  <c r="K155" i="1"/>
  <c r="L155" i="1"/>
  <c r="I156" i="1"/>
  <c r="F156" i="1"/>
  <c r="J156" i="1"/>
  <c r="K156" i="1"/>
  <c r="L156" i="1"/>
  <c r="M149" i="1"/>
  <c r="Q149" i="1"/>
  <c r="Q150" i="1"/>
  <c r="Q151" i="1"/>
  <c r="Q152" i="1"/>
  <c r="Q153" i="1"/>
  <c r="Q154" i="1"/>
  <c r="Q155" i="1"/>
  <c r="Q156" i="1"/>
  <c r="U149" i="1"/>
  <c r="U156" i="1"/>
  <c r="S156" i="1"/>
  <c r="S155" i="1"/>
  <c r="S154" i="1"/>
  <c r="S153" i="1"/>
  <c r="S152" i="1"/>
  <c r="S151" i="1"/>
  <c r="S150" i="1"/>
  <c r="S149" i="1"/>
  <c r="F432" i="1"/>
  <c r="J432" i="1"/>
  <c r="F270" i="1"/>
  <c r="F269" i="1"/>
  <c r="F268" i="1"/>
  <c r="F267" i="1"/>
  <c r="F266" i="1"/>
  <c r="F265" i="1"/>
  <c r="F264" i="1"/>
  <c r="F263" i="1"/>
  <c r="F262" i="1"/>
  <c r="F261" i="1"/>
  <c r="F242" i="1"/>
  <c r="J242" i="1"/>
  <c r="F241" i="1"/>
  <c r="J241" i="1"/>
  <c r="F225" i="1"/>
  <c r="J225" i="1"/>
  <c r="F226" i="1"/>
  <c r="J226" i="1"/>
  <c r="F227" i="1"/>
  <c r="J227" i="1"/>
  <c r="F228" i="1"/>
  <c r="J228" i="1"/>
  <c r="F701" i="1"/>
  <c r="J701" i="1"/>
  <c r="F702" i="1"/>
  <c r="J702" i="1"/>
  <c r="F704" i="1"/>
  <c r="J704" i="1"/>
  <c r="F706" i="1"/>
  <c r="J706" i="1"/>
  <c r="F707" i="1"/>
  <c r="J707" i="1"/>
  <c r="F703" i="1"/>
  <c r="J703" i="1"/>
  <c r="F705" i="1"/>
  <c r="J705" i="1"/>
  <c r="F708" i="1"/>
  <c r="J708" i="1"/>
  <c r="F631" i="1"/>
  <c r="J631" i="1"/>
  <c r="F634" i="1"/>
  <c r="J634" i="1"/>
  <c r="F638" i="1"/>
  <c r="J638" i="1"/>
  <c r="F645" i="1"/>
  <c r="F647" i="1"/>
  <c r="F649" i="1"/>
  <c r="F659" i="1"/>
  <c r="F660" i="1"/>
  <c r="F661" i="1"/>
  <c r="F662" i="1"/>
  <c r="F663" i="1"/>
  <c r="F687" i="1"/>
  <c r="F688" i="1"/>
  <c r="F689" i="1"/>
  <c r="F690" i="1"/>
  <c r="F691" i="1"/>
  <c r="F692" i="1"/>
  <c r="F715" i="1"/>
  <c r="F716" i="1"/>
  <c r="F717" i="1"/>
  <c r="F718" i="1"/>
  <c r="F719" i="1"/>
  <c r="F720" i="1"/>
  <c r="F721" i="1"/>
  <c r="F722" i="1"/>
  <c r="F729" i="1"/>
  <c r="F730" i="1"/>
  <c r="F731" i="1"/>
  <c r="F732" i="1"/>
  <c r="F733" i="1"/>
  <c r="F734" i="1"/>
  <c r="F735" i="1"/>
  <c r="F736" i="1"/>
  <c r="F737" i="1"/>
  <c r="F545" i="1"/>
  <c r="F546" i="1"/>
  <c r="F549" i="1"/>
  <c r="F548" i="1"/>
  <c r="F550" i="1"/>
  <c r="F547" i="1"/>
  <c r="F551" i="1"/>
  <c r="F552" i="1"/>
  <c r="F553" i="1"/>
  <c r="F554" i="1"/>
  <c r="F469" i="1"/>
  <c r="F470" i="1"/>
  <c r="F475" i="1"/>
  <c r="J475" i="1"/>
  <c r="F476" i="1"/>
  <c r="J476" i="1"/>
  <c r="F477" i="1"/>
  <c r="J477" i="1"/>
  <c r="F478" i="1"/>
  <c r="J478" i="1"/>
  <c r="F479" i="1"/>
  <c r="J479" i="1"/>
  <c r="F480" i="1"/>
  <c r="J480" i="1"/>
  <c r="F481" i="1"/>
  <c r="J481" i="1"/>
  <c r="F482" i="1"/>
  <c r="J482" i="1"/>
  <c r="F483" i="1"/>
  <c r="J483" i="1"/>
  <c r="F484" i="1"/>
  <c r="J484" i="1"/>
  <c r="F489" i="1"/>
  <c r="F490" i="1"/>
  <c r="F491" i="1"/>
  <c r="F492" i="1"/>
  <c r="F493" i="1"/>
  <c r="F494" i="1"/>
  <c r="F495" i="1"/>
  <c r="F496" i="1"/>
  <c r="F497" i="1"/>
  <c r="F498" i="1"/>
  <c r="F503" i="1"/>
  <c r="J503" i="1"/>
  <c r="F504" i="1"/>
  <c r="J504" i="1"/>
  <c r="F505" i="1"/>
  <c r="J505" i="1"/>
  <c r="F506" i="1"/>
  <c r="J506" i="1"/>
  <c r="F507" i="1"/>
  <c r="J507" i="1"/>
  <c r="F508" i="1"/>
  <c r="J508" i="1"/>
  <c r="F509" i="1"/>
  <c r="J509" i="1"/>
  <c r="F510" i="1"/>
  <c r="J510" i="1"/>
  <c r="F511" i="1"/>
  <c r="J511" i="1"/>
  <c r="F512" i="1"/>
  <c r="J512" i="1"/>
  <c r="F517" i="1"/>
  <c r="J517" i="1"/>
  <c r="F518" i="1"/>
  <c r="J518" i="1"/>
  <c r="F519" i="1"/>
  <c r="J519" i="1"/>
  <c r="F520" i="1"/>
  <c r="J520" i="1"/>
  <c r="F521" i="1"/>
  <c r="J521" i="1"/>
  <c r="F522" i="1"/>
  <c r="J522" i="1"/>
  <c r="F523" i="1"/>
  <c r="J523" i="1"/>
  <c r="F524" i="1"/>
  <c r="J524" i="1"/>
  <c r="F525" i="1"/>
  <c r="J525" i="1"/>
  <c r="F526" i="1"/>
  <c r="J526" i="1"/>
  <c r="F531" i="1"/>
  <c r="F532" i="1"/>
  <c r="F533" i="1"/>
  <c r="F534" i="1"/>
  <c r="F535" i="1"/>
  <c r="F536" i="1"/>
  <c r="F537" i="1"/>
  <c r="F538" i="1"/>
  <c r="F539" i="1"/>
  <c r="F540" i="1"/>
  <c r="F559" i="1"/>
  <c r="J559" i="1"/>
  <c r="F560" i="1"/>
  <c r="J560" i="1"/>
  <c r="F561" i="1"/>
  <c r="J561" i="1"/>
  <c r="F562" i="1"/>
  <c r="J562" i="1"/>
  <c r="F563" i="1"/>
  <c r="J563" i="1"/>
  <c r="F564" i="1"/>
  <c r="J564" i="1"/>
  <c r="F565" i="1"/>
  <c r="J565" i="1"/>
  <c r="F566" i="1"/>
  <c r="J566" i="1"/>
  <c r="F567" i="1"/>
  <c r="J567" i="1"/>
  <c r="F568" i="1"/>
  <c r="J568" i="1"/>
  <c r="F573" i="1"/>
  <c r="F574" i="1"/>
  <c r="F575" i="1"/>
  <c r="F576" i="1"/>
  <c r="F577" i="1"/>
  <c r="F578" i="1"/>
  <c r="F579" i="1"/>
  <c r="F580" i="1"/>
  <c r="F581" i="1"/>
  <c r="F582" i="1"/>
  <c r="K8" i="1"/>
  <c r="S696" i="1"/>
  <c r="S695" i="1"/>
  <c r="S694" i="1"/>
  <c r="S693" i="1"/>
  <c r="S692" i="1"/>
  <c r="S691" i="1"/>
  <c r="S690" i="1"/>
  <c r="S689" i="1"/>
  <c r="S688" i="1"/>
  <c r="S687" i="1"/>
  <c r="M687" i="1"/>
  <c r="S370" i="1"/>
  <c r="S369" i="1"/>
  <c r="S368" i="1"/>
  <c r="S367" i="1"/>
  <c r="S366" i="1"/>
  <c r="S365" i="1"/>
  <c r="S364" i="1"/>
  <c r="S363" i="1"/>
  <c r="S362" i="1"/>
  <c r="S361" i="1"/>
  <c r="F646" i="1"/>
  <c r="F648" i="1"/>
  <c r="F650" i="1"/>
  <c r="F651" i="1"/>
  <c r="F652" i="1"/>
  <c r="F653" i="1"/>
  <c r="F654" i="1"/>
  <c r="S752" i="1"/>
  <c r="J752" i="1"/>
  <c r="F752" i="1"/>
  <c r="S751" i="1"/>
  <c r="J751" i="1"/>
  <c r="F751" i="1"/>
  <c r="S750" i="1"/>
  <c r="J750" i="1"/>
  <c r="F750" i="1"/>
  <c r="S749" i="1"/>
  <c r="J749" i="1"/>
  <c r="F749" i="1"/>
  <c r="S748" i="1"/>
  <c r="J748" i="1"/>
  <c r="F748" i="1"/>
  <c r="S747" i="1"/>
  <c r="J747" i="1"/>
  <c r="F747" i="1"/>
  <c r="S746" i="1"/>
  <c r="J746" i="1"/>
  <c r="F746" i="1"/>
  <c r="S745" i="1"/>
  <c r="J745" i="1"/>
  <c r="F745" i="1"/>
  <c r="S744" i="1"/>
  <c r="J744" i="1"/>
  <c r="F744" i="1"/>
  <c r="S743" i="1"/>
  <c r="J743" i="1"/>
  <c r="F743" i="1"/>
  <c r="S738" i="1"/>
  <c r="J738" i="1"/>
  <c r="F738" i="1"/>
  <c r="S737" i="1"/>
  <c r="S736" i="1"/>
  <c r="S735" i="1"/>
  <c r="S734" i="1"/>
  <c r="S733" i="1"/>
  <c r="S732" i="1"/>
  <c r="S731" i="1"/>
  <c r="S730" i="1"/>
  <c r="S729" i="1"/>
  <c r="S724" i="1"/>
  <c r="J724" i="1"/>
  <c r="F724" i="1"/>
  <c r="S723" i="1"/>
  <c r="J723" i="1"/>
  <c r="F723" i="1"/>
  <c r="S722" i="1"/>
  <c r="S721" i="1"/>
  <c r="S720" i="1"/>
  <c r="S719" i="1"/>
  <c r="S718" i="1"/>
  <c r="S717" i="1"/>
  <c r="S716" i="1"/>
  <c r="S715" i="1"/>
  <c r="S710" i="1"/>
  <c r="J710" i="1"/>
  <c r="F710" i="1"/>
  <c r="S709" i="1"/>
  <c r="J709" i="1"/>
  <c r="F709" i="1"/>
  <c r="S708" i="1"/>
  <c r="S707" i="1"/>
  <c r="S706" i="1"/>
  <c r="S705" i="1"/>
  <c r="S704" i="1"/>
  <c r="S703" i="1"/>
  <c r="S702" i="1"/>
  <c r="S701" i="1"/>
  <c r="S682" i="1"/>
  <c r="J696" i="1"/>
  <c r="F696" i="1"/>
  <c r="S681" i="1"/>
  <c r="J695" i="1"/>
  <c r="F695" i="1"/>
  <c r="S680" i="1"/>
  <c r="J694" i="1"/>
  <c r="F694" i="1"/>
  <c r="S679" i="1"/>
  <c r="J693" i="1"/>
  <c r="F693" i="1"/>
  <c r="S678" i="1"/>
  <c r="S677" i="1"/>
  <c r="S676" i="1"/>
  <c r="S675" i="1"/>
  <c r="S674" i="1"/>
  <c r="S673" i="1"/>
  <c r="S668" i="1"/>
  <c r="J668" i="1"/>
  <c r="F668" i="1"/>
  <c r="S667" i="1"/>
  <c r="J667" i="1"/>
  <c r="F667" i="1"/>
  <c r="S666" i="1"/>
  <c r="J666" i="1"/>
  <c r="F666" i="1"/>
  <c r="S665" i="1"/>
  <c r="J665" i="1"/>
  <c r="F665" i="1"/>
  <c r="S664" i="1"/>
  <c r="J664" i="1"/>
  <c r="F664" i="1"/>
  <c r="S663" i="1"/>
  <c r="S662" i="1"/>
  <c r="S661" i="1"/>
  <c r="S660" i="1"/>
  <c r="S659" i="1"/>
  <c r="S654" i="1"/>
  <c r="J654" i="1"/>
  <c r="S653" i="1"/>
  <c r="J653" i="1"/>
  <c r="S652" i="1"/>
  <c r="J652" i="1"/>
  <c r="S651" i="1"/>
  <c r="J651" i="1"/>
  <c r="S650" i="1"/>
  <c r="J650" i="1"/>
  <c r="S649" i="1"/>
  <c r="S648" i="1"/>
  <c r="J648" i="1"/>
  <c r="S647" i="1"/>
  <c r="S646" i="1"/>
  <c r="J646" i="1"/>
  <c r="S645" i="1"/>
  <c r="S640" i="1"/>
  <c r="J640" i="1"/>
  <c r="F640" i="1"/>
  <c r="S639" i="1"/>
  <c r="J639" i="1"/>
  <c r="F639" i="1"/>
  <c r="S638" i="1"/>
  <c r="S637" i="1"/>
  <c r="J637" i="1"/>
  <c r="F637" i="1"/>
  <c r="S636" i="1"/>
  <c r="F636" i="1"/>
  <c r="J636" i="1"/>
  <c r="S635" i="1"/>
  <c r="J635" i="1"/>
  <c r="F635" i="1"/>
  <c r="S633" i="1"/>
  <c r="J633" i="1"/>
  <c r="F633" i="1"/>
  <c r="S632" i="1"/>
  <c r="J632" i="1"/>
  <c r="F632" i="1"/>
  <c r="S631" i="1"/>
  <c r="F626" i="1"/>
  <c r="S626" i="1"/>
  <c r="F625" i="1"/>
  <c r="J625" i="1"/>
  <c r="S624" i="1"/>
  <c r="F624" i="1"/>
  <c r="J624" i="1"/>
  <c r="S623" i="1"/>
  <c r="J623" i="1"/>
  <c r="F623" i="1"/>
  <c r="F622" i="1"/>
  <c r="J622" i="1"/>
  <c r="J621" i="1"/>
  <c r="F621" i="1"/>
  <c r="S621" i="1"/>
  <c r="J620" i="1"/>
  <c r="F620" i="1"/>
  <c r="S620" i="1"/>
  <c r="J619" i="1"/>
  <c r="F619" i="1"/>
  <c r="S619" i="1"/>
  <c r="F618" i="1"/>
  <c r="S618" i="1"/>
  <c r="J617" i="1"/>
  <c r="F617" i="1"/>
  <c r="S617" i="1"/>
  <c r="S461" i="1"/>
  <c r="S462" i="1"/>
  <c r="S463" i="1"/>
  <c r="S464" i="1"/>
  <c r="S465" i="1"/>
  <c r="S466" i="1"/>
  <c r="S625" i="1"/>
  <c r="J618" i="1"/>
  <c r="S622" i="1"/>
  <c r="J626" i="1"/>
  <c r="S596" i="1"/>
  <c r="S595" i="1"/>
  <c r="S594" i="1"/>
  <c r="S593" i="1"/>
  <c r="S592" i="1"/>
  <c r="S591" i="1"/>
  <c r="S590" i="1"/>
  <c r="S589" i="1"/>
  <c r="S588" i="1"/>
  <c r="S587" i="1"/>
  <c r="S582" i="1"/>
  <c r="S581" i="1"/>
  <c r="S580" i="1"/>
  <c r="S579" i="1"/>
  <c r="S578" i="1"/>
  <c r="S577" i="1"/>
  <c r="S576" i="1"/>
  <c r="S575" i="1"/>
  <c r="S574" i="1"/>
  <c r="S573" i="1"/>
  <c r="S568" i="1"/>
  <c r="S567" i="1"/>
  <c r="S566" i="1"/>
  <c r="S565" i="1"/>
  <c r="S564" i="1"/>
  <c r="S563" i="1"/>
  <c r="S562" i="1"/>
  <c r="S561" i="1"/>
  <c r="S560" i="1"/>
  <c r="S559" i="1"/>
  <c r="S554" i="1"/>
  <c r="S553" i="1"/>
  <c r="S552" i="1"/>
  <c r="S551" i="1"/>
  <c r="S550" i="1"/>
  <c r="S549" i="1"/>
  <c r="S548" i="1"/>
  <c r="S547" i="1"/>
  <c r="S546" i="1"/>
  <c r="S545" i="1"/>
  <c r="S540" i="1"/>
  <c r="S539" i="1"/>
  <c r="S538" i="1"/>
  <c r="S537" i="1"/>
  <c r="S536" i="1"/>
  <c r="S535" i="1"/>
  <c r="S534" i="1"/>
  <c r="S533" i="1"/>
  <c r="S532" i="1"/>
  <c r="S531" i="1"/>
  <c r="S526" i="1"/>
  <c r="S525" i="1"/>
  <c r="S524" i="1"/>
  <c r="S523" i="1"/>
  <c r="S522" i="1"/>
  <c r="S521" i="1"/>
  <c r="S520" i="1"/>
  <c r="S519" i="1"/>
  <c r="S518" i="1"/>
  <c r="S517" i="1"/>
  <c r="S512" i="1"/>
  <c r="S511" i="1"/>
  <c r="S510" i="1"/>
  <c r="S509" i="1"/>
  <c r="S508" i="1"/>
  <c r="S507" i="1"/>
  <c r="S506" i="1"/>
  <c r="S505" i="1"/>
  <c r="S504" i="1"/>
  <c r="S503" i="1"/>
  <c r="S498" i="1"/>
  <c r="S497" i="1"/>
  <c r="S496" i="1"/>
  <c r="S495" i="1"/>
  <c r="S494" i="1"/>
  <c r="S493" i="1"/>
  <c r="S492" i="1"/>
  <c r="S491" i="1"/>
  <c r="S490" i="1"/>
  <c r="S489" i="1"/>
  <c r="S484" i="1"/>
  <c r="S483" i="1"/>
  <c r="S482" i="1"/>
  <c r="S481" i="1"/>
  <c r="S480" i="1"/>
  <c r="S478" i="1"/>
  <c r="S477" i="1"/>
  <c r="S476" i="1"/>
  <c r="S475" i="1"/>
  <c r="S470" i="1"/>
  <c r="S469" i="1"/>
  <c r="S468" i="1"/>
  <c r="S467" i="1"/>
  <c r="S440" i="1"/>
  <c r="S439" i="1"/>
  <c r="S438" i="1"/>
  <c r="S437" i="1"/>
  <c r="S436" i="1"/>
  <c r="S435" i="1"/>
  <c r="S434" i="1"/>
  <c r="S433" i="1"/>
  <c r="S432" i="1"/>
  <c r="S431" i="1"/>
  <c r="S426" i="1"/>
  <c r="S425" i="1"/>
  <c r="S424" i="1"/>
  <c r="S423" i="1"/>
  <c r="S422" i="1"/>
  <c r="S421" i="1"/>
  <c r="S420" i="1"/>
  <c r="S419" i="1"/>
  <c r="S418" i="1"/>
  <c r="S417" i="1"/>
  <c r="S412" i="1"/>
  <c r="S411" i="1"/>
  <c r="S410" i="1"/>
  <c r="S409" i="1"/>
  <c r="S408" i="1"/>
  <c r="S407" i="1"/>
  <c r="S406" i="1"/>
  <c r="S405" i="1"/>
  <c r="S404" i="1"/>
  <c r="S403" i="1"/>
  <c r="S398" i="1"/>
  <c r="S397" i="1"/>
  <c r="S396" i="1"/>
  <c r="S395" i="1"/>
  <c r="S394" i="1"/>
  <c r="S393" i="1"/>
  <c r="S392" i="1"/>
  <c r="S391" i="1"/>
  <c r="S390" i="1"/>
  <c r="S389" i="1"/>
  <c r="S384" i="1"/>
  <c r="S383" i="1"/>
  <c r="S382" i="1"/>
  <c r="S381" i="1"/>
  <c r="S380" i="1"/>
  <c r="S379" i="1"/>
  <c r="S378" i="1"/>
  <c r="S377" i="1"/>
  <c r="S376" i="1"/>
  <c r="S375" i="1"/>
  <c r="S356" i="1"/>
  <c r="S355" i="1"/>
  <c r="S354" i="1"/>
  <c r="S353" i="1"/>
  <c r="S352" i="1"/>
  <c r="S351" i="1"/>
  <c r="S350" i="1"/>
  <c r="S349" i="1"/>
  <c r="S348" i="1"/>
  <c r="S347" i="1"/>
  <c r="S342" i="1"/>
  <c r="S341" i="1"/>
  <c r="S340" i="1"/>
  <c r="S339" i="1"/>
  <c r="S338" i="1"/>
  <c r="S337" i="1"/>
  <c r="S336" i="1"/>
  <c r="S335" i="1"/>
  <c r="S334" i="1"/>
  <c r="S333" i="1"/>
  <c r="S328" i="1"/>
  <c r="S327" i="1"/>
  <c r="S326" i="1"/>
  <c r="S325" i="1"/>
  <c r="S324" i="1"/>
  <c r="S323" i="1"/>
  <c r="S322" i="1"/>
  <c r="S321" i="1"/>
  <c r="S320" i="1"/>
  <c r="S319" i="1"/>
  <c r="S284" i="1"/>
  <c r="S283" i="1"/>
  <c r="S282" i="1"/>
  <c r="S281" i="1"/>
  <c r="S280" i="1"/>
  <c r="S279" i="1"/>
  <c r="S278" i="1"/>
  <c r="S277" i="1"/>
  <c r="S276" i="1"/>
  <c r="S275" i="1"/>
  <c r="S270" i="1"/>
  <c r="S269" i="1"/>
  <c r="S268" i="1"/>
  <c r="S267" i="1"/>
  <c r="S266" i="1"/>
  <c r="S265" i="1"/>
  <c r="S264" i="1"/>
  <c r="S263" i="1"/>
  <c r="S262" i="1"/>
  <c r="S261" i="1"/>
  <c r="S256" i="1"/>
  <c r="S255" i="1"/>
  <c r="S254" i="1"/>
  <c r="S253" i="1"/>
  <c r="S252" i="1"/>
  <c r="S251" i="1"/>
  <c r="S250" i="1"/>
  <c r="S249" i="1"/>
  <c r="S248" i="1"/>
  <c r="S247" i="1"/>
  <c r="S242" i="1"/>
  <c r="S241" i="1"/>
  <c r="S240" i="1"/>
  <c r="S239" i="1"/>
  <c r="S238" i="1"/>
  <c r="S237" i="1"/>
  <c r="S236" i="1"/>
  <c r="S235" i="1"/>
  <c r="S234" i="1"/>
  <c r="S233" i="1"/>
  <c r="S228" i="1"/>
  <c r="S227" i="1"/>
  <c r="S226" i="1"/>
  <c r="S225" i="1"/>
  <c r="S224" i="1"/>
  <c r="S223" i="1"/>
  <c r="S222" i="1"/>
  <c r="S221" i="1"/>
  <c r="S220" i="1"/>
  <c r="S219" i="1"/>
  <c r="S214" i="1"/>
  <c r="S213" i="1"/>
  <c r="S212" i="1"/>
  <c r="S211" i="1"/>
  <c r="S210" i="1"/>
  <c r="S209" i="1"/>
  <c r="S208" i="1"/>
  <c r="S207" i="1"/>
  <c r="S206" i="1"/>
  <c r="S205" i="1"/>
  <c r="S200" i="1"/>
  <c r="S199" i="1"/>
  <c r="S198" i="1"/>
  <c r="S197" i="1"/>
  <c r="S196" i="1"/>
  <c r="S195" i="1"/>
  <c r="S194" i="1"/>
  <c r="S192" i="1"/>
  <c r="S186" i="1"/>
  <c r="S185" i="1"/>
  <c r="S184" i="1"/>
  <c r="S183" i="1"/>
  <c r="S182" i="1"/>
  <c r="S181" i="1"/>
  <c r="S180" i="1"/>
  <c r="S179" i="1"/>
  <c r="S178" i="1"/>
  <c r="S171" i="1"/>
  <c r="S172" i="1"/>
  <c r="S170" i="1"/>
  <c r="S169" i="1"/>
  <c r="S168" i="1"/>
  <c r="S167" i="1"/>
  <c r="S166" i="1"/>
  <c r="S165" i="1"/>
  <c r="S164" i="1"/>
  <c r="S163" i="1"/>
  <c r="J596" i="1"/>
  <c r="F596" i="1"/>
  <c r="J595" i="1"/>
  <c r="F595" i="1"/>
  <c r="J594" i="1"/>
  <c r="F594" i="1"/>
  <c r="J593" i="1"/>
  <c r="F593" i="1"/>
  <c r="J592" i="1"/>
  <c r="F592" i="1"/>
  <c r="J591" i="1"/>
  <c r="F591" i="1"/>
  <c r="J590" i="1"/>
  <c r="F590" i="1"/>
  <c r="J589" i="1"/>
  <c r="F589" i="1"/>
  <c r="J588" i="1"/>
  <c r="F588" i="1"/>
  <c r="J587" i="1"/>
  <c r="F587" i="1"/>
  <c r="J440" i="1"/>
  <c r="F440" i="1"/>
  <c r="J439" i="1"/>
  <c r="F439" i="1"/>
  <c r="J438" i="1"/>
  <c r="F438" i="1"/>
  <c r="J437" i="1"/>
  <c r="F437" i="1"/>
  <c r="J436" i="1"/>
  <c r="F436" i="1"/>
  <c r="J435" i="1"/>
  <c r="F435" i="1"/>
  <c r="J434" i="1"/>
  <c r="F434" i="1"/>
  <c r="J433" i="1"/>
  <c r="F433" i="1"/>
  <c r="J431" i="1"/>
  <c r="F431" i="1"/>
  <c r="J284" i="1"/>
  <c r="F284" i="1"/>
  <c r="J283" i="1"/>
  <c r="F283" i="1"/>
  <c r="J282" i="1"/>
  <c r="F282" i="1"/>
  <c r="J281" i="1"/>
  <c r="F281" i="1"/>
  <c r="J280" i="1"/>
  <c r="F280" i="1"/>
  <c r="J279" i="1"/>
  <c r="F279" i="1"/>
  <c r="J278" i="1"/>
  <c r="F278" i="1"/>
  <c r="J277" i="1"/>
  <c r="F277" i="1"/>
  <c r="J276" i="1"/>
  <c r="F276" i="1"/>
  <c r="J275" i="1"/>
  <c r="F275" i="1"/>
  <c r="U438" i="1"/>
  <c r="U594" i="1"/>
  <c r="U566" i="1"/>
  <c r="U552" i="1"/>
  <c r="S479" i="1"/>
  <c r="M673" i="1"/>
  <c r="U680" i="1"/>
  <c r="S634" i="1"/>
  <c r="M743" i="1"/>
  <c r="U750" i="1"/>
  <c r="S177" i="1"/>
  <c r="U538" i="1"/>
  <c r="U382" i="1"/>
  <c r="M645" i="1"/>
  <c r="U652" i="1"/>
  <c r="U240" i="1"/>
  <c r="M715" i="1"/>
  <c r="U722" i="1"/>
  <c r="S193" i="1"/>
  <c r="U282" i="1"/>
  <c r="U268" i="1"/>
  <c r="U580" i="1"/>
  <c r="U424" i="1"/>
  <c r="U410" i="1"/>
  <c r="U396" i="1"/>
  <c r="M729" i="1"/>
  <c r="U736" i="1"/>
  <c r="U694" i="1"/>
  <c r="S191" i="1"/>
  <c r="U254" i="1"/>
  <c r="U170" i="1"/>
  <c r="M701" i="1"/>
  <c r="U708" i="1"/>
  <c r="M617" i="1"/>
  <c r="U624" i="1"/>
  <c r="U468" i="1"/>
  <c r="U496" i="1"/>
  <c r="U226" i="1"/>
  <c r="M631" i="1"/>
  <c r="U482" i="1"/>
  <c r="U524" i="1"/>
  <c r="U368" i="1"/>
  <c r="U212" i="1"/>
  <c r="U666" i="1"/>
  <c r="U184" i="1"/>
  <c r="U326" i="1"/>
  <c r="U638" i="1"/>
  <c r="U340" i="1"/>
  <c r="U354" i="1"/>
  <c r="U198" i="1"/>
  <c r="M81" i="1"/>
  <c r="U510" i="1"/>
  <c r="I2" i="1"/>
</calcChain>
</file>

<file path=xl/sharedStrings.xml><?xml version="1.0" encoding="utf-8"?>
<sst xmlns="http://schemas.openxmlformats.org/spreadsheetml/2006/main" count="1516" uniqueCount="94">
  <si>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</si>
  <si>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</si>
  <si>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</si>
  <si>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</si>
  <si>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</si>
  <si>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</si>
  <si>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</si>
  <si>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</si>
  <si>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</si>
  <si>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W%-T1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</si>
  <si>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</si>
  <si>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</si>
  <si>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</si>
  <si>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</si>
  <si>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</si>
  <si>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</si>
  <si>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</si>
  <si>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</si>
  <si>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</si>
  <si>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</si>
  <si>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</si>
  <si>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</si>
  <si>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</si>
  <si>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</si>
  <si>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</si>
  <si>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</si>
  <si>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</si>
  <si>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</si>
  <si>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</si>
  <si>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</si>
  <si>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</si>
  <si>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</si>
  <si>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</si>
  <si>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</si>
  <si>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Tendenzen richtig</t>
  </si>
  <si>
    <t>ROI-T</t>
  </si>
  <si>
    <t>€</t>
  </si>
  <si>
    <t>Tendenz</t>
  </si>
  <si>
    <t>EV/real</t>
  </si>
  <si>
    <t>LMS</t>
  </si>
  <si>
    <t>real</t>
  </si>
  <si>
    <t>sollte sein</t>
  </si>
  <si>
    <t>Grundeinsatz (€)</t>
  </si>
  <si>
    <t>€ By EV</t>
  </si>
  <si>
    <t>€ By Tendency</t>
  </si>
  <si>
    <t>g2</t>
  </si>
  <si>
    <t>uol</t>
  </si>
  <si>
    <t>c9</t>
  </si>
  <si>
    <t>tsm</t>
  </si>
  <si>
    <t>clg</t>
  </si>
  <si>
    <t>fox</t>
  </si>
  <si>
    <t>tl</t>
  </si>
  <si>
    <t>fq</t>
  </si>
  <si>
    <t>Rundungsfehler</t>
  </si>
  <si>
    <t>fnc</t>
  </si>
  <si>
    <t>skt</t>
  </si>
  <si>
    <t>fw</t>
  </si>
  <si>
    <t>mvp</t>
  </si>
  <si>
    <t>rox</t>
  </si>
  <si>
    <t>af</t>
  </si>
  <si>
    <t>jin</t>
  </si>
  <si>
    <t>kt</t>
  </si>
  <si>
    <t>bbq</t>
  </si>
  <si>
    <t>ahq</t>
  </si>
  <si>
    <t>jt</t>
  </si>
  <si>
    <t>m17</t>
  </si>
  <si>
    <t>hka</t>
  </si>
  <si>
    <t xml:space="preserve"> </t>
  </si>
  <si>
    <t>Gewinn (Vielfache Grundeinsatz)</t>
  </si>
  <si>
    <t>ksv</t>
  </si>
  <si>
    <t>1,72</t>
  </si>
  <si>
    <t>2</t>
  </si>
  <si>
    <t>kdm</t>
  </si>
  <si>
    <t>0/0</t>
  </si>
  <si>
    <t>mad</t>
  </si>
  <si>
    <t>ta</t>
  </si>
  <si>
    <t>rex</t>
  </si>
  <si>
    <t>og</t>
  </si>
  <si>
    <t>cg</t>
  </si>
  <si>
    <t>gg</t>
  </si>
  <si>
    <t>mfs</t>
  </si>
  <si>
    <t>vit</t>
  </si>
  <si>
    <t>h2k</t>
  </si>
  <si>
    <t>roc</t>
  </si>
  <si>
    <t>s04</t>
  </si>
  <si>
    <t>spy</t>
  </si>
  <si>
    <t>skt1</t>
  </si>
  <si>
    <t>´cg</t>
  </si>
  <si>
    <t>kgm</t>
  </si>
  <si>
    <t>kz</t>
  </si>
  <si>
    <t>T2</t>
  </si>
  <si>
    <t>T1</t>
  </si>
  <si>
    <t>t1</t>
  </si>
  <si>
    <t>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</si>
</sst>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0.000"/>
  </numFmts>
  <fonts count="28" x14ac:knownFonts="1">
    <font>
      <sz val="11"/>
      <color theme="1"/>
      <name val="Calibri"/>
      <family val="2"/>
      <scheme val="minor"/>
    </font>
    <font>
      <sz val="26"/>
      <color theme="0"/>
      <name val="Georgia"/>
      <family val="1"/>
    </font>
    <font>
      <sz val="12"/>
      <name val="Georgia"/>
      <family val="1"/>
    </font>
    <font>
      <b/>
      <sz val="14"/>
      <name val="Georgia"/>
      <family val="1"/>
    </font>
    <font>
      <b/>
      <sz val="12"/>
      <name val="Georgia"/>
      <family val="1"/>
    </font>
    <font>
      <sz val="12"/>
      <name val="Century Schoolbook"/>
      <family val="1"/>
    </font>
    <font>
      <u/>
      <sz val="12"/>
      <name val="Century Schoolbook"/>
      <family val="1"/>
    </font>
    <font>
      <b/>
      <sz val="18"/>
      <color rgb="FF7030A0"/>
      <name val="Georgia"/>
      <family val="1"/>
    </font>
    <font>
      <b/>
      <sz val="18"/>
      <name val="Georgia"/>
      <family val="1"/>
    </font>
    <font>
      <sz val="12"/>
      <color rgb="FFFF0000"/>
      <name val="Century Schoolbook"/>
      <family val="1"/>
    </font>
    <font>
      <sz val="11"/>
      <color theme="1"/>
      <name val="Calibri"/>
      <family val="2"/>
      <scheme val="minor"/>
    </font>
    <font>
      <b/>
      <sz val="10"/>
      <name val="Georgia"/>
      <family val="1"/>
    </font>
    <font>
      <b/>
      <i/>
      <u/>
      <sz val="12"/>
      <name val="Century Schoolbook"/>
      <family val="1"/>
    </font>
    <font>
      <sz val="20"/>
      <color theme="0"/>
      <name val="Century Schoolbook"/>
      <family val="1"/>
    </font>
    <font>
      <b/>
      <sz val="12"/>
      <name val="Century Schoolbook"/>
      <family val="1"/>
    </font>
    <font>
      <sz val="14"/>
      <color theme="0"/>
      <name val="Century Schoolbook"/>
      <family val="1"/>
    </font>
    <font>
      <sz val="18"/>
      <color theme="0"/>
      <name val="Century Schoolbook"/>
      <family val="1"/>
    </font>
    <font>
      <b/>
      <sz val="14"/>
      <color theme="0"/>
      <name val="Calibri"/>
      <family val="2"/>
      <scheme val="minor"/>
    </font>
    <font>
      <b/>
      <sz val="12"/>
      <color theme="0"/>
      <name val="Century Schoolbook"/>
      <family val="1"/>
    </font>
    <font>
      <sz val="11"/>
      <color rgb="FF000000"/>
      <name val="Calibri"/>
      <family val="3"/>
      <charset val="1"/>
      <scheme val="minor"/>
    </font>
    <font>
      <b/>
      <sz val="14"/>
      <name val="Marlett"/>
      <charset val="2"/>
    </font>
    <font>
      <sz val="36"/>
      <name val="Century Schoolbook"/>
      <family val="1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name val="Century Schoolbook"/>
      <family val="1"/>
    </font>
    <font>
      <sz val="16"/>
      <color theme="0"/>
      <name val="Century Schoolbook"/>
      <family val="1"/>
    </font>
    <font>
      <sz val="16"/>
      <color rgb="FF339966"/>
      <name val="Calibri"/>
      <family val="2"/>
    </font>
    <font>
      <sz val="16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7">
    <xf numFmtId="0" fontId="0" fillId="0" borderId="0" xfId="0"/>
    <xf numFmtId="0" fontId="2" fillId="8" borderId="3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5" fillId="4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left" vertical="center"/>
    </xf>
    <xf numFmtId="0" fontId="5" fillId="4" borderId="0" xfId="0" applyNumberFormat="1" applyFont="1" applyFill="1"/>
    <xf numFmtId="2" fontId="5" fillId="4" borderId="0" xfId="0" applyNumberFormat="1" applyFont="1" applyFill="1"/>
    <xf numFmtId="0" fontId="5" fillId="0" borderId="0" xfId="0" applyFont="1" applyFill="1"/>
    <xf numFmtId="0" fontId="5" fillId="0" borderId="0" xfId="0" applyFont="1"/>
    <xf numFmtId="0" fontId="2" fillId="8" borderId="5" xfId="0" applyFont="1" applyFill="1" applyBorder="1" applyAlignment="1">
      <alignment horizontal="center" vertical="center"/>
    </xf>
    <xf numFmtId="0" fontId="9" fillId="4" borderId="0" xfId="0" applyFont="1" applyFill="1"/>
    <xf numFmtId="0" fontId="4" fillId="4" borderId="15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2" fillId="8" borderId="5" xfId="0" applyFont="1" applyFill="1" applyBorder="1"/>
    <xf numFmtId="49" fontId="11" fillId="4" borderId="15" xfId="0" applyNumberFormat="1" applyFont="1" applyFill="1" applyBorder="1" applyAlignment="1">
      <alignment horizontal="center" vertical="center"/>
    </xf>
    <xf numFmtId="49" fontId="11" fillId="4" borderId="14" xfId="0" applyNumberFormat="1" applyFont="1" applyFill="1" applyBorder="1" applyAlignment="1">
      <alignment horizontal="center" vertical="center"/>
    </xf>
    <xf numFmtId="0" fontId="2" fillId="8" borderId="8" xfId="0" applyFont="1" applyFill="1" applyBorder="1"/>
    <xf numFmtId="164" fontId="4" fillId="4" borderId="6" xfId="0" applyNumberFormat="1" applyFont="1" applyFill="1" applyBorder="1" applyAlignment="1">
      <alignment horizontal="center" vertical="center"/>
    </xf>
    <xf numFmtId="164" fontId="4" fillId="4" borderId="15" xfId="0" applyNumberFormat="1" applyFont="1" applyFill="1" applyBorder="1" applyAlignment="1">
      <alignment horizontal="center" vertical="center"/>
    </xf>
    <xf numFmtId="0" fontId="5" fillId="9" borderId="0" xfId="0" applyFont="1" applyFill="1"/>
    <xf numFmtId="0" fontId="12" fillId="9" borderId="0" xfId="0" applyFont="1" applyFill="1"/>
    <xf numFmtId="0" fontId="5" fillId="9" borderId="0" xfId="0" applyNumberFormat="1" applyFont="1" applyFill="1"/>
    <xf numFmtId="2" fontId="5" fillId="9" borderId="0" xfId="0" applyNumberFormat="1" applyFont="1" applyFill="1"/>
    <xf numFmtId="0" fontId="5" fillId="0" borderId="0" xfId="0" applyNumberFormat="1" applyFont="1"/>
    <xf numFmtId="2" fontId="5" fillId="0" borderId="0" xfId="0" applyNumberFormat="1" applyFont="1"/>
    <xf numFmtId="0" fontId="5" fillId="7" borderId="1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NumberFormat="1" applyFont="1" applyFill="1"/>
    <xf numFmtId="2" fontId="5" fillId="0" borderId="0" xfId="0" applyNumberFormat="1" applyFont="1" applyFill="1"/>
    <xf numFmtId="0" fontId="5" fillId="7" borderId="4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7" borderId="4" xfId="0" applyFont="1" applyFill="1" applyBorder="1"/>
    <xf numFmtId="0" fontId="5" fillId="7" borderId="5" xfId="0" applyFont="1" applyFill="1" applyBorder="1"/>
    <xf numFmtId="0" fontId="5" fillId="7" borderId="6" xfId="0" applyFont="1" applyFill="1" applyBorder="1"/>
    <xf numFmtId="0" fontId="5" fillId="7" borderId="8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left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14" fillId="4" borderId="10" xfId="0" applyFont="1" applyFill="1" applyBorder="1" applyAlignment="1">
      <alignment horizontal="center" vertical="center"/>
    </xf>
    <xf numFmtId="0" fontId="5" fillId="9" borderId="0" xfId="0" applyFont="1" applyFill="1" applyBorder="1"/>
    <xf numFmtId="0" fontId="17" fillId="6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9" xfId="0" applyNumberFormat="1" applyFont="1" applyFill="1" applyBorder="1" applyAlignment="1">
      <alignment horizontal="center"/>
    </xf>
    <xf numFmtId="2" fontId="18" fillId="3" borderId="9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NumberFormat="1" applyFont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14" fillId="9" borderId="0" xfId="0" applyFont="1" applyFill="1"/>
    <xf numFmtId="0" fontId="10" fillId="2" borderId="0" xfId="0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10" fillId="2" borderId="7" xfId="0" applyNumberFormat="1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9" fillId="4" borderId="2" xfId="0" applyNumberFormat="1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/>
    </xf>
    <xf numFmtId="0" fontId="10" fillId="4" borderId="3" xfId="0" applyNumberFormat="1" applyFont="1" applyFill="1" applyBorder="1" applyAlignment="1">
      <alignment horizontal="center" vertical="center"/>
    </xf>
    <xf numFmtId="0" fontId="19" fillId="2" borderId="0" xfId="0" applyNumberFormat="1" applyFont="1" applyFill="1" applyBorder="1" applyAlignment="1">
      <alignment horizontal="center" vertical="center" wrapText="1"/>
    </xf>
    <xf numFmtId="0" fontId="10" fillId="2" borderId="5" xfId="0" applyNumberFormat="1" applyFont="1" applyFill="1" applyBorder="1" applyAlignment="1">
      <alignment horizontal="center" vertical="center"/>
    </xf>
    <xf numFmtId="0" fontId="19" fillId="4" borderId="0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/>
    </xf>
    <xf numFmtId="0" fontId="22" fillId="4" borderId="5" xfId="0" applyNumberFormat="1" applyFont="1" applyFill="1" applyBorder="1" applyAlignment="1">
      <alignment horizontal="center" vertical="center"/>
    </xf>
    <xf numFmtId="0" fontId="22" fillId="2" borderId="5" xfId="0" applyNumberFormat="1" applyFont="1" applyFill="1" applyBorder="1" applyAlignment="1">
      <alignment horizontal="center" vertical="center"/>
    </xf>
    <xf numFmtId="0" fontId="19" fillId="2" borderId="7" xfId="0" applyNumberFormat="1" applyFont="1" applyFill="1" applyBorder="1" applyAlignment="1">
      <alignment horizontal="center" vertical="center" wrapText="1"/>
    </xf>
    <xf numFmtId="0" fontId="10" fillId="2" borderId="8" xfId="0" applyNumberFormat="1" applyFont="1" applyFill="1" applyBorder="1" applyAlignment="1">
      <alignment horizontal="center" vertical="center"/>
    </xf>
    <xf numFmtId="0" fontId="5" fillId="5" borderId="0" xfId="0" applyFont="1" applyFill="1"/>
    <xf numFmtId="0" fontId="5" fillId="5" borderId="0" xfId="0" applyNumberFormat="1" applyFont="1" applyFill="1"/>
    <xf numFmtId="2" fontId="5" fillId="5" borderId="0" xfId="0" applyNumberFormat="1" applyFont="1" applyFill="1"/>
    <xf numFmtId="0" fontId="25" fillId="3" borderId="1" xfId="0" applyFont="1" applyFill="1" applyBorder="1" applyAlignment="1">
      <alignment horizontal="center" vertical="center" textRotation="255" wrapText="1"/>
    </xf>
    <xf numFmtId="0" fontId="25" fillId="3" borderId="4" xfId="0" applyFont="1" applyFill="1" applyBorder="1" applyAlignment="1">
      <alignment horizontal="center" vertical="center" textRotation="255" wrapText="1"/>
    </xf>
    <xf numFmtId="0" fontId="22" fillId="4" borderId="0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5" fillId="9" borderId="0" xfId="0" applyNumberFormat="1" applyFont="1" applyFill="1" applyBorder="1"/>
    <xf numFmtId="2" fontId="5" fillId="9" borderId="0" xfId="0" applyNumberFormat="1" applyFont="1" applyFill="1" applyBorder="1"/>
    <xf numFmtId="0" fontId="5" fillId="9" borderId="0" xfId="0" applyNumberFormat="1" applyFont="1" applyFill="1" applyBorder="1" applyAlignment="1">
      <alignment horizontal="center" vertical="center"/>
    </xf>
    <xf numFmtId="2" fontId="24" fillId="9" borderId="0" xfId="0" applyNumberFormat="1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18" fillId="9" borderId="0" xfId="0" applyNumberFormat="1" applyFont="1" applyFill="1" applyBorder="1" applyAlignment="1">
      <alignment horizontal="center"/>
    </xf>
    <xf numFmtId="2" fontId="18" fillId="9" borderId="0" xfId="0" applyNumberFormat="1" applyFont="1" applyFill="1" applyBorder="1" applyAlignment="1">
      <alignment horizontal="center" vertical="center"/>
    </xf>
    <xf numFmtId="2" fontId="21" fillId="9" borderId="0" xfId="0" applyNumberFormat="1" applyFont="1" applyFill="1" applyBorder="1" applyAlignment="1">
      <alignment horizontal="center" vertical="center"/>
    </xf>
    <xf numFmtId="2" fontId="5" fillId="9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22" fillId="2" borderId="7" xfId="0" applyFont="1" applyFill="1" applyBorder="1" applyAlignment="1">
      <alignment horizontal="center" vertical="center"/>
    </xf>
    <xf numFmtId="0" fontId="0" fillId="4" borderId="2" xfId="0" applyNumberFormat="1" applyFont="1" applyFill="1" applyBorder="1" applyAlignment="1">
      <alignment horizontal="center" vertical="center"/>
    </xf>
    <xf numFmtId="0" fontId="0" fillId="2" borderId="7" xfId="0" applyNumberFormat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textRotation="90"/>
    </xf>
    <xf numFmtId="0" fontId="16" fillId="3" borderId="5" xfId="0" applyFont="1" applyFill="1" applyBorder="1" applyAlignment="1">
      <alignment horizontal="center" vertical="center" textRotation="90"/>
    </xf>
    <xf numFmtId="0" fontId="16" fillId="3" borderId="8" xfId="0" applyFont="1" applyFill="1" applyBorder="1" applyAlignment="1">
      <alignment horizontal="center" vertical="center" textRotation="90"/>
    </xf>
    <xf numFmtId="0" fontId="10" fillId="7" borderId="9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2" fontId="21" fillId="0" borderId="11" xfId="0" applyNumberFormat="1" applyFont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 textRotation="255" wrapText="1"/>
    </xf>
    <xf numFmtId="0" fontId="15" fillId="3" borderId="6" xfId="0" applyFont="1" applyFill="1" applyBorder="1" applyAlignment="1">
      <alignment horizontal="center" vertical="center" textRotation="255" wrapText="1"/>
    </xf>
    <xf numFmtId="2" fontId="24" fillId="0" borderId="9" xfId="0" applyNumberFormat="1" applyFont="1" applyBorder="1" applyAlignment="1">
      <alignment horizontal="center" vertical="center"/>
    </xf>
    <xf numFmtId="2" fontId="24" fillId="0" borderId="11" xfId="0" applyNumberFormat="1" applyFont="1" applyBorder="1" applyAlignment="1">
      <alignment horizontal="center" vertical="center"/>
    </xf>
    <xf numFmtId="2" fontId="24" fillId="0" borderId="10" xfId="0" applyNumberFormat="1" applyFont="1" applyBorder="1" applyAlignment="1">
      <alignment horizontal="center" vertical="center"/>
    </xf>
    <xf numFmtId="0" fontId="16" fillId="3" borderId="3" xfId="0" applyFont="1" applyFill="1" applyBorder="1" applyAlignment="1">
      <alignment vertical="center" textRotation="90"/>
    </xf>
    <xf numFmtId="0" fontId="16" fillId="3" borderId="5" xfId="0" applyFont="1" applyFill="1" applyBorder="1" applyAlignment="1">
      <alignment vertical="center" textRotation="90"/>
    </xf>
    <xf numFmtId="0" fontId="16" fillId="3" borderId="8" xfId="0" applyFont="1" applyFill="1" applyBorder="1" applyAlignment="1">
      <alignment vertical="center" textRotation="90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2" fontId="3" fillId="4" borderId="3" xfId="0" applyNumberFormat="1" applyFont="1" applyFill="1" applyBorder="1" applyAlignment="1">
      <alignment horizontal="center" vertical="center"/>
    </xf>
    <xf numFmtId="2" fontId="3" fillId="4" borderId="6" xfId="0" applyNumberFormat="1" applyFont="1" applyFill="1" applyBorder="1" applyAlignment="1">
      <alignment horizontal="center" vertical="center"/>
    </xf>
    <xf numFmtId="2" fontId="3" fillId="4" borderId="8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textRotation="255" wrapText="1"/>
    </xf>
    <xf numFmtId="0" fontId="13" fillId="3" borderId="4" xfId="0" applyFont="1" applyFill="1" applyBorder="1" applyAlignment="1">
      <alignment horizontal="center" vertical="center" textRotation="255" wrapText="1"/>
    </xf>
    <xf numFmtId="0" fontId="13" fillId="3" borderId="6" xfId="0" applyFont="1" applyFill="1" applyBorder="1" applyAlignment="1">
      <alignment horizontal="center" vertical="center" textRotation="255" wrapText="1"/>
    </xf>
    <xf numFmtId="0" fontId="15" fillId="3" borderId="0" xfId="0" applyFont="1" applyFill="1" applyAlignment="1">
      <alignment horizontal="center" vertical="center" textRotation="255" wrapText="1"/>
    </xf>
    <xf numFmtId="0" fontId="14" fillId="4" borderId="0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 textRotation="90"/>
    </xf>
    <xf numFmtId="0" fontId="16" fillId="3" borderId="11" xfId="0" applyFont="1" applyFill="1" applyBorder="1" applyAlignment="1">
      <alignment horizontal="center" vertical="center" textRotation="90"/>
    </xf>
    <xf numFmtId="0" fontId="16" fillId="3" borderId="10" xfId="0" applyFont="1" applyFill="1" applyBorder="1" applyAlignment="1">
      <alignment horizontal="center" vertical="center" textRotation="90"/>
    </xf>
    <xf numFmtId="2" fontId="5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" fontId="14" fillId="2" borderId="1" xfId="0" applyNumberFormat="1" applyFont="1" applyFill="1" applyBorder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3" xfId="0" applyNumberFormat="1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center" vertical="center"/>
    </xf>
    <xf numFmtId="2" fontId="14" fillId="2" borderId="7" xfId="0" applyNumberFormat="1" applyFont="1" applyFill="1" applyBorder="1" applyAlignment="1">
      <alignment horizontal="center" vertical="center"/>
    </xf>
    <xf numFmtId="2" fontId="14" fillId="2" borderId="8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horizontal="center" vertical="center"/>
    </xf>
    <xf numFmtId="0" fontId="5" fillId="2" borderId="7" xfId="0" applyNumberFormat="1" applyFont="1" applyFill="1" applyBorder="1" applyAlignment="1">
      <alignment horizontal="center" vertical="center"/>
    </xf>
    <xf numFmtId="0" fontId="5" fillId="2" borderId="8" xfId="0" applyNumberFormat="1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 textRotation="255" wrapText="1"/>
    </xf>
    <xf numFmtId="0" fontId="11" fillId="4" borderId="12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4" borderId="3" xfId="0" applyNumberFormat="1" applyFont="1" applyFill="1" applyBorder="1" applyAlignment="1">
      <alignment horizontal="center" vertical="center"/>
    </xf>
    <xf numFmtId="0" fontId="4" fillId="4" borderId="6" xfId="0" applyNumberFormat="1" applyFont="1" applyFill="1" applyBorder="1" applyAlignment="1">
      <alignment horizontal="center" vertical="center"/>
    </xf>
    <xf numFmtId="0" fontId="4" fillId="4" borderId="8" xfId="0" applyNumberFormat="1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4" borderId="3" xfId="0" applyNumberFormat="1" applyFont="1" applyFill="1" applyBorder="1" applyAlignment="1">
      <alignment horizontal="center" vertical="center"/>
    </xf>
    <xf numFmtId="2" fontId="4" fillId="4" borderId="6" xfId="0" applyNumberFormat="1" applyFont="1" applyFill="1" applyBorder="1" applyAlignment="1">
      <alignment horizontal="center" vertical="center"/>
    </xf>
    <xf numFmtId="2" fontId="4" fillId="4" borderId="8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6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0" fontId="4" fillId="4" borderId="1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49" fontId="8" fillId="4" borderId="3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2" fontId="7" fillId="4" borderId="11" xfId="0" applyNumberFormat="1" applyFont="1" applyFill="1" applyBorder="1" applyAlignment="1">
      <alignment horizontal="center" vertical="center"/>
    </xf>
    <xf numFmtId="2" fontId="8" fillId="4" borderId="11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 vertical="center" textRotation="255" wrapText="1"/>
    </xf>
    <xf numFmtId="0" fontId="13" fillId="3" borderId="0" xfId="0" applyFont="1" applyFill="1" applyBorder="1" applyAlignment="1">
      <alignment horizontal="center" vertical="center" textRotation="255" wrapText="1"/>
    </xf>
    <xf numFmtId="7" fontId="19" fillId="4" borderId="1" xfId="0" applyNumberFormat="1" applyFont="1" applyFill="1" applyBorder="1" applyAlignment="1">
      <alignment horizontal="center" vertical="center" wrapText="1"/>
    </xf>
    <xf numFmtId="0" fontId="2" fillId="8" borderId="2" xfId="0" applyNumberFormat="1" applyFont="1" applyFill="1" applyBorder="1" applyAlignment="1">
      <alignment horizontal="center" vertical="center"/>
    </xf>
    <xf numFmtId="0" fontId="2" fillId="8" borderId="0" xfId="0" applyNumberFormat="1" applyFont="1" applyFill="1" applyBorder="1" applyAlignment="1">
      <alignment horizontal="center" vertical="center"/>
    </xf>
    <xf numFmtId="0" fontId="2" fillId="8" borderId="0" xfId="0" applyNumberFormat="1" applyFont="1" applyFill="1" applyBorder="1"/>
    <xf numFmtId="0" fontId="2" fillId="8" borderId="7" xfId="0" applyNumberFormat="1" applyFont="1" applyFill="1" applyBorder="1"/>
    <xf numFmtId="0" fontId="5" fillId="7" borderId="2" xfId="0" applyNumberFormat="1" applyFont="1" applyFill="1" applyBorder="1" applyAlignment="1">
      <alignment horizontal="center" vertical="center"/>
    </xf>
    <xf numFmtId="0" fontId="5" fillId="7" borderId="0" xfId="0" applyNumberFormat="1" applyFont="1" applyFill="1" applyBorder="1" applyAlignment="1">
      <alignment horizontal="center" vertical="center"/>
    </xf>
    <xf numFmtId="0" fontId="5" fillId="7" borderId="0" xfId="0" applyNumberFormat="1" applyFont="1" applyFill="1" applyBorder="1"/>
    <xf numFmtId="0" fontId="5" fillId="7" borderId="7" xfId="0" applyNumberFormat="1" applyFont="1" applyFill="1" applyBorder="1"/>
    <xf numFmtId="0" fontId="5" fillId="4" borderId="2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17" fillId="6" borderId="2" xfId="0" applyNumberFormat="1" applyFont="1" applyFill="1" applyBorder="1" applyAlignment="1">
      <alignment horizontal="center" vertical="center"/>
    </xf>
    <xf numFmtId="0" fontId="19" fillId="4" borderId="1" xfId="0" applyNumberFormat="1" applyFont="1" applyFill="1" applyBorder="1" applyAlignment="1">
      <alignment horizontal="center" vertical="center" wrapText="1"/>
    </xf>
    <xf numFmtId="0" fontId="19" fillId="2" borderId="4" xfId="0" applyNumberFormat="1" applyFont="1" applyFill="1" applyBorder="1" applyAlignment="1">
      <alignment horizontal="center" vertical="center" wrapText="1"/>
    </xf>
    <xf numFmtId="0" fontId="19" fillId="4" borderId="4" xfId="0" applyNumberFormat="1" applyFont="1" applyFill="1" applyBorder="1" applyAlignment="1">
      <alignment horizontal="center" vertical="center" wrapText="1"/>
    </xf>
    <xf numFmtId="0" fontId="19" fillId="2" borderId="6" xfId="0" applyNumberFormat="1" applyFont="1" applyFill="1" applyBorder="1" applyAlignment="1">
      <alignment horizontal="center" vertical="center" wrapText="1"/>
    </xf>
    <xf numFmtId="0" fontId="17" fillId="6" borderId="0" xfId="0" applyNumberFormat="1" applyFont="1" applyFill="1" applyAlignment="1">
      <alignment horizontal="center" vertical="center"/>
    </xf>
    <xf numFmtId="0" fontId="17" fillId="6" borderId="15" xfId="0" applyNumberFormat="1" applyFont="1" applyFill="1" applyBorder="1" applyAlignment="1">
      <alignment horizontal="center" vertical="center"/>
    </xf>
    <xf numFmtId="0" fontId="17" fillId="6" borderId="1" xfId="0" applyNumberFormat="1" applyFont="1" applyFill="1" applyBorder="1" applyAlignment="1">
      <alignment horizontal="center" vertical="center"/>
    </xf>
    <xf numFmtId="7" fontId="19" fillId="2" borderId="4" xfId="0" applyNumberFormat="1" applyFont="1" applyFill="1" applyBorder="1" applyAlignment="1">
      <alignment horizontal="center" vertical="center" wrapText="1"/>
    </xf>
    <xf numFmtId="7" fontId="19" fillId="4" borderId="4" xfId="0" applyNumberFormat="1" applyFont="1" applyFill="1" applyBorder="1" applyAlignment="1">
      <alignment horizontal="center" vertical="center" wrapText="1"/>
    </xf>
    <xf numFmtId="7" fontId="19" fillId="2" borderId="6" xfId="0" applyNumberFormat="1" applyFont="1" applyFill="1" applyBorder="1" applyAlignment="1">
      <alignment horizontal="center" vertical="center" wrapText="1"/>
    </xf>
    <xf numFmtId="7" fontId="19" fillId="4" borderId="2" xfId="0" applyNumberFormat="1" applyFont="1" applyFill="1" applyBorder="1" applyAlignment="1">
      <alignment horizontal="center" vertical="center" wrapText="1"/>
    </xf>
    <xf numFmtId="7" fontId="19" fillId="2" borderId="0" xfId="0" applyNumberFormat="1" applyFont="1" applyFill="1" applyBorder="1" applyAlignment="1">
      <alignment horizontal="center" vertical="center" wrapText="1"/>
    </xf>
    <xf numFmtId="7" fontId="19" fillId="4" borderId="0" xfId="0" applyNumberFormat="1" applyFont="1" applyFill="1" applyBorder="1" applyAlignment="1">
      <alignment horizontal="center" vertical="center" wrapText="1"/>
    </xf>
    <xf numFmtId="7" fontId="19" fillId="2" borderId="7" xfId="0" applyNumberFormat="1" applyFont="1" applyFill="1" applyBorder="1" applyAlignment="1">
      <alignment horizontal="center" vertical="center" wrapText="1"/>
    </xf>
  </cellXfs>
  <cellStyles count="1">
    <cellStyle name="Standard" xfId="0" builtinId="0"/>
  </cellStyles>
  <dxfs count="1315"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strike val="0"/>
        <color rgb="FFFF0000"/>
      </font>
    </dxf>
    <dxf>
      <font>
        <strike val="0"/>
        <color rgb="FF00B05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161925</xdr:rowOff>
        </xdr:from>
        <xdr:to>
          <xdr:col>3</xdr:col>
          <xdr:colOff>1323975</xdr:colOff>
          <xdr:row>2</xdr:row>
          <xdr:rowOff>142875</xdr:rowOff>
        </xdr:to>
        <xdr:sp macro="" textlink="">
          <xdr:nvSpPr>
            <xdr:cNvPr id="1025" name="Schaltfläche 1" descr="League of Legen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104775</xdr:rowOff>
        </xdr:from>
        <xdr:to>
          <xdr:col>3</xdr:col>
          <xdr:colOff>1323975</xdr:colOff>
          <xdr:row>5</xdr:row>
          <xdr:rowOff>76200</xdr:rowOff>
        </xdr:to>
        <xdr:sp macro="" textlink="">
          <xdr:nvSpPr>
            <xdr:cNvPr id="1026" name="Schaltfläche 2" descr="League of Legend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other Game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6</xdr:row>
          <xdr:rowOff>9525</xdr:rowOff>
        </xdr:from>
        <xdr:to>
          <xdr:col>3</xdr:col>
          <xdr:colOff>1323975</xdr:colOff>
          <xdr:row>7</xdr:row>
          <xdr:rowOff>180975</xdr:rowOff>
        </xdr:to>
        <xdr:sp macro="" textlink="">
          <xdr:nvSpPr>
            <xdr:cNvPr id="1027" name="Schaltfläche 3" descr="League of Legend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other Game 2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6" name="Button 52" descr="League of Legends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7" name="Button 64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7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685800</xdr:colOff>
          <xdr:row>3</xdr:row>
          <xdr:rowOff>19050</xdr:rowOff>
        </xdr:from>
        <xdr:to>
          <xdr:col>25</xdr:col>
          <xdr:colOff>533400</xdr:colOff>
          <xdr:row>5</xdr:row>
          <xdr:rowOff>85725</xdr:rowOff>
        </xdr:to>
        <xdr:sp macro="" textlink="">
          <xdr:nvSpPr>
            <xdr:cNvPr id="1169" name="Schaltfläche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B94A0265-50A5-4E4F-81F9-E9D20EEEC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Export Teams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704850</xdr:colOff>
          <xdr:row>6</xdr:row>
          <xdr:rowOff>38100</xdr:rowOff>
        </xdr:from>
        <xdr:to>
          <xdr:col>25</xdr:col>
          <xdr:colOff>561975</xdr:colOff>
          <xdr:row>8</xdr:row>
          <xdr:rowOff>38100</xdr:rowOff>
        </xdr:to>
        <xdr:sp macro="" textlink="">
          <xdr:nvSpPr>
            <xdr:cNvPr id="1170" name="Schaltfläche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BA9C3DBC-AECB-4F5B-99AF-7E6DF837C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718297</xdr:colOff>
          <xdr:row>6</xdr:row>
          <xdr:rowOff>10646</xdr:rowOff>
        </xdr:from>
        <xdr:to>
          <xdr:col>28</xdr:col>
          <xdr:colOff>658346</xdr:colOff>
          <xdr:row>8</xdr:row>
          <xdr:rowOff>102534</xdr:rowOff>
        </xdr:to>
        <xdr:sp macro="" textlink="">
          <xdr:nvSpPr>
            <xdr:cNvPr id="1171" name="Schaltfläche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2FE6ED97-97A8-4A10-84B2-8932EB389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D780"/>
  <sheetViews>
    <sheetView tabSelected="1" zoomScale="85" zoomScaleNormal="85" zoomScalePageLayoutView="170" workbookViewId="0">
      <pane ySplit="9" topLeftCell="A135" activePane="bottomLeft" state="frozen"/>
      <selection pane="bottomLeft" activeCell="A148" sqref="A148:A158"/>
    </sheetView>
  </sheetViews>
  <sheetFormatPr baseColWidth="10" defaultColWidth="10.85546875" defaultRowHeight="15.75" x14ac:dyDescent="0.25"/>
  <cols>
    <col min="1" max="1" width="4.7109375" style="9" customWidth="1"/>
    <col min="2" max="2" width="5.7109375" style="9" customWidth="1"/>
    <col min="3" max="3" width="11.42578125" style="24" bestFit="1" customWidth="1"/>
    <col min="4" max="5" width="25.7109375" style="9" customWidth="1"/>
    <col min="6" max="10" width="15.7109375" style="9" customWidth="1"/>
    <col min="11" max="11" width="10.42578125" style="9" customWidth="1"/>
    <col min="12" max="12" width="24.28515625" style="9" bestFit="1" customWidth="1"/>
    <col min="13" max="13" width="13" style="9" bestFit="1" customWidth="1"/>
    <col min="14" max="14" width="1.7109375" style="9" customWidth="1"/>
    <col min="15" max="15" width="12.7109375" style="9" customWidth="1"/>
    <col min="16" max="16" width="1.7109375" style="9" customWidth="1"/>
    <col min="17" max="17" width="8.28515625" style="24" customWidth="1"/>
    <col min="18" max="18" width="1.7109375" style="9" customWidth="1"/>
    <col min="19" max="19" width="12.7109375" style="9" customWidth="1"/>
    <col min="20" max="20" width="1.7109375" style="9" customWidth="1"/>
    <col min="21" max="21" width="24.28515625" style="25" bestFit="1" customWidth="1"/>
    <col min="22" max="26" width="10.85546875" style="9"/>
    <col min="27" max="27" width="7.85546875" style="9" customWidth="1"/>
    <col min="28" max="16384" width="10.85546875" style="9"/>
  </cols>
  <sheetData>
    <row r="1" spans="1:30" ht="15" customHeight="1" thickBot="1" x14ac:dyDescent="0.3">
      <c r="A1" s="196" t="s">
        <v>0</v>
      </c>
      <c r="B1" s="196"/>
      <c r="C1" s="221"/>
      <c r="D1" s="1"/>
      <c r="E1" s="2" t="s">
        <v>4</v>
      </c>
      <c r="F1" s="139" t="s">
        <v>31</v>
      </c>
      <c r="G1" s="197"/>
      <c r="H1" s="140"/>
      <c r="I1" s="139" t="s">
        <v>38</v>
      </c>
      <c r="J1" s="140"/>
      <c r="K1" s="139" t="s">
        <v>53</v>
      </c>
      <c r="L1" s="140"/>
      <c r="M1" s="3"/>
      <c r="N1" s="3"/>
      <c r="O1" s="4"/>
      <c r="P1" s="5"/>
      <c r="Q1" s="6"/>
      <c r="R1" s="3"/>
      <c r="S1" s="3"/>
      <c r="T1" s="3"/>
      <c r="U1" s="7"/>
      <c r="V1" s="3"/>
      <c r="W1" s="3"/>
      <c r="X1" s="3"/>
      <c r="Y1" s="3"/>
      <c r="Z1" s="3"/>
      <c r="AA1" s="3"/>
      <c r="AB1" s="8"/>
      <c r="AC1" s="8"/>
      <c r="AD1" s="8"/>
    </row>
    <row r="2" spans="1:30" ht="15" customHeight="1" x14ac:dyDescent="0.25">
      <c r="A2" s="196"/>
      <c r="B2" s="196"/>
      <c r="C2" s="222"/>
      <c r="D2" s="10"/>
      <c r="E2" s="208">
        <f>10000+E8+K2</f>
        <v>9766</v>
      </c>
      <c r="F2" s="198">
        <v>0</v>
      </c>
      <c r="G2" s="199"/>
      <c r="H2" s="200"/>
      <c r="I2" s="145" t="e">
        <f>E8/E5</f>
        <v>#DIV/0!</v>
      </c>
      <c r="J2" s="146"/>
      <c r="K2" s="141">
        <v>0</v>
      </c>
      <c r="L2" s="142"/>
      <c r="M2" s="3"/>
      <c r="N2" s="3"/>
      <c r="O2" s="11"/>
      <c r="P2" s="5"/>
      <c r="Q2" s="6"/>
      <c r="R2" s="3"/>
      <c r="S2" s="3"/>
      <c r="T2" s="3"/>
      <c r="U2" s="7"/>
      <c r="V2" s="3"/>
      <c r="W2" s="3"/>
      <c r="X2" s="3"/>
      <c r="Y2" s="3"/>
      <c r="Z2" s="3"/>
      <c r="AA2" s="3"/>
      <c r="AB2" s="8"/>
      <c r="AC2" s="8"/>
      <c r="AD2" s="8"/>
    </row>
    <row r="3" spans="1:30" ht="15" customHeight="1" thickBot="1" x14ac:dyDescent="0.3">
      <c r="A3" s="196"/>
      <c r="B3" s="196"/>
      <c r="C3" s="222"/>
      <c r="D3" s="10"/>
      <c r="E3" s="208"/>
      <c r="F3" s="201"/>
      <c r="G3" s="202"/>
      <c r="H3" s="203"/>
      <c r="I3" s="147"/>
      <c r="J3" s="148"/>
      <c r="K3" s="143"/>
      <c r="L3" s="144"/>
      <c r="M3" s="3"/>
      <c r="N3" s="3"/>
      <c r="O3" s="11"/>
      <c r="P3" s="5"/>
      <c r="Q3" s="6"/>
      <c r="R3" s="3"/>
      <c r="S3" s="3"/>
      <c r="T3" s="3"/>
      <c r="U3" s="7"/>
      <c r="V3" s="3"/>
      <c r="W3" s="3"/>
      <c r="X3" s="3"/>
      <c r="Y3" s="3"/>
      <c r="Z3" s="3"/>
      <c r="AA3" s="3"/>
      <c r="AB3" s="8"/>
      <c r="AC3" s="8"/>
      <c r="AD3" s="8"/>
    </row>
    <row r="4" spans="1:30" ht="15" customHeight="1" thickBot="1" x14ac:dyDescent="0.3">
      <c r="A4" s="196"/>
      <c r="B4" s="196"/>
      <c r="C4" s="222"/>
      <c r="D4" s="10"/>
      <c r="E4" s="12" t="s">
        <v>1</v>
      </c>
      <c r="F4" s="139" t="s">
        <v>33</v>
      </c>
      <c r="G4" s="197"/>
      <c r="H4" s="140"/>
      <c r="I4" s="139" t="s">
        <v>43</v>
      </c>
      <c r="J4" s="140"/>
      <c r="K4" s="139" t="s">
        <v>42</v>
      </c>
      <c r="L4" s="140"/>
      <c r="M4" s="3"/>
      <c r="N4" s="3"/>
      <c r="O4" s="13"/>
      <c r="P4" s="5"/>
      <c r="Q4" s="6"/>
      <c r="R4" s="3"/>
      <c r="S4" s="3"/>
      <c r="T4" s="3"/>
      <c r="U4" s="7"/>
      <c r="V4" s="3"/>
      <c r="W4" s="3"/>
      <c r="X4" s="3"/>
      <c r="Y4" s="3"/>
      <c r="Z4" s="3"/>
      <c r="AA4" s="3"/>
      <c r="AB4" s="8"/>
      <c r="AC4" s="8"/>
      <c r="AD4" s="8"/>
    </row>
    <row r="5" spans="1:30" ht="15" customHeight="1" x14ac:dyDescent="0.25">
      <c r="A5" s="196"/>
      <c r="B5" s="196"/>
      <c r="C5" s="222"/>
      <c r="D5" s="10"/>
      <c r="E5" s="209">
        <f>M77+M92+M107+M122</f>
        <v>0</v>
      </c>
      <c r="F5" s="194" t="s">
        <v>73</v>
      </c>
      <c r="G5" s="204"/>
      <c r="H5" s="205"/>
      <c r="I5" s="145">
        <f>M124+M109+M94+M79</f>
        <v>-234</v>
      </c>
      <c r="J5" s="211"/>
      <c r="K5" s="190">
        <v>100</v>
      </c>
      <c r="L5" s="191"/>
      <c r="M5" s="5"/>
      <c r="N5" s="5"/>
      <c r="O5" s="13"/>
      <c r="P5" s="5"/>
      <c r="Q5" s="6"/>
      <c r="R5" s="3"/>
      <c r="S5" s="3"/>
      <c r="T5" s="3"/>
      <c r="U5" s="7"/>
      <c r="V5" s="3"/>
      <c r="W5" s="3"/>
      <c r="X5" s="3"/>
      <c r="Y5" s="3"/>
      <c r="Z5" s="3"/>
      <c r="AA5" s="3"/>
      <c r="AB5" s="8"/>
      <c r="AC5" s="8"/>
      <c r="AD5" s="8"/>
    </row>
    <row r="6" spans="1:30" ht="15" customHeight="1" thickBot="1" x14ac:dyDescent="0.3">
      <c r="A6" s="196"/>
      <c r="B6" s="196"/>
      <c r="C6" s="222"/>
      <c r="D6" s="10"/>
      <c r="E6" s="209"/>
      <c r="F6" s="195"/>
      <c r="G6" s="206"/>
      <c r="H6" s="207"/>
      <c r="I6" s="212"/>
      <c r="J6" s="213"/>
      <c r="K6" s="192"/>
      <c r="L6" s="193"/>
      <c r="M6" s="5"/>
      <c r="N6" s="5"/>
      <c r="O6" s="13"/>
      <c r="P6" s="5"/>
      <c r="Q6" s="6"/>
      <c r="R6" s="3"/>
      <c r="S6" s="3"/>
      <c r="T6" s="3"/>
      <c r="U6" s="7"/>
      <c r="V6" s="3"/>
      <c r="W6" s="3"/>
      <c r="X6" s="3"/>
      <c r="Y6" s="3"/>
      <c r="Z6" s="3"/>
      <c r="AA6" s="3"/>
      <c r="AB6" s="8"/>
      <c r="AC6" s="8"/>
      <c r="AD6" s="8"/>
    </row>
    <row r="7" spans="1:30" ht="15" customHeight="1" thickBot="1" x14ac:dyDescent="0.3">
      <c r="A7" s="196"/>
      <c r="B7" s="196"/>
      <c r="C7" s="222"/>
      <c r="D7" s="10"/>
      <c r="E7" s="12" t="s">
        <v>2</v>
      </c>
      <c r="F7" s="139" t="s">
        <v>34</v>
      </c>
      <c r="G7" s="197"/>
      <c r="H7" s="140"/>
      <c r="I7" s="139" t="s">
        <v>44</v>
      </c>
      <c r="J7" s="140"/>
      <c r="K7" s="184" t="s">
        <v>68</v>
      </c>
      <c r="L7" s="185"/>
      <c r="M7" s="5"/>
      <c r="N7" s="5"/>
      <c r="O7" s="13"/>
      <c r="P7" s="5"/>
      <c r="Q7" s="6"/>
      <c r="R7" s="3"/>
      <c r="S7" s="3"/>
      <c r="T7" s="3"/>
      <c r="U7" s="7"/>
      <c r="V7" s="3"/>
      <c r="W7" s="3"/>
      <c r="X7" s="3"/>
      <c r="Y7" s="3"/>
      <c r="Z7" s="3"/>
      <c r="AA7" s="3"/>
      <c r="AB7" s="8"/>
      <c r="AC7" s="8"/>
      <c r="AD7" s="8"/>
    </row>
    <row r="8" spans="1:30" ht="15" customHeight="1" thickBot="1" x14ac:dyDescent="0.3">
      <c r="A8" s="196"/>
      <c r="B8" s="196"/>
      <c r="C8" s="223"/>
      <c r="D8" s="14"/>
      <c r="E8" s="209">
        <f>M94+M109+M79+M124-F2</f>
        <v>-234</v>
      </c>
      <c r="F8" s="194">
        <v>0</v>
      </c>
      <c r="G8" s="15" t="s">
        <v>40</v>
      </c>
      <c r="H8" s="16" t="s">
        <v>41</v>
      </c>
      <c r="I8" s="214"/>
      <c r="J8" s="215"/>
      <c r="K8" s="186">
        <f>(E8/K5)</f>
        <v>-2.34</v>
      </c>
      <c r="L8" s="187"/>
      <c r="M8" s="3"/>
      <c r="N8" s="3"/>
      <c r="O8" s="3"/>
      <c r="P8" s="3"/>
      <c r="Q8" s="6"/>
      <c r="R8" s="3"/>
      <c r="S8" s="3"/>
      <c r="T8" s="3"/>
      <c r="U8" s="7"/>
      <c r="V8" s="3"/>
      <c r="W8" s="3"/>
      <c r="X8" s="8"/>
      <c r="Y8" s="8"/>
      <c r="Z8" s="8"/>
      <c r="AA8" s="8"/>
      <c r="AB8" s="8"/>
      <c r="AC8" s="8"/>
    </row>
    <row r="9" spans="1:30" ht="15" customHeight="1" thickBot="1" x14ac:dyDescent="0.3">
      <c r="A9" s="196"/>
      <c r="B9" s="196"/>
      <c r="C9" s="224"/>
      <c r="D9" s="17"/>
      <c r="E9" s="210"/>
      <c r="F9" s="195"/>
      <c r="G9" s="18"/>
      <c r="H9" s="19"/>
      <c r="I9" s="216"/>
      <c r="J9" s="217"/>
      <c r="K9" s="188"/>
      <c r="L9" s="189"/>
      <c r="M9" s="3"/>
      <c r="N9" s="3"/>
      <c r="O9" s="3"/>
      <c r="P9" s="3"/>
      <c r="Q9" s="6"/>
      <c r="R9" s="3"/>
      <c r="S9" s="3"/>
      <c r="T9" s="3"/>
      <c r="U9" s="7"/>
      <c r="V9" s="3"/>
      <c r="W9" s="3"/>
      <c r="X9" s="8"/>
      <c r="Y9" s="8"/>
      <c r="Z9" s="8"/>
      <c r="AA9" s="8"/>
      <c r="AB9" s="8"/>
      <c r="AC9" s="8"/>
    </row>
    <row r="10" spans="1:30" ht="14.25" customHeight="1" x14ac:dyDescent="0.3">
      <c r="A10" s="20"/>
      <c r="B10" s="21"/>
      <c r="C10" s="22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2"/>
      <c r="R10" s="20"/>
      <c r="S10" s="20"/>
      <c r="T10" s="20"/>
      <c r="U10" s="23"/>
      <c r="V10" s="20"/>
      <c r="W10" s="8"/>
      <c r="X10" s="8"/>
      <c r="Y10" s="8"/>
      <c r="Z10" s="8"/>
      <c r="AA10" s="8"/>
      <c r="AB10" s="8"/>
      <c r="AC10" s="8"/>
    </row>
    <row r="11" spans="1:30" ht="14.25" customHeight="1" x14ac:dyDescent="0.25">
      <c r="A11" s="20"/>
      <c r="B11" s="20"/>
      <c r="C11" s="22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2"/>
      <c r="R11" s="20"/>
      <c r="S11" s="20"/>
      <c r="T11" s="20"/>
      <c r="U11" s="23"/>
      <c r="V11" s="20"/>
      <c r="W11" s="8"/>
      <c r="X11" s="8"/>
      <c r="Y11" s="8"/>
      <c r="Z11" s="8"/>
      <c r="AA11" s="8"/>
      <c r="AB11" s="8"/>
      <c r="AC11" s="8"/>
    </row>
    <row r="12" spans="1:30" ht="15" x14ac:dyDescent="0.25">
      <c r="A12" s="20"/>
      <c r="B12" s="20"/>
      <c r="C12" s="22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2"/>
      <c r="R12" s="20"/>
      <c r="S12" s="20"/>
      <c r="T12" s="20"/>
      <c r="U12" s="23"/>
      <c r="V12" s="20"/>
      <c r="W12" s="8"/>
      <c r="X12" s="8"/>
      <c r="Y12" s="8"/>
      <c r="Z12" s="8"/>
      <c r="AA12" s="8"/>
      <c r="AB12" s="8"/>
      <c r="AC12" s="8"/>
    </row>
    <row r="13" spans="1:30" ht="15" x14ac:dyDescent="0.25">
      <c r="A13" s="20"/>
      <c r="C13" s="22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2"/>
      <c r="R13" s="20"/>
      <c r="S13" s="20"/>
      <c r="T13" s="20"/>
      <c r="U13" s="23"/>
      <c r="V13" s="20"/>
      <c r="W13" s="8"/>
      <c r="X13" s="8"/>
      <c r="Y13" s="8"/>
      <c r="Z13" s="8"/>
      <c r="AA13" s="8"/>
      <c r="AB13" s="8"/>
      <c r="AC13" s="8"/>
    </row>
    <row r="14" spans="1:30" ht="15" x14ac:dyDescent="0.25">
      <c r="A14" s="20"/>
      <c r="B14" s="20"/>
      <c r="C14" s="22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2"/>
      <c r="R14" s="20"/>
      <c r="S14" s="20"/>
      <c r="T14" s="20"/>
      <c r="U14" s="23"/>
      <c r="V14" s="20"/>
      <c r="W14" s="8"/>
      <c r="X14" s="8"/>
      <c r="Y14" s="8"/>
      <c r="Z14" s="8"/>
      <c r="AA14" s="8"/>
      <c r="AB14" s="8"/>
      <c r="AC14" s="8"/>
    </row>
    <row r="15" spans="1:30" ht="15" x14ac:dyDescent="0.25">
      <c r="A15" s="20"/>
      <c r="B15" s="20"/>
      <c r="C15" s="22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2"/>
      <c r="R15" s="20"/>
      <c r="S15" s="20"/>
      <c r="T15" s="20"/>
      <c r="U15" s="23"/>
      <c r="V15" s="20"/>
      <c r="W15" s="8"/>
      <c r="X15" s="8"/>
      <c r="Y15" s="8"/>
      <c r="Z15" s="8"/>
      <c r="AA15" s="8"/>
      <c r="AB15" s="8"/>
      <c r="AC15" s="8"/>
    </row>
    <row r="16" spans="1:30" ht="15" x14ac:dyDescent="0.25">
      <c r="A16" s="20"/>
      <c r="B16" s="20"/>
      <c r="C16" s="22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2"/>
      <c r="R16" s="20"/>
      <c r="S16" s="20"/>
      <c r="T16" s="20"/>
      <c r="U16" s="23"/>
      <c r="V16" s="20"/>
      <c r="W16" s="8"/>
      <c r="X16" s="8"/>
      <c r="Y16" s="8"/>
      <c r="Z16" s="8"/>
      <c r="AA16" s="8"/>
      <c r="AB16" s="8"/>
      <c r="AC16" s="8"/>
    </row>
    <row r="17" spans="1:29" ht="15" x14ac:dyDescent="0.25">
      <c r="A17" s="20"/>
      <c r="B17" s="20"/>
      <c r="C17" s="22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2"/>
      <c r="R17" s="20"/>
      <c r="S17" s="20"/>
      <c r="T17" s="20"/>
      <c r="U17" s="23"/>
      <c r="V17" s="20"/>
      <c r="W17" s="8"/>
      <c r="X17" s="8"/>
      <c r="Y17" s="8"/>
      <c r="Z17" s="8"/>
      <c r="AA17" s="8"/>
      <c r="AB17" s="8"/>
      <c r="AC17" s="8"/>
    </row>
    <row r="18" spans="1:29" ht="15" x14ac:dyDescent="0.25">
      <c r="A18" s="20"/>
      <c r="B18" s="20"/>
      <c r="C18" s="22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2"/>
      <c r="R18" s="20"/>
      <c r="S18" s="20"/>
      <c r="T18" s="20"/>
      <c r="U18" s="23"/>
      <c r="V18" s="20"/>
      <c r="W18" s="8"/>
      <c r="X18" s="8"/>
      <c r="Y18" s="8"/>
      <c r="Z18" s="8"/>
      <c r="AA18" s="8"/>
      <c r="AB18" s="8"/>
      <c r="AC18" s="8"/>
    </row>
    <row r="19" spans="1:29" ht="15" x14ac:dyDescent="0.25">
      <c r="A19" s="20"/>
      <c r="B19" s="20"/>
      <c r="C19" s="22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2"/>
      <c r="R19" s="20"/>
      <c r="S19" s="20"/>
      <c r="T19" s="20"/>
      <c r="U19" s="23"/>
      <c r="V19" s="20"/>
      <c r="W19" s="8"/>
      <c r="X19" s="8"/>
      <c r="Y19" s="8"/>
      <c r="Z19" s="8"/>
      <c r="AA19" s="8"/>
      <c r="AB19" s="8"/>
      <c r="AC19" s="8"/>
    </row>
    <row r="20" spans="1:29" ht="15" x14ac:dyDescent="0.25">
      <c r="A20" s="20"/>
      <c r="B20" s="20"/>
      <c r="C20" s="22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2"/>
      <c r="R20" s="20"/>
      <c r="S20" s="20"/>
      <c r="T20" s="20"/>
      <c r="U20" s="23"/>
      <c r="V20" s="20"/>
      <c r="W20" s="8"/>
      <c r="X20" s="8"/>
      <c r="Y20" s="8"/>
      <c r="Z20" s="8"/>
      <c r="AA20" s="8"/>
      <c r="AB20" s="8"/>
      <c r="AC20" s="8"/>
    </row>
    <row r="21" spans="1:29" ht="15" x14ac:dyDescent="0.25">
      <c r="A21" s="20"/>
      <c r="B21" s="20"/>
      <c r="C21" s="22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2"/>
      <c r="R21" s="20"/>
      <c r="S21" s="20"/>
      <c r="T21" s="20"/>
      <c r="U21" s="23"/>
      <c r="V21" s="20"/>
      <c r="W21" s="8"/>
      <c r="X21" s="8"/>
      <c r="Y21" s="8"/>
      <c r="Z21" s="8"/>
      <c r="AA21" s="8"/>
      <c r="AB21" s="8"/>
      <c r="AC21" s="8"/>
    </row>
    <row r="22" spans="1:29" ht="15" x14ac:dyDescent="0.25">
      <c r="A22" s="20"/>
      <c r="B22" s="20"/>
      <c r="C22" s="22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2"/>
      <c r="R22" s="20"/>
      <c r="S22" s="20"/>
      <c r="T22" s="20"/>
      <c r="U22" s="23"/>
      <c r="V22" s="20"/>
      <c r="W22" s="8"/>
      <c r="X22" s="8"/>
      <c r="Y22" s="8"/>
      <c r="Z22" s="8"/>
      <c r="AA22" s="8"/>
      <c r="AB22" s="8"/>
      <c r="AC22" s="8"/>
    </row>
    <row r="23" spans="1:29" ht="15" x14ac:dyDescent="0.25">
      <c r="A23" s="20"/>
      <c r="B23" s="20"/>
      <c r="C23" s="22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2"/>
      <c r="R23" s="20"/>
      <c r="S23" s="20"/>
      <c r="T23" s="20"/>
      <c r="U23" s="23"/>
      <c r="V23" s="20"/>
      <c r="W23" s="8"/>
      <c r="X23" s="8"/>
      <c r="Y23" s="8"/>
      <c r="Z23" s="8"/>
      <c r="AA23" s="8"/>
      <c r="AB23" s="8"/>
      <c r="AC23" s="8"/>
    </row>
    <row r="24" spans="1:29" ht="15" x14ac:dyDescent="0.25">
      <c r="A24" s="20"/>
      <c r="B24" s="20"/>
      <c r="C24" s="22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2"/>
      <c r="R24" s="20"/>
      <c r="S24" s="20"/>
      <c r="T24" s="20"/>
      <c r="U24" s="23"/>
      <c r="V24" s="20"/>
      <c r="W24" s="8"/>
      <c r="X24" s="8"/>
      <c r="Y24" s="8"/>
      <c r="Z24" s="8"/>
      <c r="AA24" s="8"/>
      <c r="AB24" s="8"/>
      <c r="AC24" s="8"/>
    </row>
    <row r="25" spans="1:29" ht="15" x14ac:dyDescent="0.25">
      <c r="A25" s="20"/>
      <c r="B25" s="20"/>
      <c r="C25" s="22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2"/>
      <c r="R25" s="20"/>
      <c r="S25" s="20"/>
      <c r="T25" s="20"/>
      <c r="U25" s="23"/>
      <c r="V25" s="20"/>
      <c r="W25" s="8"/>
      <c r="X25" s="8"/>
      <c r="Y25" s="8"/>
      <c r="Z25" s="8"/>
      <c r="AA25" s="8"/>
      <c r="AB25" s="8"/>
      <c r="AC25" s="8"/>
    </row>
    <row r="26" spans="1:29" ht="15" x14ac:dyDescent="0.25">
      <c r="A26" s="20"/>
      <c r="B26" s="20"/>
      <c r="C26" s="22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2"/>
      <c r="R26" s="20"/>
      <c r="S26" s="20"/>
      <c r="T26" s="20"/>
      <c r="U26" s="23"/>
      <c r="V26" s="20"/>
      <c r="W26" s="8"/>
      <c r="X26" s="8"/>
      <c r="Y26" s="8"/>
      <c r="Z26" s="8"/>
      <c r="AA26" s="8"/>
      <c r="AB26" s="8"/>
      <c r="AC26" s="8"/>
    </row>
    <row r="27" spans="1:29" ht="15" x14ac:dyDescent="0.25">
      <c r="A27" s="20"/>
      <c r="B27" s="20"/>
      <c r="C27" s="22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2"/>
      <c r="R27" s="20"/>
      <c r="S27" s="20"/>
      <c r="T27" s="20"/>
      <c r="U27" s="23"/>
      <c r="V27" s="20"/>
      <c r="W27" s="8"/>
      <c r="X27" s="8"/>
      <c r="Y27" s="8"/>
      <c r="Z27" s="8"/>
      <c r="AA27" s="8"/>
      <c r="AB27" s="8"/>
      <c r="AC27" s="8"/>
    </row>
    <row r="28" spans="1:29" ht="15" x14ac:dyDescent="0.25">
      <c r="A28" s="20"/>
      <c r="B28" s="20"/>
      <c r="C28" s="2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2"/>
      <c r="R28" s="20"/>
      <c r="S28" s="20"/>
      <c r="T28" s="20"/>
      <c r="U28" s="23"/>
      <c r="V28" s="20"/>
      <c r="W28" s="8"/>
      <c r="X28" s="8"/>
      <c r="Y28" s="8"/>
      <c r="Z28" s="8"/>
      <c r="AA28" s="8"/>
      <c r="AB28" s="8"/>
      <c r="AC28" s="8"/>
    </row>
    <row r="29" spans="1:29" ht="15" x14ac:dyDescent="0.25">
      <c r="A29" s="20"/>
      <c r="B29" s="20"/>
      <c r="C29" s="2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2"/>
      <c r="R29" s="20"/>
      <c r="S29" s="20"/>
      <c r="T29" s="20"/>
      <c r="U29" s="23"/>
      <c r="V29" s="20"/>
      <c r="W29" s="8"/>
      <c r="X29" s="8"/>
      <c r="Y29" s="8"/>
      <c r="Z29" s="8"/>
      <c r="AA29" s="8"/>
      <c r="AB29" s="8"/>
      <c r="AC29" s="8"/>
    </row>
    <row r="30" spans="1:29" ht="15" x14ac:dyDescent="0.25">
      <c r="A30" s="20"/>
      <c r="B30" s="20"/>
      <c r="C30" s="22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2"/>
      <c r="R30" s="20"/>
      <c r="S30" s="20"/>
      <c r="T30" s="20"/>
      <c r="U30" s="23"/>
      <c r="V30" s="20"/>
      <c r="W30" s="8"/>
      <c r="X30" s="8"/>
      <c r="Y30" s="8"/>
      <c r="Z30" s="8"/>
      <c r="AA30" s="8"/>
      <c r="AB30" s="8"/>
      <c r="AC30" s="8"/>
    </row>
    <row r="31" spans="1:29" ht="15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2"/>
      <c r="R31" s="20"/>
      <c r="S31" s="20"/>
      <c r="T31" s="20"/>
      <c r="U31" s="23"/>
      <c r="V31" s="20"/>
      <c r="W31" s="8"/>
      <c r="X31" s="8"/>
      <c r="Y31" s="8"/>
      <c r="Z31" s="8"/>
      <c r="AA31" s="8"/>
      <c r="AB31" s="8"/>
      <c r="AC31" s="8"/>
    </row>
    <row r="32" spans="1:29" ht="15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2"/>
      <c r="R32" s="20"/>
      <c r="S32" s="20"/>
      <c r="T32" s="20"/>
      <c r="U32" s="23"/>
      <c r="V32" s="20"/>
      <c r="W32" s="8"/>
      <c r="X32" s="8"/>
      <c r="Y32" s="8"/>
      <c r="Z32" s="8"/>
      <c r="AA32" s="8"/>
      <c r="AB32" s="8"/>
      <c r="AC32" s="8"/>
    </row>
    <row r="33" spans="1:29" ht="15" x14ac:dyDescent="0.25">
      <c r="A33" s="20"/>
      <c r="B33" s="20"/>
      <c r="C33" s="22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2"/>
      <c r="R33" s="20"/>
      <c r="S33" s="20"/>
      <c r="T33" s="20"/>
      <c r="U33" s="23"/>
      <c r="V33" s="20"/>
      <c r="W33" s="8"/>
      <c r="X33" s="8"/>
      <c r="Y33" s="8"/>
      <c r="Z33" s="8"/>
      <c r="AA33" s="8"/>
      <c r="AB33" s="8"/>
      <c r="AC33" s="8"/>
    </row>
    <row r="34" spans="1:29" ht="15" x14ac:dyDescent="0.25">
      <c r="A34" s="20"/>
      <c r="B34" s="20"/>
      <c r="C34" s="22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2"/>
      <c r="R34" s="20"/>
      <c r="S34" s="20"/>
      <c r="T34" s="20"/>
      <c r="U34" s="23"/>
      <c r="V34" s="20"/>
      <c r="W34" s="8"/>
      <c r="X34" s="8"/>
      <c r="Y34" s="8"/>
      <c r="Z34" s="8"/>
      <c r="AA34" s="8"/>
      <c r="AB34" s="8"/>
      <c r="AC34" s="8"/>
    </row>
    <row r="35" spans="1:29" ht="15" x14ac:dyDescent="0.25">
      <c r="A35" s="20"/>
      <c r="B35" s="20"/>
      <c r="C35" s="22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2"/>
      <c r="R35" s="20"/>
      <c r="S35" s="20"/>
      <c r="T35" s="20"/>
      <c r="U35" s="23"/>
      <c r="V35" s="20"/>
      <c r="W35" s="8"/>
      <c r="X35" s="8"/>
      <c r="Y35" s="8"/>
      <c r="Z35" s="8"/>
      <c r="AA35" s="8"/>
      <c r="AB35" s="8"/>
      <c r="AC35" s="8"/>
    </row>
    <row r="36" spans="1:29" ht="15" x14ac:dyDescent="0.25">
      <c r="A36" s="20"/>
      <c r="B36" s="20"/>
      <c r="C36" s="22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2"/>
      <c r="R36" s="20"/>
      <c r="S36" s="20"/>
      <c r="T36" s="20"/>
      <c r="U36" s="23"/>
      <c r="V36" s="20"/>
      <c r="W36" s="8"/>
      <c r="X36" s="8"/>
      <c r="Y36" s="8"/>
      <c r="Z36" s="8"/>
      <c r="AA36" s="8"/>
      <c r="AB36" s="8"/>
      <c r="AC36" s="8"/>
    </row>
    <row r="37" spans="1:29" ht="15" x14ac:dyDescent="0.25">
      <c r="A37" s="20"/>
      <c r="B37" s="20"/>
      <c r="C37" s="22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2"/>
      <c r="R37" s="20"/>
      <c r="S37" s="20"/>
      <c r="T37" s="20"/>
      <c r="U37" s="23"/>
      <c r="V37" s="20"/>
      <c r="W37" s="8"/>
      <c r="X37" s="8"/>
      <c r="Y37" s="8"/>
      <c r="Z37" s="8"/>
      <c r="AA37" s="8"/>
      <c r="AB37" s="8"/>
      <c r="AC37" s="8"/>
    </row>
    <row r="38" spans="1:29" ht="15" x14ac:dyDescent="0.25">
      <c r="A38" s="20"/>
      <c r="B38" s="20"/>
      <c r="C38" s="22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2"/>
      <c r="R38" s="20"/>
      <c r="S38" s="20"/>
      <c r="T38" s="20"/>
      <c r="U38" s="23"/>
      <c r="V38" s="20"/>
      <c r="W38" s="8"/>
      <c r="X38" s="8"/>
      <c r="Y38" s="8"/>
      <c r="Z38" s="8"/>
      <c r="AA38" s="8"/>
      <c r="AB38" s="8"/>
      <c r="AC38" s="8"/>
    </row>
    <row r="39" spans="1:29" ht="15" x14ac:dyDescent="0.25">
      <c r="A39" s="20"/>
      <c r="B39" s="20"/>
      <c r="C39" s="22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2"/>
      <c r="R39" s="20"/>
      <c r="S39" s="20"/>
      <c r="T39" s="20"/>
      <c r="U39" s="23"/>
      <c r="V39" s="20"/>
      <c r="W39" s="8"/>
      <c r="X39" s="8"/>
      <c r="Y39" s="8"/>
      <c r="Z39" s="8"/>
      <c r="AA39" s="8"/>
      <c r="AB39" s="8"/>
      <c r="AC39" s="8"/>
    </row>
    <row r="40" spans="1:29" ht="15" x14ac:dyDescent="0.25">
      <c r="A40" s="20"/>
      <c r="B40" s="20"/>
      <c r="C40" s="22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2"/>
      <c r="R40" s="20"/>
      <c r="S40" s="20"/>
      <c r="T40" s="20"/>
      <c r="U40" s="23"/>
      <c r="V40" s="20"/>
      <c r="W40" s="8"/>
      <c r="X40" s="8"/>
      <c r="Y40" s="8"/>
      <c r="Z40" s="8"/>
      <c r="AA40" s="8"/>
      <c r="AB40" s="8"/>
      <c r="AC40" s="8"/>
    </row>
    <row r="41" spans="1:29" ht="15" x14ac:dyDescent="0.25">
      <c r="A41" s="20"/>
      <c r="B41" s="20"/>
      <c r="C41" s="22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2"/>
      <c r="R41" s="20"/>
      <c r="S41" s="20"/>
      <c r="T41" s="20"/>
      <c r="U41" s="23"/>
      <c r="V41" s="20"/>
      <c r="W41" s="8"/>
      <c r="X41" s="8"/>
      <c r="Y41" s="8"/>
      <c r="Z41" s="8"/>
      <c r="AA41" s="8"/>
      <c r="AB41" s="8"/>
      <c r="AC41" s="8"/>
    </row>
    <row r="42" spans="1:29" ht="15" x14ac:dyDescent="0.25">
      <c r="A42" s="20"/>
      <c r="B42" s="20"/>
      <c r="C42" s="22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2"/>
      <c r="R42" s="20"/>
      <c r="S42" s="20"/>
      <c r="T42" s="20"/>
      <c r="U42" s="23"/>
      <c r="V42" s="20"/>
      <c r="W42" s="8"/>
      <c r="X42" s="8"/>
      <c r="Y42" s="8"/>
      <c r="Z42" s="8"/>
      <c r="AA42" s="8"/>
      <c r="AB42" s="8"/>
      <c r="AC42" s="8"/>
    </row>
    <row r="43" spans="1:29" ht="15" x14ac:dyDescent="0.25">
      <c r="A43" s="20"/>
      <c r="B43" s="20"/>
      <c r="C43" s="22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2"/>
      <c r="R43" s="20"/>
      <c r="S43" s="20"/>
      <c r="T43" s="20"/>
      <c r="U43" s="23"/>
      <c r="V43" s="20"/>
      <c r="W43" s="8"/>
      <c r="X43" s="8"/>
      <c r="Y43" s="8"/>
      <c r="Z43" s="8"/>
      <c r="AA43" s="8"/>
      <c r="AB43" s="8"/>
      <c r="AC43" s="8"/>
    </row>
    <row r="44" spans="1:29" ht="15" x14ac:dyDescent="0.25">
      <c r="A44" s="20"/>
      <c r="B44" s="20"/>
      <c r="C44" s="22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2"/>
      <c r="R44" s="20"/>
      <c r="S44" s="20"/>
      <c r="T44" s="20"/>
      <c r="U44" s="23"/>
      <c r="V44" s="20"/>
      <c r="W44" s="8"/>
      <c r="X44" s="8"/>
      <c r="Y44" s="8"/>
      <c r="Z44" s="8"/>
      <c r="AA44" s="8"/>
      <c r="AB44" s="8"/>
      <c r="AC44" s="8"/>
    </row>
    <row r="45" spans="1:29" ht="15" x14ac:dyDescent="0.25">
      <c r="A45" s="20"/>
      <c r="B45" s="20"/>
      <c r="C45" s="22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2"/>
      <c r="R45" s="20"/>
      <c r="S45" s="20"/>
      <c r="T45" s="20"/>
      <c r="U45" s="23"/>
      <c r="V45" s="20"/>
    </row>
    <row r="49" spans="1:27" ht="15.6" thickBot="1" x14ac:dyDescent="0.3"/>
    <row r="50" spans="1:27" ht="15.75" customHeight="1" x14ac:dyDescent="0.25">
      <c r="A50" s="218" t="s">
        <v>3</v>
      </c>
      <c r="B50" s="26"/>
      <c r="C50" s="225"/>
      <c r="D50" s="27"/>
      <c r="E50" s="28"/>
      <c r="F50" s="28"/>
      <c r="G50" s="28"/>
      <c r="H50" s="28"/>
      <c r="I50" s="29"/>
      <c r="J50" s="29"/>
      <c r="K50" s="29"/>
      <c r="L50" s="29"/>
      <c r="M50" s="29"/>
      <c r="N50" s="29"/>
      <c r="O50" s="29"/>
      <c r="P50" s="29"/>
      <c r="Q50" s="30"/>
      <c r="R50" s="8"/>
      <c r="S50" s="8"/>
      <c r="T50" s="8"/>
      <c r="U50" s="31"/>
      <c r="V50" s="8"/>
      <c r="W50" s="8"/>
      <c r="X50" s="8"/>
      <c r="Y50" s="8"/>
      <c r="Z50" s="8"/>
      <c r="AA50" s="8"/>
    </row>
    <row r="51" spans="1:27" x14ac:dyDescent="0.25">
      <c r="A51" s="219"/>
      <c r="B51" s="32"/>
      <c r="C51" s="226"/>
      <c r="D51" s="33"/>
      <c r="E51" s="28"/>
      <c r="F51" s="28"/>
      <c r="G51" s="28"/>
      <c r="H51" s="28"/>
      <c r="I51" s="34"/>
      <c r="J51" s="34"/>
      <c r="K51" s="29"/>
      <c r="L51" s="29"/>
      <c r="M51" s="29"/>
      <c r="N51" s="29"/>
      <c r="O51" s="29"/>
      <c r="P51" s="29"/>
      <c r="Q51" s="30"/>
      <c r="R51" s="8"/>
      <c r="S51" s="8"/>
      <c r="T51" s="8"/>
      <c r="U51" s="31"/>
      <c r="V51" s="8"/>
      <c r="W51" s="8"/>
      <c r="X51" s="8"/>
      <c r="Y51" s="8"/>
      <c r="Z51" s="8"/>
      <c r="AA51" s="8"/>
    </row>
    <row r="52" spans="1:27" x14ac:dyDescent="0.25">
      <c r="A52" s="219"/>
      <c r="B52" s="32"/>
      <c r="C52" s="226"/>
      <c r="D52" s="33"/>
      <c r="E52" s="28"/>
      <c r="F52" s="28"/>
      <c r="G52" s="28"/>
      <c r="H52" s="28"/>
      <c r="I52" s="34"/>
      <c r="J52" s="34"/>
      <c r="K52" s="29"/>
      <c r="L52" s="29"/>
      <c r="M52" s="29"/>
      <c r="N52" s="29"/>
      <c r="O52" s="29"/>
      <c r="P52" s="29"/>
      <c r="Q52" s="30"/>
      <c r="R52" s="8"/>
      <c r="S52" s="8"/>
      <c r="T52" s="8"/>
      <c r="U52" s="31"/>
      <c r="V52" s="8"/>
      <c r="W52" s="8"/>
      <c r="X52" s="8"/>
      <c r="Y52" s="8"/>
      <c r="Z52" s="8"/>
      <c r="AA52" s="8"/>
    </row>
    <row r="53" spans="1:27" x14ac:dyDescent="0.25">
      <c r="A53" s="219"/>
      <c r="B53" s="32"/>
      <c r="C53" s="226"/>
      <c r="D53" s="33"/>
      <c r="E53" s="28"/>
      <c r="F53" s="28"/>
      <c r="G53" s="28"/>
      <c r="H53" s="28"/>
      <c r="I53" s="34"/>
      <c r="J53" s="34"/>
      <c r="K53" s="29"/>
      <c r="L53" s="29"/>
      <c r="M53" s="29"/>
      <c r="N53" s="29"/>
      <c r="O53" s="29"/>
      <c r="P53" s="29"/>
      <c r="Q53" s="30"/>
      <c r="R53" s="8"/>
      <c r="S53" s="8"/>
      <c r="T53" s="8"/>
      <c r="U53" s="31"/>
      <c r="V53" s="8"/>
      <c r="W53" s="8"/>
      <c r="X53" s="8"/>
      <c r="Y53" s="8"/>
      <c r="Z53" s="8"/>
      <c r="AA53" s="8"/>
    </row>
    <row r="54" spans="1:27" x14ac:dyDescent="0.25">
      <c r="A54" s="219"/>
      <c r="B54" s="32"/>
      <c r="C54" s="226"/>
      <c r="D54" s="33"/>
      <c r="E54" s="28"/>
      <c r="F54" s="35"/>
      <c r="G54" s="35"/>
      <c r="H54" s="35"/>
      <c r="I54" s="34"/>
      <c r="J54" s="34"/>
      <c r="K54" s="29"/>
      <c r="L54" s="29"/>
      <c r="M54" s="29"/>
      <c r="N54" s="29"/>
      <c r="O54" s="29"/>
      <c r="P54" s="29"/>
      <c r="Q54" s="30"/>
      <c r="R54" s="8"/>
      <c r="S54" s="8"/>
      <c r="T54" s="8"/>
      <c r="U54" s="31"/>
      <c r="V54" s="8"/>
      <c r="W54" s="8"/>
      <c r="X54" s="8"/>
      <c r="Y54" s="8"/>
      <c r="Z54" s="8"/>
      <c r="AA54" s="8"/>
    </row>
    <row r="55" spans="1:27" x14ac:dyDescent="0.25">
      <c r="A55" s="219"/>
      <c r="B55" s="32"/>
      <c r="C55" s="226"/>
      <c r="D55" s="33"/>
      <c r="E55" s="35"/>
      <c r="F55" s="35"/>
      <c r="G55" s="35"/>
      <c r="H55" s="35"/>
      <c r="I55" s="34"/>
      <c r="J55" s="34"/>
      <c r="K55" s="29"/>
      <c r="L55" s="29"/>
      <c r="M55" s="29"/>
      <c r="N55" s="29"/>
      <c r="O55" s="29"/>
      <c r="P55" s="29"/>
      <c r="Q55" s="30"/>
      <c r="R55" s="8"/>
      <c r="S55" s="8"/>
      <c r="T55" s="8"/>
      <c r="U55" s="31"/>
      <c r="V55" s="8"/>
      <c r="W55" s="8"/>
      <c r="X55" s="8"/>
      <c r="Y55" s="8"/>
      <c r="Z55" s="8"/>
      <c r="AA55" s="8"/>
    </row>
    <row r="56" spans="1:27" x14ac:dyDescent="0.25">
      <c r="A56" s="219"/>
      <c r="B56" s="32"/>
      <c r="C56" s="226"/>
      <c r="D56" s="33"/>
      <c r="E56" s="35"/>
      <c r="F56" s="35"/>
      <c r="G56" s="35"/>
      <c r="H56" s="35"/>
      <c r="I56" s="29"/>
      <c r="J56" s="29"/>
      <c r="K56" s="29"/>
      <c r="L56" s="29"/>
      <c r="M56" s="29"/>
      <c r="N56" s="29"/>
      <c r="O56" s="29"/>
      <c r="P56" s="29"/>
      <c r="Q56" s="30"/>
      <c r="R56" s="8"/>
      <c r="S56" s="8"/>
      <c r="T56" s="8"/>
      <c r="U56" s="31"/>
      <c r="V56" s="8"/>
      <c r="W56" s="8"/>
      <c r="X56" s="8"/>
      <c r="Y56" s="8"/>
      <c r="Z56" s="8"/>
      <c r="AA56" s="8"/>
    </row>
    <row r="57" spans="1:27" x14ac:dyDescent="0.25">
      <c r="A57" s="219"/>
      <c r="B57" s="36"/>
      <c r="C57" s="227"/>
      <c r="D57" s="37"/>
    </row>
    <row r="58" spans="1:27" ht="16.5" thickBot="1" x14ac:dyDescent="0.3">
      <c r="A58" s="219"/>
      <c r="B58" s="38"/>
      <c r="C58" s="228"/>
      <c r="D58" s="39"/>
    </row>
    <row r="74" spans="1:27" ht="16.5" thickBot="1" x14ac:dyDescent="0.3"/>
    <row r="75" spans="1:27" x14ac:dyDescent="0.25">
      <c r="A75" s="183" t="s">
        <v>5</v>
      </c>
      <c r="B75" s="40"/>
      <c r="C75" s="229"/>
      <c r="D75" s="41"/>
      <c r="E75" s="42"/>
      <c r="F75" s="149"/>
      <c r="G75" s="149"/>
      <c r="H75" s="149"/>
      <c r="I75" s="43"/>
      <c r="J75" s="43"/>
      <c r="K75" s="44"/>
      <c r="L75" s="152"/>
      <c r="M75" s="171"/>
      <c r="N75" s="172"/>
      <c r="O75" s="173"/>
      <c r="P75" s="29"/>
      <c r="Q75" s="30"/>
      <c r="R75" s="8"/>
      <c r="S75" s="8"/>
      <c r="T75" s="8"/>
      <c r="U75" s="31"/>
      <c r="V75" s="8"/>
      <c r="W75" s="8"/>
      <c r="X75" s="8"/>
      <c r="Y75" s="8"/>
      <c r="Z75" s="8"/>
      <c r="AA75" s="8"/>
    </row>
    <row r="76" spans="1:27" ht="16.5" thickBot="1" x14ac:dyDescent="0.3">
      <c r="A76" s="183"/>
      <c r="B76" s="45"/>
      <c r="C76" s="230"/>
      <c r="D76" s="46"/>
      <c r="E76" s="47"/>
      <c r="F76" s="158"/>
      <c r="G76" s="158"/>
      <c r="H76" s="158"/>
      <c r="I76" s="46"/>
      <c r="J76" s="46"/>
      <c r="K76" s="48"/>
      <c r="L76" s="153"/>
      <c r="M76" s="174"/>
      <c r="N76" s="175"/>
      <c r="O76" s="176"/>
      <c r="P76" s="29"/>
      <c r="Q76" s="30"/>
      <c r="R76" s="8"/>
      <c r="S76" s="8"/>
      <c r="T76" s="8"/>
      <c r="U76" s="31"/>
      <c r="V76" s="8"/>
      <c r="W76" s="8"/>
      <c r="X76" s="8"/>
      <c r="Y76" s="8"/>
      <c r="Z76" s="8"/>
      <c r="AA76" s="8"/>
    </row>
    <row r="77" spans="1:27" x14ac:dyDescent="0.25">
      <c r="A77" s="183"/>
      <c r="B77" s="45"/>
      <c r="C77" s="230"/>
      <c r="D77" s="46"/>
      <c r="E77" s="47"/>
      <c r="F77" s="158"/>
      <c r="G77" s="158"/>
      <c r="H77" s="158"/>
      <c r="I77" s="46"/>
      <c r="J77" s="46"/>
      <c r="K77" s="48"/>
      <c r="L77" s="152" t="s">
        <v>1</v>
      </c>
      <c r="M77" s="171">
        <f>M151+M163+M177+M191+M205+M219+M233+M247+M261+M275</f>
        <v>0</v>
      </c>
      <c r="N77" s="172"/>
      <c r="O77" s="173"/>
      <c r="P77" s="29"/>
      <c r="Q77" s="30"/>
      <c r="R77" s="8"/>
      <c r="S77" s="8"/>
      <c r="T77" s="8"/>
      <c r="U77" s="31"/>
      <c r="V77" s="8"/>
      <c r="W77" s="8"/>
      <c r="X77" s="8"/>
      <c r="Y77" s="8"/>
      <c r="Z77" s="8"/>
      <c r="AA77" s="8"/>
    </row>
    <row r="78" spans="1:27" ht="16.5" thickBot="1" x14ac:dyDescent="0.3">
      <c r="A78" s="183"/>
      <c r="B78" s="45"/>
      <c r="C78" s="230"/>
      <c r="D78" s="46"/>
      <c r="E78" s="47"/>
      <c r="F78" s="158"/>
      <c r="G78" s="158"/>
      <c r="H78" s="158"/>
      <c r="I78" s="46"/>
      <c r="J78" s="46"/>
      <c r="K78" s="48"/>
      <c r="L78" s="153"/>
      <c r="M78" s="174"/>
      <c r="N78" s="175"/>
      <c r="O78" s="176"/>
      <c r="P78" s="29"/>
      <c r="Q78" s="30"/>
      <c r="R78" s="8"/>
      <c r="S78" s="8"/>
      <c r="T78" s="8"/>
      <c r="U78" s="31"/>
      <c r="V78" s="8"/>
      <c r="W78" s="8"/>
      <c r="X78" s="8"/>
      <c r="Y78" s="8"/>
      <c r="Z78" s="8"/>
      <c r="AA78" s="8"/>
    </row>
    <row r="79" spans="1:27" x14ac:dyDescent="0.25">
      <c r="A79" s="183"/>
      <c r="B79" s="45"/>
      <c r="C79" s="230"/>
      <c r="D79" s="46"/>
      <c r="E79" s="47"/>
      <c r="F79" s="150"/>
      <c r="G79" s="150"/>
      <c r="H79" s="150"/>
      <c r="I79" s="46"/>
      <c r="J79" s="46"/>
      <c r="K79" s="48"/>
      <c r="L79" s="152" t="s">
        <v>2</v>
      </c>
      <c r="M79" s="177">
        <f>U151+U163+U177+U191+U205+U219+U233+U247+U261+U275</f>
        <v>-64</v>
      </c>
      <c r="N79" s="178"/>
      <c r="O79" s="179"/>
      <c r="P79" s="29"/>
      <c r="Q79" s="30"/>
      <c r="R79" s="8"/>
      <c r="S79" s="8"/>
      <c r="T79" s="8"/>
      <c r="U79" s="31"/>
      <c r="V79" s="8"/>
      <c r="W79" s="8"/>
      <c r="X79" s="8"/>
      <c r="Y79" s="8"/>
      <c r="Z79" s="8"/>
      <c r="AA79" s="8"/>
    </row>
    <row r="80" spans="1:27" ht="16.5" thickBot="1" x14ac:dyDescent="0.3">
      <c r="A80" s="183"/>
      <c r="B80" s="45"/>
      <c r="C80" s="230"/>
      <c r="D80" s="46"/>
      <c r="E80" s="150"/>
      <c r="F80" s="150"/>
      <c r="G80" s="150"/>
      <c r="H80" s="150"/>
      <c r="I80" s="46"/>
      <c r="J80" s="46"/>
      <c r="K80" s="48"/>
      <c r="L80" s="153"/>
      <c r="M80" s="180"/>
      <c r="N80" s="181"/>
      <c r="O80" s="182"/>
      <c r="P80" s="29"/>
      <c r="Q80" s="30"/>
      <c r="R80" s="8"/>
      <c r="S80" s="8"/>
      <c r="T80" s="8"/>
      <c r="U80" s="31"/>
      <c r="V80" s="8"/>
      <c r="W80" s="8"/>
      <c r="X80" s="8"/>
      <c r="Y80" s="8"/>
      <c r="Z80" s="8"/>
      <c r="AA80" s="8"/>
    </row>
    <row r="81" spans="1:27" ht="16.5" thickBot="1" x14ac:dyDescent="0.3">
      <c r="A81" s="183"/>
      <c r="B81" s="49"/>
      <c r="C81" s="231"/>
      <c r="D81" s="50"/>
      <c r="E81" s="151"/>
      <c r="F81" s="151"/>
      <c r="G81" s="151"/>
      <c r="H81" s="151"/>
      <c r="I81" s="51"/>
      <c r="J81" s="51"/>
      <c r="K81" s="52"/>
      <c r="L81" s="53" t="s">
        <v>20</v>
      </c>
      <c r="M81" s="168">
        <f>(U158+U170+U184+U198+U212+U226+U240+U254+U268+U282)/10</f>
        <v>0</v>
      </c>
      <c r="N81" s="169"/>
      <c r="O81" s="170"/>
      <c r="P81" s="29"/>
      <c r="Q81" s="30"/>
      <c r="R81" s="8"/>
      <c r="S81" s="8"/>
      <c r="T81" s="8"/>
      <c r="U81" s="31"/>
      <c r="V81" s="8"/>
      <c r="W81" s="8"/>
      <c r="X81" s="8"/>
      <c r="Y81" s="8"/>
      <c r="Z81" s="8"/>
      <c r="AA81" s="8"/>
    </row>
    <row r="89" spans="1:27" ht="16.5" thickBot="1" x14ac:dyDescent="0.3"/>
    <row r="90" spans="1:27" x14ac:dyDescent="0.25">
      <c r="A90" s="157" t="s">
        <v>6</v>
      </c>
      <c r="B90" s="40"/>
      <c r="C90" s="229"/>
      <c r="D90" s="41"/>
      <c r="E90" s="42"/>
      <c r="F90" s="149"/>
      <c r="G90" s="149"/>
      <c r="H90" s="149"/>
      <c r="I90" s="43"/>
      <c r="J90" s="43"/>
      <c r="K90" s="44"/>
      <c r="L90" s="152"/>
      <c r="M90" s="171"/>
      <c r="N90" s="172"/>
      <c r="O90" s="173"/>
    </row>
    <row r="91" spans="1:27" ht="16.5" thickBot="1" x14ac:dyDescent="0.3">
      <c r="A91" s="157"/>
      <c r="B91" s="45"/>
      <c r="C91" s="230"/>
      <c r="D91" s="46"/>
      <c r="E91" s="47"/>
      <c r="F91" s="158"/>
      <c r="G91" s="158"/>
      <c r="H91" s="158"/>
      <c r="I91" s="46"/>
      <c r="J91" s="46"/>
      <c r="K91" s="48"/>
      <c r="L91" s="153"/>
      <c r="M91" s="174"/>
      <c r="N91" s="175"/>
      <c r="O91" s="176"/>
    </row>
    <row r="92" spans="1:27" x14ac:dyDescent="0.25">
      <c r="A92" s="157"/>
      <c r="B92" s="45"/>
      <c r="C92" s="230"/>
      <c r="D92" s="46"/>
      <c r="E92" s="47"/>
      <c r="F92" s="158"/>
      <c r="G92" s="158"/>
      <c r="H92" s="158"/>
      <c r="I92" s="46"/>
      <c r="J92" s="46"/>
      <c r="K92" s="48"/>
      <c r="L92" s="152" t="s">
        <v>1</v>
      </c>
      <c r="M92" s="171">
        <f>M305+M319+M333+M347+M361+M375+M389+M403+M417+M431</f>
        <v>0</v>
      </c>
      <c r="N92" s="172"/>
      <c r="O92" s="173"/>
    </row>
    <row r="93" spans="1:27" ht="16.5" thickBot="1" x14ac:dyDescent="0.3">
      <c r="A93" s="157"/>
      <c r="B93" s="45"/>
      <c r="C93" s="230"/>
      <c r="D93" s="46"/>
      <c r="E93" s="47"/>
      <c r="F93" s="158"/>
      <c r="G93" s="158"/>
      <c r="H93" s="158"/>
      <c r="I93" s="46"/>
      <c r="J93" s="46"/>
      <c r="K93" s="48"/>
      <c r="L93" s="153"/>
      <c r="M93" s="174"/>
      <c r="N93" s="175"/>
      <c r="O93" s="176"/>
    </row>
    <row r="94" spans="1:27" x14ac:dyDescent="0.25">
      <c r="A94" s="157"/>
      <c r="B94" s="45"/>
      <c r="C94" s="230"/>
      <c r="D94" s="46"/>
      <c r="E94" s="47"/>
      <c r="F94" s="150"/>
      <c r="G94" s="150"/>
      <c r="H94" s="150"/>
      <c r="I94" s="46"/>
      <c r="J94" s="46"/>
      <c r="K94" s="48"/>
      <c r="L94" s="152" t="s">
        <v>2</v>
      </c>
      <c r="M94" s="162">
        <f>U305+U319+U333+U347+U361+U375+U389+U403+U417+U431</f>
        <v>-90</v>
      </c>
      <c r="N94" s="163"/>
      <c r="O94" s="164"/>
    </row>
    <row r="95" spans="1:27" ht="16.5" thickBot="1" x14ac:dyDescent="0.3">
      <c r="A95" s="157"/>
      <c r="B95" s="45"/>
      <c r="C95" s="230"/>
      <c r="D95" s="46"/>
      <c r="E95" s="150"/>
      <c r="F95" s="150"/>
      <c r="G95" s="150"/>
      <c r="H95" s="150"/>
      <c r="I95" s="46"/>
      <c r="J95" s="46"/>
      <c r="K95" s="48"/>
      <c r="L95" s="153"/>
      <c r="M95" s="165"/>
      <c r="N95" s="166"/>
      <c r="O95" s="167"/>
    </row>
    <row r="96" spans="1:27" ht="16.5" thickBot="1" x14ac:dyDescent="0.3">
      <c r="A96" s="157"/>
      <c r="B96" s="49"/>
      <c r="C96" s="231"/>
      <c r="D96" s="50"/>
      <c r="E96" s="151"/>
      <c r="F96" s="151"/>
      <c r="G96" s="151"/>
      <c r="H96" s="151"/>
      <c r="I96" s="51"/>
      <c r="J96" s="51"/>
      <c r="K96" s="52"/>
      <c r="L96" s="53" t="s">
        <v>20</v>
      </c>
      <c r="M96" s="168"/>
      <c r="N96" s="169"/>
      <c r="O96" s="170"/>
    </row>
    <row r="104" spans="1:15" ht="16.5" thickBot="1" x14ac:dyDescent="0.3"/>
    <row r="105" spans="1:15" x14ac:dyDescent="0.25">
      <c r="A105" s="157" t="s">
        <v>7</v>
      </c>
      <c r="B105" s="40"/>
      <c r="C105" s="229"/>
      <c r="D105" s="41"/>
      <c r="E105" s="42"/>
      <c r="F105" s="149"/>
      <c r="G105" s="149"/>
      <c r="H105" s="149"/>
      <c r="I105" s="43"/>
      <c r="J105" s="43"/>
      <c r="K105" s="44"/>
      <c r="L105" s="152"/>
      <c r="M105" s="171"/>
      <c r="N105" s="172"/>
      <c r="O105" s="173"/>
    </row>
    <row r="106" spans="1:15" ht="16.5" thickBot="1" x14ac:dyDescent="0.3">
      <c r="A106" s="157"/>
      <c r="B106" s="45"/>
      <c r="C106" s="230"/>
      <c r="D106" s="46"/>
      <c r="E106" s="47"/>
      <c r="F106" s="158"/>
      <c r="G106" s="158"/>
      <c r="H106" s="158"/>
      <c r="I106" s="46"/>
      <c r="J106" s="46"/>
      <c r="K106" s="48"/>
      <c r="L106" s="153"/>
      <c r="M106" s="174"/>
      <c r="N106" s="175"/>
      <c r="O106" s="176"/>
    </row>
    <row r="107" spans="1:15" x14ac:dyDescent="0.25">
      <c r="A107" s="157"/>
      <c r="B107" s="45"/>
      <c r="C107" s="230"/>
      <c r="D107" s="46"/>
      <c r="E107" s="47"/>
      <c r="F107" s="158"/>
      <c r="G107" s="158"/>
      <c r="H107" s="158"/>
      <c r="I107" s="46"/>
      <c r="J107" s="46"/>
      <c r="K107" s="48"/>
      <c r="L107" s="152" t="s">
        <v>1</v>
      </c>
      <c r="M107" s="171">
        <f>M461+M475+M489+M503+M517+M531+M545+M559+M573+M587</f>
        <v>0</v>
      </c>
      <c r="N107" s="172"/>
      <c r="O107" s="173"/>
    </row>
    <row r="108" spans="1:15" ht="16.5" thickBot="1" x14ac:dyDescent="0.3">
      <c r="A108" s="157"/>
      <c r="B108" s="45"/>
      <c r="C108" s="230"/>
      <c r="D108" s="46"/>
      <c r="E108" s="47"/>
      <c r="F108" s="158"/>
      <c r="G108" s="158"/>
      <c r="H108" s="158"/>
      <c r="I108" s="46"/>
      <c r="J108" s="46"/>
      <c r="K108" s="48"/>
      <c r="L108" s="153"/>
      <c r="M108" s="174"/>
      <c r="N108" s="175"/>
      <c r="O108" s="176"/>
    </row>
    <row r="109" spans="1:15" x14ac:dyDescent="0.25">
      <c r="A109" s="157"/>
      <c r="B109" s="45"/>
      <c r="C109" s="230"/>
      <c r="D109" s="46"/>
      <c r="E109" s="47"/>
      <c r="F109" s="150"/>
      <c r="G109" s="150"/>
      <c r="H109" s="150"/>
      <c r="I109" s="46"/>
      <c r="J109" s="46"/>
      <c r="K109" s="48"/>
      <c r="L109" s="152" t="s">
        <v>2</v>
      </c>
      <c r="M109" s="162">
        <f>U461+U475+U489+U503+U517+U531+U545+U559+U573+U587</f>
        <v>-80</v>
      </c>
      <c r="N109" s="163"/>
      <c r="O109" s="164"/>
    </row>
    <row r="110" spans="1:15" ht="16.5" thickBot="1" x14ac:dyDescent="0.3">
      <c r="A110" s="157"/>
      <c r="B110" s="45"/>
      <c r="C110" s="230"/>
      <c r="D110" s="46"/>
      <c r="E110" s="150"/>
      <c r="F110" s="150"/>
      <c r="G110" s="150"/>
      <c r="H110" s="150"/>
      <c r="I110" s="46"/>
      <c r="J110" s="46"/>
      <c r="K110" s="48"/>
      <c r="L110" s="153"/>
      <c r="M110" s="165"/>
      <c r="N110" s="166"/>
      <c r="O110" s="167"/>
    </row>
    <row r="111" spans="1:15" ht="16.5" thickBot="1" x14ac:dyDescent="0.3">
      <c r="A111" s="157"/>
      <c r="B111" s="49"/>
      <c r="C111" s="231"/>
      <c r="D111" s="50"/>
      <c r="E111" s="151"/>
      <c r="F111" s="151"/>
      <c r="G111" s="151"/>
      <c r="H111" s="151"/>
      <c r="I111" s="51"/>
      <c r="J111" s="51"/>
      <c r="K111" s="52"/>
      <c r="L111" s="53" t="s">
        <v>20</v>
      </c>
      <c r="M111" s="168"/>
      <c r="N111" s="169"/>
      <c r="O111" s="170"/>
    </row>
    <row r="119" spans="1:15" ht="16.5" thickBot="1" x14ac:dyDescent="0.3"/>
    <row r="120" spans="1:15" x14ac:dyDescent="0.25">
      <c r="A120" s="157" t="s">
        <v>39</v>
      </c>
      <c r="B120" s="40"/>
      <c r="C120" s="229"/>
      <c r="D120" s="41"/>
      <c r="E120" s="42"/>
      <c r="F120" s="149"/>
      <c r="G120" s="149"/>
      <c r="H120" s="149"/>
      <c r="I120" s="43"/>
      <c r="J120" s="43"/>
      <c r="K120" s="44"/>
      <c r="L120" s="152"/>
      <c r="M120" s="171"/>
      <c r="N120" s="172"/>
      <c r="O120" s="173"/>
    </row>
    <row r="121" spans="1:15" ht="16.5" thickBot="1" x14ac:dyDescent="0.3">
      <c r="A121" s="157"/>
      <c r="B121" s="45"/>
      <c r="C121" s="230"/>
      <c r="D121" s="46"/>
      <c r="E121" s="47"/>
      <c r="F121" s="158"/>
      <c r="G121" s="158"/>
      <c r="H121" s="158"/>
      <c r="I121" s="46"/>
      <c r="J121" s="46"/>
      <c r="K121" s="48"/>
      <c r="L121" s="153"/>
      <c r="M121" s="174"/>
      <c r="N121" s="175"/>
      <c r="O121" s="176"/>
    </row>
    <row r="122" spans="1:15" x14ac:dyDescent="0.25">
      <c r="A122" s="157"/>
      <c r="B122" s="45"/>
      <c r="C122" s="230"/>
      <c r="D122" s="46"/>
      <c r="E122" s="47"/>
      <c r="F122" s="158"/>
      <c r="G122" s="158"/>
      <c r="H122" s="158"/>
      <c r="I122" s="46"/>
      <c r="J122" s="46"/>
      <c r="K122" s="48"/>
      <c r="L122" s="152" t="s">
        <v>1</v>
      </c>
      <c r="M122" s="171">
        <f>SUM(M631+M645+M659+M673+M687+M701+M715+M729+M743)</f>
        <v>0</v>
      </c>
      <c r="N122" s="172"/>
      <c r="O122" s="173"/>
    </row>
    <row r="123" spans="1:15" ht="16.5" thickBot="1" x14ac:dyDescent="0.3">
      <c r="A123" s="157"/>
      <c r="B123" s="45"/>
      <c r="C123" s="230"/>
      <c r="D123" s="46"/>
      <c r="E123" s="47"/>
      <c r="F123" s="158"/>
      <c r="G123" s="158"/>
      <c r="H123" s="158"/>
      <c r="I123" s="46"/>
      <c r="J123" s="46"/>
      <c r="K123" s="48"/>
      <c r="L123" s="153"/>
      <c r="M123" s="174"/>
      <c r="N123" s="175"/>
      <c r="O123" s="176"/>
    </row>
    <row r="124" spans="1:15" x14ac:dyDescent="0.25">
      <c r="A124" s="157"/>
      <c r="B124" s="45"/>
      <c r="C124" s="230"/>
      <c r="D124" s="46"/>
      <c r="E124" s="47"/>
      <c r="F124" s="150"/>
      <c r="G124" s="150"/>
      <c r="H124" s="150"/>
      <c r="I124" s="46"/>
      <c r="J124" s="46"/>
      <c r="K124" s="48"/>
      <c r="L124" s="152" t="s">
        <v>2</v>
      </c>
      <c r="M124" s="162">
        <f>SUM(U617+U631+U645+U659+U673+U687+U701+U715+U729+U743)</f>
        <v>0</v>
      </c>
      <c r="N124" s="163"/>
      <c r="O124" s="164"/>
    </row>
    <row r="125" spans="1:15" ht="16.5" thickBot="1" x14ac:dyDescent="0.3">
      <c r="A125" s="157"/>
      <c r="B125" s="45"/>
      <c r="C125" s="230"/>
      <c r="D125" s="46"/>
      <c r="E125" s="150"/>
      <c r="F125" s="150"/>
      <c r="G125" s="150"/>
      <c r="H125" s="150"/>
      <c r="I125" s="46"/>
      <c r="J125" s="46"/>
      <c r="K125" s="48"/>
      <c r="L125" s="153"/>
      <c r="M125" s="165"/>
      <c r="N125" s="166"/>
      <c r="O125" s="167"/>
    </row>
    <row r="126" spans="1:15" ht="16.5" thickBot="1" x14ac:dyDescent="0.3">
      <c r="A126" s="157"/>
      <c r="B126" s="49"/>
      <c r="C126" s="231"/>
      <c r="D126" s="50"/>
      <c r="E126" s="151"/>
      <c r="F126" s="151"/>
      <c r="G126" s="151"/>
      <c r="H126" s="151"/>
      <c r="I126" s="51"/>
      <c r="J126" s="51"/>
      <c r="K126" s="52"/>
      <c r="L126" s="53" t="s">
        <v>20</v>
      </c>
      <c r="M126" s="168"/>
      <c r="N126" s="169"/>
      <c r="O126" s="170"/>
    </row>
    <row r="132" spans="1:22" x14ac:dyDescent="0.25">
      <c r="A132" s="20"/>
      <c r="B132" s="20"/>
      <c r="C132" s="22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2"/>
      <c r="R132" s="20"/>
      <c r="S132" s="20"/>
      <c r="T132" s="20"/>
      <c r="U132" s="23"/>
      <c r="V132" s="20"/>
    </row>
    <row r="133" spans="1:22" x14ac:dyDescent="0.25">
      <c r="A133" s="20"/>
      <c r="B133" s="20"/>
      <c r="C133" s="22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2"/>
      <c r="R133" s="20"/>
      <c r="S133" s="20"/>
      <c r="T133" s="20"/>
      <c r="U133" s="23"/>
      <c r="V133" s="20"/>
    </row>
    <row r="134" spans="1:22" x14ac:dyDescent="0.25">
      <c r="A134" s="20"/>
      <c r="B134" s="20"/>
      <c r="C134" s="22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2"/>
      <c r="R134" s="20"/>
      <c r="S134" s="20"/>
      <c r="T134" s="20"/>
      <c r="U134" s="23"/>
      <c r="V134" s="20"/>
    </row>
    <row r="135" spans="1:22" x14ac:dyDescent="0.25">
      <c r="A135" s="20"/>
      <c r="B135" s="20"/>
      <c r="C135" s="22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2"/>
      <c r="R135" s="20"/>
      <c r="S135" s="20"/>
      <c r="T135" s="20"/>
      <c r="U135" s="23"/>
      <c r="V135" s="20"/>
    </row>
    <row r="136" spans="1:22" x14ac:dyDescent="0.25">
      <c r="A136" s="20"/>
      <c r="B136" s="20"/>
      <c r="C136" s="22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2"/>
      <c r="R136" s="20"/>
      <c r="S136" s="20"/>
      <c r="T136" s="20"/>
      <c r="U136" s="23"/>
      <c r="V136" s="20"/>
    </row>
    <row r="137" spans="1:22" x14ac:dyDescent="0.25">
      <c r="A137" s="20"/>
      <c r="B137" s="20"/>
      <c r="C137" s="22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2"/>
      <c r="R137" s="20"/>
      <c r="S137" s="20"/>
      <c r="T137" s="20"/>
      <c r="U137" s="23"/>
      <c r="V137" s="20"/>
    </row>
    <row r="138" spans="1:22" x14ac:dyDescent="0.25">
      <c r="A138" s="20"/>
      <c r="B138" s="20"/>
      <c r="C138" s="22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2"/>
      <c r="R138" s="20"/>
      <c r="S138" s="20"/>
      <c r="T138" s="20"/>
      <c r="U138" s="23"/>
      <c r="V138" s="20"/>
    </row>
    <row r="139" spans="1:22" x14ac:dyDescent="0.25">
      <c r="A139" s="20"/>
      <c r="B139" s="20"/>
      <c r="C139" s="22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2"/>
      <c r="R139" s="20"/>
      <c r="S139" s="20"/>
      <c r="T139" s="20"/>
      <c r="U139" s="23"/>
      <c r="V139" s="20"/>
    </row>
    <row r="140" spans="1:22" x14ac:dyDescent="0.25">
      <c r="A140" s="20"/>
      <c r="B140" s="20"/>
      <c r="C140" s="22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2"/>
      <c r="R140" s="20"/>
      <c r="S140" s="20"/>
      <c r="T140" s="20"/>
      <c r="U140" s="23"/>
      <c r="V140" s="20"/>
    </row>
    <row r="141" spans="1:22" x14ac:dyDescent="0.25">
      <c r="A141" s="20"/>
      <c r="B141" s="20"/>
      <c r="C141" s="22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2"/>
      <c r="R141" s="20"/>
      <c r="S141" s="20"/>
      <c r="T141" s="20"/>
      <c r="U141" s="23"/>
      <c r="V141" s="20"/>
    </row>
    <row r="142" spans="1:22" x14ac:dyDescent="0.25">
      <c r="A142" s="20"/>
      <c r="B142" s="20"/>
      <c r="C142" s="22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2"/>
      <c r="R142" s="20"/>
      <c r="S142" s="20"/>
      <c r="T142" s="20"/>
      <c r="U142" s="23"/>
      <c r="V142" s="20"/>
    </row>
    <row r="143" spans="1:22" x14ac:dyDescent="0.25">
      <c r="A143" s="20"/>
      <c r="B143" s="20"/>
      <c r="C143" s="22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2"/>
      <c r="R143" s="20"/>
      <c r="S143" s="20"/>
      <c r="T143" s="20"/>
      <c r="U143" s="23"/>
      <c r="V143" s="20"/>
    </row>
    <row r="144" spans="1:22" x14ac:dyDescent="0.25">
      <c r="A144" s="20"/>
      <c r="B144" s="20"/>
      <c r="C144" s="22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2"/>
      <c r="R144" s="20"/>
      <c r="S144" s="20"/>
      <c r="T144" s="20"/>
      <c r="U144" s="23"/>
      <c r="V144" s="20"/>
    </row>
    <row r="145" spans="1:22" x14ac:dyDescent="0.25">
      <c r="A145" s="20"/>
      <c r="B145" s="20"/>
      <c r="C145" s="22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2"/>
      <c r="R145" s="20"/>
      <c r="S145" s="20"/>
      <c r="T145" s="20"/>
      <c r="U145" s="23"/>
      <c r="V145" s="20"/>
    </row>
    <row r="146" spans="1:22" x14ac:dyDescent="0.25">
      <c r="A146" s="20"/>
      <c r="B146" s="20"/>
      <c r="C146" s="22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2"/>
      <c r="R146" s="20"/>
      <c r="S146" s="20"/>
      <c r="T146" s="20"/>
      <c r="U146" s="23"/>
      <c r="V146" s="20"/>
    </row>
    <row r="147" spans="1:22" ht="16.5" thickBot="1" x14ac:dyDescent="0.3">
      <c r="A147" s="20"/>
      <c r="B147" s="20"/>
      <c r="C147" s="22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2"/>
      <c r="R147" s="20"/>
      <c r="S147" s="20"/>
      <c r="T147" s="20"/>
      <c r="U147" s="23"/>
      <c r="V147" s="20"/>
    </row>
    <row r="148" spans="1:22" ht="19.5" thickBot="1" x14ac:dyDescent="0.3">
      <c r="A148" s="154" t="s">
        <v>5</v>
      </c>
      <c r="B148" s="124" t="s">
        <v>8</v>
      </c>
      <c r="C148" s="232" t="s">
        <v>9</v>
      </c>
      <c r="D148" s="55" t="s">
        <v>10</v>
      </c>
      <c r="E148" s="55" t="s">
        <v>11</v>
      </c>
      <c r="F148" s="55" t="s">
        <v>12</v>
      </c>
      <c r="G148" s="55" t="s">
        <v>13</v>
      </c>
      <c r="H148" s="55" t="s">
        <v>14</v>
      </c>
      <c r="I148" s="55" t="s">
        <v>15</v>
      </c>
      <c r="J148" s="55" t="s">
        <v>16</v>
      </c>
      <c r="K148" s="55" t="s">
        <v>35</v>
      </c>
      <c r="L148" s="55" t="s">
        <v>17</v>
      </c>
      <c r="M148" s="56" t="s">
        <v>18</v>
      </c>
      <c r="N148" s="57"/>
      <c r="O148" s="58" t="s">
        <v>19</v>
      </c>
      <c r="P148" s="54"/>
      <c r="Q148" s="59" t="s">
        <v>36</v>
      </c>
      <c r="R148" s="54"/>
      <c r="S148" s="58" t="s">
        <v>37</v>
      </c>
      <c r="T148" s="54"/>
      <c r="U148" s="60" t="s">
        <v>30</v>
      </c>
      <c r="V148" s="20"/>
    </row>
    <row r="149" spans="1:22" ht="18" x14ac:dyDescent="0.25">
      <c r="A149" s="155"/>
      <c r="B149" s="125"/>
      <c r="C149" s="220"/>
      <c r="D149" s="117" t="s">
        <v>89</v>
      </c>
      <c r="E149" s="117" t="s">
        <v>69</v>
      </c>
      <c r="F149" s="61" t="str">
        <f>IF(AND(C149=""),"",1-C149)</f>
        <v/>
      </c>
      <c r="G149" s="87" t="s">
        <v>70</v>
      </c>
      <c r="H149" s="87" t="s">
        <v>71</v>
      </c>
      <c r="I149" s="61" t="str">
        <f>IF(AND(C149=""),"",G149*C149)</f>
        <v/>
      </c>
      <c r="J149" s="61" t="str">
        <f>IF(AND(C149=""),"",H149*F149)</f>
        <v/>
      </c>
      <c r="K149" s="61" t="str">
        <f t="shared" ref="K149:K158" si="0">IF(AND(I149=""),"",IF(AND(I149&gt;J149),"T1","T2"))</f>
        <v/>
      </c>
      <c r="L149" s="62" t="str">
        <f>IF(AND(K149=""),"",IF(AND((J149*0.95-1)&lt;0,(I149*0.95-1)&lt;0),"NO BET", IF(AND(K149="T1"),I149*0.95 - 1,J149*0.95 - 1)))</f>
        <v/>
      </c>
      <c r="M149" s="127">
        <f>SUMIF(L149:L158,"&gt;0")</f>
        <v>0</v>
      </c>
      <c r="N149" s="57"/>
      <c r="O149" s="63" t="s">
        <v>90</v>
      </c>
      <c r="P149" s="57"/>
      <c r="Q149" s="64">
        <f t="shared" ref="Q149:Q157" si="1">IF(OR(O149="",L149="NO BET"),0,IF(AND(K149=O149),IF(AND(K149="T2"),ROUNDUP(H149*0.95,2)-1,ROUNDUP(G149*0.95,2)-1),-1))</f>
        <v>-1</v>
      </c>
      <c r="R149" s="54"/>
      <c r="S149" s="65" t="str">
        <f>IF(AND(O149=""),"",IF(AND(C149&gt;F149),IF(AND(O149="T1"),"a","r"),IF(AND(O149="T2"),"a","r")))</f>
        <v>a</v>
      </c>
      <c r="T149" s="54"/>
      <c r="U149" s="130">
        <f>SUM(Q149:Q158)</f>
        <v>-8</v>
      </c>
      <c r="V149" s="20"/>
    </row>
    <row r="150" spans="1:22" ht="18.75" customHeight="1" x14ac:dyDescent="0.25">
      <c r="A150" s="155"/>
      <c r="B150" s="125"/>
      <c r="C150" s="240"/>
      <c r="D150" s="114" t="s">
        <v>72</v>
      </c>
      <c r="E150" s="114" t="s">
        <v>57</v>
      </c>
      <c r="F150" s="66" t="str">
        <f t="shared" ref="F150:F158" si="2">IF(AND(C150=""),"",1-C150)</f>
        <v/>
      </c>
      <c r="G150" s="80">
        <v>2.5</v>
      </c>
      <c r="H150" s="80">
        <v>1.5</v>
      </c>
      <c r="I150" s="66" t="str">
        <f t="shared" ref="I150:I156" si="3">IF(AND(C150=""),"",G150*C150)</f>
        <v/>
      </c>
      <c r="J150" s="66" t="str">
        <f t="shared" ref="J150:J156" si="4">IF(AND(C150=""),"",H150*F150)</f>
        <v/>
      </c>
      <c r="K150" s="66" t="str">
        <f t="shared" si="0"/>
        <v/>
      </c>
      <c r="L150" s="67" t="str">
        <f t="shared" ref="L150:L158" si="5">IF(AND(K150=""),"",IF(AND((J150*0.95-1)&lt;0,(I150*0.95-1)&lt;0),"NO BET", IF(AND(K150="T1"),I150*0.95 - 1,J150*0.95 - 1)))</f>
        <v/>
      </c>
      <c r="M150" s="128"/>
      <c r="N150" s="20"/>
      <c r="O150" s="68" t="s">
        <v>91</v>
      </c>
      <c r="P150" s="54"/>
      <c r="Q150" s="69">
        <f t="shared" si="1"/>
        <v>-1</v>
      </c>
      <c r="R150" s="54"/>
      <c r="S150" s="70" t="str">
        <f t="shared" ref="S150:S158" si="6">IF(AND(O150=""),"",IF(AND(C150&gt;F150),IF(AND(O150="T1"),"a","r"),IF(AND(O150="T2"),"a","r")))</f>
        <v>r</v>
      </c>
      <c r="T150" s="54"/>
      <c r="U150" s="130"/>
      <c r="V150" s="20"/>
    </row>
    <row r="151" spans="1:22" ht="18" customHeight="1" x14ac:dyDescent="0.25">
      <c r="A151" s="155"/>
      <c r="B151" s="125"/>
      <c r="C151" s="241"/>
      <c r="D151" s="115" t="s">
        <v>59</v>
      </c>
      <c r="E151" s="115" t="s">
        <v>61</v>
      </c>
      <c r="F151" s="13" t="str">
        <f t="shared" si="2"/>
        <v/>
      </c>
      <c r="G151" s="118">
        <v>7</v>
      </c>
      <c r="H151" s="118">
        <v>1.1000000000000001</v>
      </c>
      <c r="I151" s="13" t="str">
        <f t="shared" si="3"/>
        <v/>
      </c>
      <c r="J151" s="13" t="str">
        <f t="shared" si="4"/>
        <v/>
      </c>
      <c r="K151" s="13" t="str">
        <f t="shared" si="0"/>
        <v/>
      </c>
      <c r="L151" s="71" t="str">
        <f t="shared" si="5"/>
        <v/>
      </c>
      <c r="M151" s="128"/>
      <c r="N151" s="57"/>
      <c r="O151" s="68" t="s">
        <v>91</v>
      </c>
      <c r="P151" s="54"/>
      <c r="Q151" s="69">
        <f t="shared" si="1"/>
        <v>-1</v>
      </c>
      <c r="R151" s="54"/>
      <c r="S151" s="70" t="str">
        <f t="shared" si="6"/>
        <v>r</v>
      </c>
      <c r="T151" s="54"/>
      <c r="U151" s="130"/>
      <c r="V151" s="20"/>
    </row>
    <row r="152" spans="1:22" ht="18" customHeight="1" x14ac:dyDescent="0.25">
      <c r="A152" s="155"/>
      <c r="B152" s="125"/>
      <c r="C152" s="240"/>
      <c r="D152" s="114" t="s">
        <v>55</v>
      </c>
      <c r="E152" s="114" t="s">
        <v>58</v>
      </c>
      <c r="F152" s="66" t="str">
        <f t="shared" si="2"/>
        <v/>
      </c>
      <c r="G152" s="119">
        <v>1.1100000000000001</v>
      </c>
      <c r="H152" s="119">
        <v>6</v>
      </c>
      <c r="I152" s="66" t="str">
        <f t="shared" si="3"/>
        <v/>
      </c>
      <c r="J152" s="66" t="str">
        <f t="shared" si="4"/>
        <v/>
      </c>
      <c r="K152" s="66" t="str">
        <f t="shared" si="0"/>
        <v/>
      </c>
      <c r="L152" s="67" t="str">
        <f t="shared" si="5"/>
        <v/>
      </c>
      <c r="M152" s="128"/>
      <c r="N152" s="72"/>
      <c r="O152" s="68" t="s">
        <v>91</v>
      </c>
      <c r="P152" s="54"/>
      <c r="Q152" s="69">
        <f t="shared" si="1"/>
        <v>-1</v>
      </c>
      <c r="R152" s="54"/>
      <c r="S152" s="70" t="str">
        <f t="shared" si="6"/>
        <v>r</v>
      </c>
      <c r="T152" s="54"/>
      <c r="U152" s="130"/>
      <c r="V152" s="20"/>
    </row>
    <row r="153" spans="1:22" ht="18" customHeight="1" x14ac:dyDescent="0.25">
      <c r="A153" s="155"/>
      <c r="B153" s="125"/>
      <c r="C153" s="241"/>
      <c r="D153" s="115" t="s">
        <v>72</v>
      </c>
      <c r="E153" s="115" t="s">
        <v>62</v>
      </c>
      <c r="F153" s="13" t="str">
        <f t="shared" si="2"/>
        <v/>
      </c>
      <c r="G153" s="118">
        <v>2.75</v>
      </c>
      <c r="H153" s="118">
        <v>1.4</v>
      </c>
      <c r="I153" s="13" t="str">
        <f t="shared" si="3"/>
        <v/>
      </c>
      <c r="J153" s="13" t="str">
        <f t="shared" si="4"/>
        <v/>
      </c>
      <c r="K153" s="13" t="str">
        <f t="shared" si="0"/>
        <v/>
      </c>
      <c r="L153" s="73" t="str">
        <f t="shared" si="5"/>
        <v/>
      </c>
      <c r="M153" s="128"/>
      <c r="N153" s="72"/>
      <c r="O153" s="68" t="s">
        <v>90</v>
      </c>
      <c r="P153" s="54"/>
      <c r="Q153" s="69">
        <f t="shared" si="1"/>
        <v>-1</v>
      </c>
      <c r="R153" s="54"/>
      <c r="S153" s="70" t="str">
        <f t="shared" si="6"/>
        <v>a</v>
      </c>
      <c r="T153" s="54"/>
      <c r="U153" s="130"/>
      <c r="V153" s="20"/>
    </row>
    <row r="154" spans="1:22" ht="18" customHeight="1" x14ac:dyDescent="0.25">
      <c r="A154" s="155"/>
      <c r="B154" s="125"/>
      <c r="C154" s="240"/>
      <c r="D154" s="114" t="s">
        <v>60</v>
      </c>
      <c r="E154" s="114" t="s">
        <v>69</v>
      </c>
      <c r="F154" s="66" t="str">
        <f t="shared" si="2"/>
        <v/>
      </c>
      <c r="G154" s="119">
        <v>5.5</v>
      </c>
      <c r="H154" s="119">
        <v>1.1200000000000001</v>
      </c>
      <c r="I154" s="66" t="str">
        <f t="shared" si="3"/>
        <v/>
      </c>
      <c r="J154" s="66" t="str">
        <f t="shared" si="4"/>
        <v/>
      </c>
      <c r="K154" s="66" t="str">
        <f t="shared" si="0"/>
        <v/>
      </c>
      <c r="L154" s="67" t="str">
        <f t="shared" si="5"/>
        <v/>
      </c>
      <c r="M154" s="128"/>
      <c r="N154" s="72"/>
      <c r="O154" s="68" t="s">
        <v>90</v>
      </c>
      <c r="P154" s="54"/>
      <c r="Q154" s="69">
        <f t="shared" si="1"/>
        <v>-1</v>
      </c>
      <c r="R154" s="54"/>
      <c r="S154" s="70" t="str">
        <f t="shared" si="6"/>
        <v>a</v>
      </c>
      <c r="T154" s="54"/>
      <c r="U154" s="130"/>
      <c r="V154" s="20"/>
    </row>
    <row r="155" spans="1:22" ht="18" customHeight="1" thickBot="1" x14ac:dyDescent="0.3">
      <c r="A155" s="155"/>
      <c r="B155" s="125"/>
      <c r="C155" s="241"/>
      <c r="D155" s="115" t="s">
        <v>61</v>
      </c>
      <c r="E155" s="115" t="s">
        <v>57</v>
      </c>
      <c r="F155" s="13" t="str">
        <f t="shared" si="2"/>
        <v/>
      </c>
      <c r="G155" s="118">
        <v>1.1000000000000001</v>
      </c>
      <c r="H155" s="118">
        <v>6.5</v>
      </c>
      <c r="I155" s="13" t="str">
        <f t="shared" si="3"/>
        <v/>
      </c>
      <c r="J155" s="13" t="str">
        <f t="shared" si="4"/>
        <v/>
      </c>
      <c r="K155" s="13" t="str">
        <f t="shared" si="0"/>
        <v/>
      </c>
      <c r="L155" s="71" t="str">
        <f t="shared" si="5"/>
        <v/>
      </c>
      <c r="M155" s="128"/>
      <c r="N155" s="20"/>
      <c r="O155" s="68" t="s">
        <v>91</v>
      </c>
      <c r="P155" s="54"/>
      <c r="Q155" s="69">
        <f t="shared" si="1"/>
        <v>-1</v>
      </c>
      <c r="R155" s="54"/>
      <c r="S155" s="70" t="str">
        <f t="shared" si="6"/>
        <v>r</v>
      </c>
      <c r="T155" s="54"/>
      <c r="U155" s="74" t="s">
        <v>32</v>
      </c>
      <c r="V155" s="20"/>
    </row>
    <row r="156" spans="1:22" ht="18" customHeight="1" x14ac:dyDescent="0.25">
      <c r="A156" s="155"/>
      <c r="B156" s="125"/>
      <c r="C156" s="240"/>
      <c r="D156" s="114" t="s">
        <v>60</v>
      </c>
      <c r="E156" s="114" t="s">
        <v>55</v>
      </c>
      <c r="F156" s="66" t="str">
        <f t="shared" si="2"/>
        <v/>
      </c>
      <c r="G156" s="80">
        <v>8</v>
      </c>
      <c r="H156" s="80">
        <v>1.0620000000000001</v>
      </c>
      <c r="I156" s="66" t="str">
        <f t="shared" si="3"/>
        <v/>
      </c>
      <c r="J156" s="66" t="str">
        <f t="shared" si="4"/>
        <v/>
      </c>
      <c r="K156" s="66" t="str">
        <f t="shared" si="0"/>
        <v/>
      </c>
      <c r="L156" s="82" t="str">
        <f t="shared" si="5"/>
        <v/>
      </c>
      <c r="M156" s="128"/>
      <c r="N156" s="20"/>
      <c r="O156" s="68" t="s">
        <v>91</v>
      </c>
      <c r="P156" s="54"/>
      <c r="Q156" s="69">
        <f t="shared" si="1"/>
        <v>-1</v>
      </c>
      <c r="R156" s="54"/>
      <c r="S156" s="70" t="str">
        <f t="shared" si="6"/>
        <v>r</v>
      </c>
      <c r="T156" s="54"/>
      <c r="U156" s="133">
        <f>IF(AND(NOT(M149=0)),U149/M149,0)</f>
        <v>0</v>
      </c>
      <c r="V156" s="20"/>
    </row>
    <row r="157" spans="1:22" ht="18" x14ac:dyDescent="0.25">
      <c r="A157" s="155"/>
      <c r="B157" s="125"/>
      <c r="C157" s="235"/>
      <c r="D157" s="13"/>
      <c r="E157" s="13"/>
      <c r="F157" s="13" t="str">
        <f t="shared" si="2"/>
        <v/>
      </c>
      <c r="G157" s="83"/>
      <c r="H157" s="83"/>
      <c r="I157" s="13" t="str">
        <f>IF(AND(C157=""),"",G157*C157)</f>
        <v/>
      </c>
      <c r="J157" s="13" t="str">
        <f>IF(AND(C157=""),"",H157*F157)</f>
        <v/>
      </c>
      <c r="K157" s="13" t="str">
        <f t="shared" si="0"/>
        <v/>
      </c>
      <c r="L157" s="73" t="str">
        <f t="shared" si="5"/>
        <v/>
      </c>
      <c r="M157" s="128"/>
      <c r="N157" s="20"/>
      <c r="O157" s="68"/>
      <c r="P157" s="54"/>
      <c r="Q157" s="69">
        <f t="shared" si="1"/>
        <v>0</v>
      </c>
      <c r="R157" s="54"/>
      <c r="S157" s="70" t="str">
        <f t="shared" si="6"/>
        <v/>
      </c>
      <c r="T157" s="54"/>
      <c r="U157" s="134"/>
      <c r="V157" s="20"/>
    </row>
    <row r="158" spans="1:22" ht="18.75" thickBot="1" x14ac:dyDescent="0.3">
      <c r="A158" s="156"/>
      <c r="B158" s="126"/>
      <c r="C158" s="236"/>
      <c r="D158" s="75"/>
      <c r="E158" s="75"/>
      <c r="F158" s="75" t="str">
        <f t="shared" si="2"/>
        <v/>
      </c>
      <c r="G158" s="84"/>
      <c r="H158" s="84"/>
      <c r="I158" s="75" t="str">
        <f>IF(AND(C158=""),"",G158*C158)</f>
        <v/>
      </c>
      <c r="J158" s="75" t="str">
        <f>IF(AND(C158=""),"",H158*F158)</f>
        <v/>
      </c>
      <c r="K158" s="75" t="str">
        <f t="shared" si="0"/>
        <v/>
      </c>
      <c r="L158" s="85" t="str">
        <f t="shared" si="5"/>
        <v/>
      </c>
      <c r="M158" s="129"/>
      <c r="N158" s="20"/>
      <c r="O158" s="76"/>
      <c r="P158" s="20"/>
      <c r="Q158" s="77">
        <f>IF(OR(O158="",L158="NO BET"),0,IF(AND(K158=O158),IF(AND(K158="T2"),ROUNDUP(H158*0.95,2)-1,ROUNDUP(G158*0.95,2)-1),-1))</f>
        <v>0</v>
      </c>
      <c r="R158" s="20"/>
      <c r="S158" s="78" t="str">
        <f t="shared" si="6"/>
        <v/>
      </c>
      <c r="T158" s="20"/>
      <c r="U158" s="135"/>
      <c r="V158" s="20"/>
    </row>
    <row r="159" spans="1:22" x14ac:dyDescent="0.25">
      <c r="A159" s="20"/>
      <c r="B159" s="20"/>
      <c r="C159" s="22"/>
      <c r="D159" s="20"/>
      <c r="E159" s="20"/>
      <c r="F159" s="20"/>
      <c r="G159" s="20"/>
      <c r="H159" s="20"/>
      <c r="I159" s="20"/>
      <c r="J159" s="20"/>
      <c r="K159" s="20"/>
      <c r="L159" s="79"/>
      <c r="M159" s="20"/>
      <c r="N159" s="20"/>
      <c r="O159" s="20"/>
      <c r="P159" s="54"/>
      <c r="Q159" s="22"/>
      <c r="R159" s="54"/>
      <c r="S159" s="54"/>
      <c r="T159" s="54"/>
      <c r="U159" s="23"/>
      <c r="V159" s="20"/>
    </row>
    <row r="160" spans="1:22" x14ac:dyDescent="0.25">
      <c r="A160" s="20"/>
      <c r="B160" s="20"/>
      <c r="C160" s="22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2"/>
      <c r="R160" s="20"/>
      <c r="S160" s="54"/>
      <c r="T160" s="20"/>
      <c r="U160" s="23"/>
      <c r="V160" s="20"/>
    </row>
    <row r="161" spans="1:22" ht="16.5" thickBot="1" x14ac:dyDescent="0.3">
      <c r="A161" s="20"/>
      <c r="B161" s="20"/>
      <c r="C161" s="22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54"/>
      <c r="Q161" s="22"/>
      <c r="R161" s="54"/>
      <c r="S161" s="54"/>
      <c r="T161" s="54"/>
      <c r="U161" s="23"/>
      <c r="V161" s="20"/>
    </row>
    <row r="162" spans="1:22" ht="19.5" customHeight="1" thickBot="1" x14ac:dyDescent="0.3">
      <c r="A162" s="154" t="s">
        <v>5</v>
      </c>
      <c r="B162" s="124" t="s">
        <v>21</v>
      </c>
      <c r="C162" s="232" t="s">
        <v>9</v>
      </c>
      <c r="D162" s="55" t="s">
        <v>10</v>
      </c>
      <c r="E162" s="55" t="s">
        <v>11</v>
      </c>
      <c r="F162" s="55" t="s">
        <v>12</v>
      </c>
      <c r="G162" s="55" t="s">
        <v>13</v>
      </c>
      <c r="H162" s="55" t="s">
        <v>14</v>
      </c>
      <c r="I162" s="55" t="s">
        <v>15</v>
      </c>
      <c r="J162" s="55" t="s">
        <v>16</v>
      </c>
      <c r="K162" s="55" t="s">
        <v>35</v>
      </c>
      <c r="L162" s="55" t="s">
        <v>17</v>
      </c>
      <c r="M162" s="56" t="s">
        <v>18</v>
      </c>
      <c r="N162" s="57"/>
      <c r="O162" s="58" t="s">
        <v>19</v>
      </c>
      <c r="P162" s="54"/>
      <c r="Q162" s="59" t="s">
        <v>36</v>
      </c>
      <c r="R162" s="54"/>
      <c r="S162" s="58" t="s">
        <v>37</v>
      </c>
      <c r="T162" s="54"/>
      <c r="U162" s="60" t="s">
        <v>30</v>
      </c>
      <c r="V162" s="20"/>
    </row>
    <row r="163" spans="1:22" ht="18" x14ac:dyDescent="0.25">
      <c r="A163" s="155"/>
      <c r="B163" s="125"/>
      <c r="C163" s="220"/>
      <c r="D163" s="120" t="s">
        <v>59</v>
      </c>
      <c r="E163" s="120" t="s">
        <v>89</v>
      </c>
      <c r="F163" s="61" t="str">
        <f>IF(AND(C163=""),"",1-C163)</f>
        <v/>
      </c>
      <c r="G163" s="87">
        <v>2.62</v>
      </c>
      <c r="H163" s="87">
        <v>1.44</v>
      </c>
      <c r="I163" s="61" t="str">
        <f>IF(AND(C163=""),"",G163*C163)</f>
        <v/>
      </c>
      <c r="J163" s="61" t="str">
        <f>IF(AND(C163=""),"",H163*F163)</f>
        <v/>
      </c>
      <c r="K163" s="61" t="str">
        <f t="shared" ref="K163:K172" si="7">IF(AND(I163=""),"",IF(AND(I163&gt;J163),"T1","T2"))</f>
        <v/>
      </c>
      <c r="L163" s="62" t="str">
        <f>IF(AND(K163=""),"",IF(AND((J163*0.95-1)&lt;0,(I163*0.95-1)&lt;0),"NO BET", IF(AND(K163="T1"),I163*0.95 - 1,J163*0.95 - 1)))</f>
        <v/>
      </c>
      <c r="M163" s="127">
        <f>SUMIF(L163:L172,"&gt;0")</f>
        <v>0</v>
      </c>
      <c r="N163" s="57"/>
      <c r="O163" s="63" t="s">
        <v>90</v>
      </c>
      <c r="P163" s="57"/>
      <c r="Q163" s="64">
        <f t="shared" ref="Q163:Q171" si="8">IF(OR(O163="",L163="NO BET"),0,IF(AND(K163=O163),IF(AND(K163="T2"),ROUNDUP(H163*0.95,2)-1,ROUNDUP(G163*0.95,2)-1),-1))</f>
        <v>-1</v>
      </c>
      <c r="R163" s="54"/>
      <c r="S163" s="65" t="str">
        <f>IF(AND(O163=""),"",IF(AND(C163&gt;F163),IF(AND(O163="T1"),"a","r"),IF(AND(O163="T2"),"a","r")))</f>
        <v>a</v>
      </c>
      <c r="T163" s="54"/>
      <c r="U163" s="130">
        <f>SUM(Q163:Q172)</f>
        <v>-10</v>
      </c>
      <c r="V163" s="20"/>
    </row>
    <row r="164" spans="1:22" ht="18" x14ac:dyDescent="0.25">
      <c r="A164" s="155"/>
      <c r="B164" s="125"/>
      <c r="C164" s="240"/>
      <c r="D164" s="108" t="s">
        <v>62</v>
      </c>
      <c r="E164" s="108" t="s">
        <v>58</v>
      </c>
      <c r="F164" s="66" t="str">
        <f t="shared" ref="F164:F172" si="9">IF(AND(C164=""),"",1-C164)</f>
        <v/>
      </c>
      <c r="G164" s="66">
        <v>1.72</v>
      </c>
      <c r="H164" s="66">
        <v>2</v>
      </c>
      <c r="I164" s="66" t="str">
        <f t="shared" ref="I164:I170" si="10">IF(AND(C164=""),"",G164*C164)</f>
        <v/>
      </c>
      <c r="J164" s="66" t="str">
        <f t="shared" ref="J164:J170" si="11">IF(AND(C164=""),"",H164*F164)</f>
        <v/>
      </c>
      <c r="K164" s="66" t="str">
        <f t="shared" si="7"/>
        <v/>
      </c>
      <c r="L164" s="67" t="str">
        <f t="shared" ref="L164:L172" si="12">IF(AND(K164=""),"",IF(AND((J164*0.95-1)&lt;0,(I164*0.95-1)&lt;0),"NO BET", IF(AND(K164="T1"),I164*0.95 - 1,J164*0.95 - 1)))</f>
        <v/>
      </c>
      <c r="M164" s="128"/>
      <c r="N164" s="20"/>
      <c r="O164" s="68" t="s">
        <v>90</v>
      </c>
      <c r="P164" s="54"/>
      <c r="Q164" s="69">
        <f t="shared" si="8"/>
        <v>-1</v>
      </c>
      <c r="R164" s="54"/>
      <c r="S164" s="70" t="str">
        <f t="shared" ref="S164:S172" si="13">IF(AND(O164=""),"",IF(AND(C164&gt;F164),IF(AND(O164="T1"),"a","r"),IF(AND(O164="T2"),"a","r")))</f>
        <v>a</v>
      </c>
      <c r="T164" s="54"/>
      <c r="U164" s="130"/>
      <c r="V164" s="20"/>
    </row>
    <row r="165" spans="1:22" ht="18" x14ac:dyDescent="0.25">
      <c r="A165" s="155"/>
      <c r="B165" s="125"/>
      <c r="C165" s="241"/>
      <c r="D165" s="102" t="s">
        <v>60</v>
      </c>
      <c r="E165" s="102" t="s">
        <v>57</v>
      </c>
      <c r="F165" s="13" t="str">
        <f t="shared" si="9"/>
        <v/>
      </c>
      <c r="G165" s="83">
        <v>1.4</v>
      </c>
      <c r="H165" s="13">
        <v>2.75</v>
      </c>
      <c r="I165" s="13" t="str">
        <f t="shared" si="10"/>
        <v/>
      </c>
      <c r="J165" s="13" t="str">
        <f t="shared" si="11"/>
        <v/>
      </c>
      <c r="K165" s="13" t="str">
        <f t="shared" si="7"/>
        <v/>
      </c>
      <c r="L165" s="71" t="str">
        <f t="shared" si="12"/>
        <v/>
      </c>
      <c r="M165" s="128"/>
      <c r="N165" s="57"/>
      <c r="O165" s="68" t="s">
        <v>91</v>
      </c>
      <c r="P165" s="54"/>
      <c r="Q165" s="69">
        <f t="shared" si="8"/>
        <v>-1</v>
      </c>
      <c r="R165" s="54"/>
      <c r="S165" s="70" t="str">
        <f t="shared" si="13"/>
        <v>r</v>
      </c>
      <c r="T165" s="54"/>
      <c r="U165" s="130"/>
      <c r="V165" s="20"/>
    </row>
    <row r="166" spans="1:22" ht="18" x14ac:dyDescent="0.25">
      <c r="A166" s="155"/>
      <c r="B166" s="125"/>
      <c r="C166" s="240"/>
      <c r="D166" s="108" t="s">
        <v>61</v>
      </c>
      <c r="E166" s="108" t="s">
        <v>55</v>
      </c>
      <c r="F166" s="66" t="str">
        <f t="shared" si="9"/>
        <v/>
      </c>
      <c r="G166" s="80">
        <v>1.61</v>
      </c>
      <c r="H166" s="66">
        <v>2.2000000000000002</v>
      </c>
      <c r="I166" s="66" t="str">
        <f t="shared" si="10"/>
        <v/>
      </c>
      <c r="J166" s="66" t="str">
        <f t="shared" si="11"/>
        <v/>
      </c>
      <c r="K166" s="66" t="str">
        <f t="shared" si="7"/>
        <v/>
      </c>
      <c r="L166" s="67" t="str">
        <f t="shared" si="12"/>
        <v/>
      </c>
      <c r="M166" s="128"/>
      <c r="N166" s="72"/>
      <c r="O166" s="68" t="s">
        <v>91</v>
      </c>
      <c r="P166" s="54"/>
      <c r="Q166" s="69">
        <f t="shared" si="8"/>
        <v>-1</v>
      </c>
      <c r="R166" s="54"/>
      <c r="S166" s="70" t="str">
        <f t="shared" si="13"/>
        <v>r</v>
      </c>
      <c r="T166" s="54"/>
      <c r="U166" s="130"/>
      <c r="V166" s="20"/>
    </row>
    <row r="167" spans="1:22" ht="18" x14ac:dyDescent="0.25">
      <c r="A167" s="155"/>
      <c r="B167" s="125"/>
      <c r="C167" s="241"/>
      <c r="D167" s="102" t="s">
        <v>58</v>
      </c>
      <c r="E167" s="102" t="s">
        <v>72</v>
      </c>
      <c r="F167" s="13" t="str">
        <f t="shared" si="9"/>
        <v/>
      </c>
      <c r="G167" s="83">
        <v>2</v>
      </c>
      <c r="H167" s="13">
        <v>1.72</v>
      </c>
      <c r="I167" s="13" t="str">
        <f t="shared" si="10"/>
        <v/>
      </c>
      <c r="J167" s="13" t="str">
        <f t="shared" si="11"/>
        <v/>
      </c>
      <c r="K167" s="13" t="str">
        <f t="shared" si="7"/>
        <v/>
      </c>
      <c r="L167" s="73" t="str">
        <f t="shared" si="12"/>
        <v/>
      </c>
      <c r="M167" s="128"/>
      <c r="N167" s="72"/>
      <c r="O167" s="68" t="s">
        <v>91</v>
      </c>
      <c r="P167" s="54"/>
      <c r="Q167" s="69">
        <f t="shared" si="8"/>
        <v>-1</v>
      </c>
      <c r="R167" s="54"/>
      <c r="S167" s="70" t="str">
        <f t="shared" si="13"/>
        <v>r</v>
      </c>
      <c r="T167" s="54"/>
      <c r="U167" s="130"/>
      <c r="V167" s="20"/>
    </row>
    <row r="168" spans="1:22" ht="18" x14ac:dyDescent="0.25">
      <c r="A168" s="155"/>
      <c r="B168" s="125"/>
      <c r="C168" s="240"/>
      <c r="D168" s="108" t="s">
        <v>69</v>
      </c>
      <c r="E168" s="108" t="s">
        <v>59</v>
      </c>
      <c r="F168" s="66" t="str">
        <f t="shared" si="9"/>
        <v/>
      </c>
      <c r="G168" s="80">
        <v>1.25</v>
      </c>
      <c r="H168" s="66">
        <v>3.75</v>
      </c>
      <c r="I168" s="66" t="str">
        <f t="shared" si="10"/>
        <v/>
      </c>
      <c r="J168" s="66" t="str">
        <f t="shared" si="11"/>
        <v/>
      </c>
      <c r="K168" s="66" t="str">
        <f t="shared" si="7"/>
        <v/>
      </c>
      <c r="L168" s="67" t="str">
        <f t="shared" si="12"/>
        <v/>
      </c>
      <c r="M168" s="128"/>
      <c r="N168" s="72"/>
      <c r="O168" s="68" t="s">
        <v>91</v>
      </c>
      <c r="P168" s="54"/>
      <c r="Q168" s="69">
        <f t="shared" si="8"/>
        <v>-1</v>
      </c>
      <c r="R168" s="54"/>
      <c r="S168" s="70" t="str">
        <f t="shared" si="13"/>
        <v>r</v>
      </c>
      <c r="T168" s="54"/>
      <c r="U168" s="130"/>
      <c r="V168" s="20"/>
    </row>
    <row r="169" spans="1:22" ht="18.75" thickBot="1" x14ac:dyDescent="0.3">
      <c r="A169" s="155"/>
      <c r="B169" s="125"/>
      <c r="C169" s="241"/>
      <c r="D169" s="102" t="s">
        <v>89</v>
      </c>
      <c r="E169" s="102" t="s">
        <v>55</v>
      </c>
      <c r="F169" s="13" t="str">
        <f t="shared" si="9"/>
        <v/>
      </c>
      <c r="G169" s="83">
        <v>1.5</v>
      </c>
      <c r="H169" s="13">
        <v>2.5</v>
      </c>
      <c r="I169" s="13" t="str">
        <f t="shared" si="10"/>
        <v/>
      </c>
      <c r="J169" s="13" t="str">
        <f t="shared" si="11"/>
        <v/>
      </c>
      <c r="K169" s="13" t="str">
        <f t="shared" si="7"/>
        <v/>
      </c>
      <c r="L169" s="71" t="str">
        <f t="shared" si="12"/>
        <v/>
      </c>
      <c r="M169" s="128"/>
      <c r="N169" s="20"/>
      <c r="O169" s="68" t="s">
        <v>91</v>
      </c>
      <c r="P169" s="54"/>
      <c r="Q169" s="69">
        <f t="shared" si="8"/>
        <v>-1</v>
      </c>
      <c r="R169" s="54"/>
      <c r="S169" s="70" t="str">
        <f t="shared" si="13"/>
        <v>r</v>
      </c>
      <c r="T169" s="54"/>
      <c r="U169" s="74" t="s">
        <v>32</v>
      </c>
      <c r="V169" s="20"/>
    </row>
    <row r="170" spans="1:22" ht="18" x14ac:dyDescent="0.25">
      <c r="A170" s="155"/>
      <c r="B170" s="125"/>
      <c r="C170" s="240"/>
      <c r="D170" s="108" t="s">
        <v>61</v>
      </c>
      <c r="E170" s="108" t="s">
        <v>62</v>
      </c>
      <c r="F170" s="66" t="str">
        <f t="shared" si="9"/>
        <v/>
      </c>
      <c r="G170" s="80">
        <v>1.2</v>
      </c>
      <c r="H170" s="66">
        <v>4.33</v>
      </c>
      <c r="I170" s="66" t="str">
        <f t="shared" si="10"/>
        <v/>
      </c>
      <c r="J170" s="66" t="str">
        <f t="shared" si="11"/>
        <v/>
      </c>
      <c r="K170" s="66" t="str">
        <f t="shared" si="7"/>
        <v/>
      </c>
      <c r="L170" s="82" t="str">
        <f t="shared" si="12"/>
        <v/>
      </c>
      <c r="M170" s="128"/>
      <c r="N170" s="20"/>
      <c r="O170" s="68" t="s">
        <v>91</v>
      </c>
      <c r="P170" s="54"/>
      <c r="Q170" s="69">
        <f t="shared" si="8"/>
        <v>-1</v>
      </c>
      <c r="R170" s="54"/>
      <c r="S170" s="70" t="str">
        <f t="shared" si="13"/>
        <v>r</v>
      </c>
      <c r="T170" s="54"/>
      <c r="U170" s="133">
        <f>IF(AND(NOT(M163=0)),U163/M163,0)</f>
        <v>0</v>
      </c>
      <c r="V170" s="20"/>
    </row>
    <row r="171" spans="1:22" ht="18" x14ac:dyDescent="0.25">
      <c r="A171" s="155"/>
      <c r="B171" s="125"/>
      <c r="C171" s="241"/>
      <c r="D171" s="102" t="s">
        <v>69</v>
      </c>
      <c r="E171" s="102" t="s">
        <v>72</v>
      </c>
      <c r="F171" s="13" t="str">
        <f t="shared" si="9"/>
        <v/>
      </c>
      <c r="G171" s="13">
        <v>1.1000000000000001</v>
      </c>
      <c r="H171" s="13">
        <v>6</v>
      </c>
      <c r="I171" s="13" t="str">
        <f>IF(AND(C171=""),"",G171*C171)</f>
        <v/>
      </c>
      <c r="J171" s="13" t="str">
        <f>IF(AND(C171=""),"",H171*F171)</f>
        <v/>
      </c>
      <c r="K171" s="13" t="str">
        <f t="shared" si="7"/>
        <v/>
      </c>
      <c r="L171" s="73" t="str">
        <f t="shared" si="12"/>
        <v/>
      </c>
      <c r="M171" s="128"/>
      <c r="N171" s="20"/>
      <c r="O171" s="68" t="s">
        <v>90</v>
      </c>
      <c r="P171" s="54"/>
      <c r="Q171" s="69">
        <f t="shared" si="8"/>
        <v>-1</v>
      </c>
      <c r="R171" s="54"/>
      <c r="S171" s="70" t="str">
        <f t="shared" si="13"/>
        <v>a</v>
      </c>
      <c r="T171" s="54"/>
      <c r="U171" s="134"/>
      <c r="V171" s="20"/>
    </row>
    <row r="172" spans="1:22" ht="18.75" thickBot="1" x14ac:dyDescent="0.3">
      <c r="A172" s="156"/>
      <c r="B172" s="126"/>
      <c r="C172" s="242"/>
      <c r="D172" s="121" t="s">
        <v>58</v>
      </c>
      <c r="E172" s="121" t="s">
        <v>59</v>
      </c>
      <c r="F172" s="75" t="str">
        <f t="shared" si="9"/>
        <v/>
      </c>
      <c r="G172" s="75">
        <v>3</v>
      </c>
      <c r="H172" s="75">
        <v>1.36</v>
      </c>
      <c r="I172" s="75" t="str">
        <f>IF(AND(C172=""),"",G172*C172)</f>
        <v/>
      </c>
      <c r="J172" s="75" t="str">
        <f>IF(AND(C172=""),"",H172*F172)</f>
        <v/>
      </c>
      <c r="K172" s="75" t="str">
        <f t="shared" si="7"/>
        <v/>
      </c>
      <c r="L172" s="85" t="str">
        <f t="shared" si="12"/>
        <v/>
      </c>
      <c r="M172" s="129"/>
      <c r="N172" s="20"/>
      <c r="O172" s="76" t="s">
        <v>90</v>
      </c>
      <c r="P172" s="20"/>
      <c r="Q172" s="77">
        <f>IF(OR(O172="",L172="NO BET"),0,IF(AND(K172=O172),IF(AND(K172="T2"),ROUNDUP(H172*0.95,2)-1,ROUNDUP(G172*0.95,2)-1),-1))</f>
        <v>-1</v>
      </c>
      <c r="R172" s="20"/>
      <c r="S172" s="78" t="str">
        <f t="shared" si="13"/>
        <v>a</v>
      </c>
      <c r="T172" s="20"/>
      <c r="U172" s="135"/>
      <c r="V172" s="20"/>
    </row>
    <row r="173" spans="1:22" x14ac:dyDescent="0.25">
      <c r="A173" s="20"/>
      <c r="B173" s="20"/>
      <c r="C173" s="22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Q173" s="22"/>
      <c r="R173" s="20"/>
      <c r="S173" s="20"/>
      <c r="T173" s="20"/>
      <c r="U173" s="23"/>
      <c r="V173" s="20"/>
    </row>
    <row r="174" spans="1:22" x14ac:dyDescent="0.25">
      <c r="A174" s="20"/>
      <c r="B174" s="20"/>
      <c r="C174" s="22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2"/>
      <c r="R174" s="20"/>
      <c r="S174" s="20"/>
      <c r="T174" s="20"/>
      <c r="U174" s="23"/>
      <c r="V174" s="20"/>
    </row>
    <row r="175" spans="1:22" ht="16.5" thickBot="1" x14ac:dyDescent="0.3">
      <c r="A175" s="20"/>
      <c r="B175" s="20"/>
      <c r="C175" s="22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2"/>
      <c r="R175" s="20"/>
      <c r="S175" s="20"/>
      <c r="T175" s="20"/>
      <c r="U175" s="23"/>
      <c r="V175" s="20"/>
    </row>
    <row r="176" spans="1:22" ht="19.5" customHeight="1" thickBot="1" x14ac:dyDescent="0.3">
      <c r="A176" s="154" t="s">
        <v>5</v>
      </c>
      <c r="B176" s="124" t="s">
        <v>22</v>
      </c>
      <c r="C176" s="232" t="s">
        <v>9</v>
      </c>
      <c r="D176" s="55" t="s">
        <v>10</v>
      </c>
      <c r="E176" s="55" t="s">
        <v>11</v>
      </c>
      <c r="F176" s="55" t="s">
        <v>12</v>
      </c>
      <c r="G176" s="55" t="s">
        <v>13</v>
      </c>
      <c r="H176" s="55" t="s">
        <v>14</v>
      </c>
      <c r="I176" s="55" t="s">
        <v>15</v>
      </c>
      <c r="J176" s="55" t="s">
        <v>16</v>
      </c>
      <c r="K176" s="55" t="s">
        <v>35</v>
      </c>
      <c r="L176" s="55" t="s">
        <v>17</v>
      </c>
      <c r="M176" s="56" t="s">
        <v>18</v>
      </c>
      <c r="N176" s="57"/>
      <c r="O176" s="58" t="s">
        <v>19</v>
      </c>
      <c r="P176" s="54"/>
      <c r="Q176" s="59" t="s">
        <v>36</v>
      </c>
      <c r="R176" s="54"/>
      <c r="S176" s="58" t="s">
        <v>37</v>
      </c>
      <c r="T176" s="54"/>
      <c r="U176" s="60" t="s">
        <v>30</v>
      </c>
      <c r="V176" s="20"/>
    </row>
    <row r="177" spans="1:22" ht="15.75" customHeight="1" x14ac:dyDescent="0.25">
      <c r="A177" s="155"/>
      <c r="B177" s="125"/>
      <c r="C177" s="243"/>
      <c r="D177" s="120" t="s">
        <v>62</v>
      </c>
      <c r="E177" s="120" t="s">
        <v>60</v>
      </c>
      <c r="F177" s="61" t="str">
        <f>IF(AND(C177=""),"",1-C177)</f>
        <v/>
      </c>
      <c r="G177" s="61">
        <v>1.72</v>
      </c>
      <c r="H177" s="61">
        <v>2</v>
      </c>
      <c r="I177" s="61" t="str">
        <f>IF(AND(C177=""),"",G177*C177)</f>
        <v/>
      </c>
      <c r="J177" s="61" t="str">
        <f>IF(AND(C177=""),"",H177*F177)</f>
        <v/>
      </c>
      <c r="K177" s="61" t="str">
        <f t="shared" ref="K177:K186" si="14">IF(AND(I177=""),"",IF(AND(I177&gt;J177),"T1","T2"))</f>
        <v/>
      </c>
      <c r="L177" s="62" t="str">
        <f>IF(AND(K177=""),"",IF(AND((J177*0.95-1)&lt;0,(I177*0.95-1)&lt;0),"NO BET", IF(AND(K177="T1"),I177*0.95 - 1,J177*0.95 - 1)))</f>
        <v/>
      </c>
      <c r="M177" s="127">
        <f>SUMIF(L177:L186,"&gt;0")</f>
        <v>0</v>
      </c>
      <c r="N177" s="57"/>
      <c r="O177" s="63" t="s">
        <v>91</v>
      </c>
      <c r="P177" s="57"/>
      <c r="Q177" s="64">
        <f t="shared" ref="Q177:Q185" si="15">IF(OR(O177="",L177="NO BET"),0,IF(AND(K177=O177),IF(AND(K177="T2"),ROUNDUP(H177*0.95,2)-1,ROUNDUP(G177*0.95,2)-1),-1))</f>
        <v>-1</v>
      </c>
      <c r="R177" s="54"/>
      <c r="S177" s="65" t="str">
        <f>IF(AND(O177=""),"",IF(AND(C177&gt;F177),IF(AND(O177="T1"),"a","r"),IF(AND(O177="T2"),"a","r")))</f>
        <v>r</v>
      </c>
      <c r="T177" s="54"/>
      <c r="U177" s="130">
        <f>SUM(Q177:Q186)</f>
        <v>-10</v>
      </c>
      <c r="V177" s="20"/>
    </row>
    <row r="178" spans="1:22" ht="15.75" customHeight="1" x14ac:dyDescent="0.25">
      <c r="A178" s="155"/>
      <c r="B178" s="125"/>
      <c r="C178" s="244"/>
      <c r="D178" s="108" t="s">
        <v>57</v>
      </c>
      <c r="E178" s="108" t="s">
        <v>89</v>
      </c>
      <c r="F178" s="66" t="str">
        <f t="shared" ref="F178:F186" si="16">IF(AND(C178=""),"",1-C178)</f>
        <v/>
      </c>
      <c r="G178" s="66">
        <v>5</v>
      </c>
      <c r="H178" s="66">
        <v>1.1399999999999999</v>
      </c>
      <c r="I178" s="66" t="str">
        <f t="shared" ref="I178:I186" si="17">IF(AND(C178=""),"",G178*C178)</f>
        <v/>
      </c>
      <c r="J178" s="66" t="str">
        <f t="shared" ref="J178:J186" si="18">IF(AND(C178=""),"",H178*F178)</f>
        <v/>
      </c>
      <c r="K178" s="66" t="str">
        <f t="shared" si="14"/>
        <v/>
      </c>
      <c r="L178" s="67" t="str">
        <f t="shared" ref="L178:L186" si="19">IF(AND(K178=""),"",IF(AND((J178*0.95-1)&lt;0,(I178*0.95-1)&lt;0),"NO BET", IF(AND(K178="T1"),I178*0.95 - 1,J178*0.95 - 1)))</f>
        <v/>
      </c>
      <c r="M178" s="128"/>
      <c r="N178" s="20"/>
      <c r="O178" s="68" t="s">
        <v>90</v>
      </c>
      <c r="P178" s="54"/>
      <c r="Q178" s="69">
        <f t="shared" si="15"/>
        <v>-1</v>
      </c>
      <c r="R178" s="54"/>
      <c r="S178" s="70" t="str">
        <f t="shared" ref="S178:S186" si="20">IF(AND(O178=""),"",IF(AND(C178&gt;F178),IF(AND(O178="T1"),"a","r"),IF(AND(O178="T2"),"a","r")))</f>
        <v>a</v>
      </c>
      <c r="T178" s="54"/>
      <c r="U178" s="130"/>
      <c r="V178" s="20"/>
    </row>
    <row r="179" spans="1:22" ht="15.75" customHeight="1" x14ac:dyDescent="0.25">
      <c r="A179" s="155"/>
      <c r="B179" s="125"/>
      <c r="C179" s="245"/>
      <c r="D179" s="102" t="s">
        <v>89</v>
      </c>
      <c r="E179" s="102" t="s">
        <v>58</v>
      </c>
      <c r="F179" s="13" t="str">
        <f t="shared" si="16"/>
        <v/>
      </c>
      <c r="G179" s="13">
        <v>1.2</v>
      </c>
      <c r="H179" s="13">
        <v>4.33</v>
      </c>
      <c r="I179" s="13" t="str">
        <f t="shared" si="17"/>
        <v/>
      </c>
      <c r="J179" s="13" t="str">
        <f t="shared" si="18"/>
        <v/>
      </c>
      <c r="K179" s="13" t="str">
        <f t="shared" si="14"/>
        <v/>
      </c>
      <c r="L179" s="71" t="str">
        <f t="shared" si="19"/>
        <v/>
      </c>
      <c r="M179" s="128"/>
      <c r="N179" s="57"/>
      <c r="O179" s="68" t="s">
        <v>91</v>
      </c>
      <c r="P179" s="54"/>
      <c r="Q179" s="69">
        <f t="shared" si="15"/>
        <v>-1</v>
      </c>
      <c r="R179" s="54"/>
      <c r="S179" s="70" t="str">
        <f t="shared" si="20"/>
        <v>r</v>
      </c>
      <c r="T179" s="54"/>
      <c r="U179" s="130"/>
      <c r="V179" s="20"/>
    </row>
    <row r="180" spans="1:22" ht="15.75" customHeight="1" x14ac:dyDescent="0.25">
      <c r="A180" s="155"/>
      <c r="B180" s="125"/>
      <c r="C180" s="244"/>
      <c r="D180" s="108" t="s">
        <v>59</v>
      </c>
      <c r="E180" s="108" t="s">
        <v>62</v>
      </c>
      <c r="F180" s="66" t="str">
        <f t="shared" si="16"/>
        <v/>
      </c>
      <c r="G180" s="66">
        <v>1.44</v>
      </c>
      <c r="H180" s="66">
        <v>2.62</v>
      </c>
      <c r="I180" s="66" t="str">
        <f t="shared" si="17"/>
        <v/>
      </c>
      <c r="J180" s="66" t="str">
        <f t="shared" si="18"/>
        <v/>
      </c>
      <c r="K180" s="66" t="str">
        <f t="shared" si="14"/>
        <v/>
      </c>
      <c r="L180" s="67" t="str">
        <f t="shared" si="19"/>
        <v/>
      </c>
      <c r="M180" s="128"/>
      <c r="N180" s="72"/>
      <c r="O180" s="68" t="s">
        <v>91</v>
      </c>
      <c r="P180" s="54"/>
      <c r="Q180" s="69">
        <f t="shared" si="15"/>
        <v>-1</v>
      </c>
      <c r="R180" s="54"/>
      <c r="S180" s="70" t="str">
        <f t="shared" si="20"/>
        <v>r</v>
      </c>
      <c r="T180" s="54"/>
      <c r="U180" s="130"/>
      <c r="V180" s="20"/>
    </row>
    <row r="181" spans="1:22" ht="15.75" customHeight="1" x14ac:dyDescent="0.25">
      <c r="A181" s="155"/>
      <c r="B181" s="125"/>
      <c r="C181" s="245"/>
      <c r="D181" s="102" t="s">
        <v>61</v>
      </c>
      <c r="E181" s="102" t="s">
        <v>60</v>
      </c>
      <c r="F181" s="13" t="str">
        <f t="shared" si="16"/>
        <v/>
      </c>
      <c r="G181" s="13">
        <v>1.33</v>
      </c>
      <c r="H181" s="13">
        <v>3.25</v>
      </c>
      <c r="I181" s="13" t="str">
        <f t="shared" si="17"/>
        <v/>
      </c>
      <c r="J181" s="13" t="str">
        <f t="shared" si="18"/>
        <v/>
      </c>
      <c r="K181" s="13" t="str">
        <f t="shared" si="14"/>
        <v/>
      </c>
      <c r="L181" s="73" t="str">
        <f t="shared" si="19"/>
        <v/>
      </c>
      <c r="M181" s="128"/>
      <c r="N181" s="72"/>
      <c r="O181" s="68" t="s">
        <v>91</v>
      </c>
      <c r="P181" s="54"/>
      <c r="Q181" s="69">
        <f t="shared" si="15"/>
        <v>-1</v>
      </c>
      <c r="R181" s="54"/>
      <c r="S181" s="70" t="str">
        <f t="shared" si="20"/>
        <v>r</v>
      </c>
      <c r="T181" s="54"/>
      <c r="U181" s="130"/>
      <c r="V181" s="20"/>
    </row>
    <row r="182" spans="1:22" ht="15.75" customHeight="1" x14ac:dyDescent="0.25">
      <c r="A182" s="155"/>
      <c r="B182" s="125"/>
      <c r="C182" s="244"/>
      <c r="D182" s="108" t="s">
        <v>57</v>
      </c>
      <c r="E182" s="108" t="s">
        <v>55</v>
      </c>
      <c r="F182" s="66" t="str">
        <f t="shared" si="16"/>
        <v/>
      </c>
      <c r="G182" s="66">
        <v>4</v>
      </c>
      <c r="H182" s="66">
        <v>1.22</v>
      </c>
      <c r="I182" s="66" t="str">
        <f t="shared" si="17"/>
        <v/>
      </c>
      <c r="J182" s="66" t="str">
        <f t="shared" si="18"/>
        <v/>
      </c>
      <c r="K182" s="66" t="str">
        <f t="shared" si="14"/>
        <v/>
      </c>
      <c r="L182" s="67" t="str">
        <f t="shared" si="19"/>
        <v/>
      </c>
      <c r="M182" s="128"/>
      <c r="N182" s="72"/>
      <c r="O182" s="68" t="s">
        <v>91</v>
      </c>
      <c r="P182" s="54"/>
      <c r="Q182" s="69">
        <f t="shared" si="15"/>
        <v>-1</v>
      </c>
      <c r="R182" s="54"/>
      <c r="S182" s="70" t="str">
        <f t="shared" si="20"/>
        <v>r</v>
      </c>
      <c r="T182" s="54"/>
      <c r="U182" s="130"/>
      <c r="V182" s="20"/>
    </row>
    <row r="183" spans="1:22" ht="18.75" thickBot="1" x14ac:dyDescent="0.3">
      <c r="A183" s="155"/>
      <c r="B183" s="125"/>
      <c r="C183" s="245"/>
      <c r="D183" s="102" t="s">
        <v>89</v>
      </c>
      <c r="E183" s="102" t="s">
        <v>72</v>
      </c>
      <c r="F183" s="13" t="str">
        <f t="shared" si="16"/>
        <v/>
      </c>
      <c r="G183" s="13">
        <v>1.1399999999999999</v>
      </c>
      <c r="H183" s="13">
        <v>5</v>
      </c>
      <c r="I183" s="13" t="str">
        <f t="shared" si="17"/>
        <v/>
      </c>
      <c r="J183" s="13" t="str">
        <f t="shared" si="18"/>
        <v/>
      </c>
      <c r="K183" s="13" t="str">
        <f t="shared" si="14"/>
        <v/>
      </c>
      <c r="L183" s="71" t="str">
        <f t="shared" si="19"/>
        <v/>
      </c>
      <c r="M183" s="128"/>
      <c r="N183" s="20"/>
      <c r="O183" s="68" t="s">
        <v>91</v>
      </c>
      <c r="P183" s="54"/>
      <c r="Q183" s="69">
        <f t="shared" si="15"/>
        <v>-1</v>
      </c>
      <c r="R183" s="54"/>
      <c r="S183" s="70" t="str">
        <f t="shared" si="20"/>
        <v>r</v>
      </c>
      <c r="T183" s="54"/>
      <c r="U183" s="74" t="s">
        <v>32</v>
      </c>
      <c r="V183" s="20"/>
    </row>
    <row r="184" spans="1:22" ht="18" x14ac:dyDescent="0.25">
      <c r="A184" s="155"/>
      <c r="B184" s="125"/>
      <c r="C184" s="244"/>
      <c r="D184" s="108" t="s">
        <v>69</v>
      </c>
      <c r="E184" s="108" t="s">
        <v>62</v>
      </c>
      <c r="F184" s="66" t="str">
        <f t="shared" si="16"/>
        <v/>
      </c>
      <c r="G184" s="66">
        <v>1.2</v>
      </c>
      <c r="H184" s="66">
        <v>4.33</v>
      </c>
      <c r="I184" s="66" t="str">
        <f t="shared" si="17"/>
        <v/>
      </c>
      <c r="J184" s="66" t="str">
        <f t="shared" si="18"/>
        <v/>
      </c>
      <c r="K184" s="66" t="str">
        <f t="shared" si="14"/>
        <v/>
      </c>
      <c r="L184" s="82" t="str">
        <f t="shared" si="19"/>
        <v/>
      </c>
      <c r="M184" s="128"/>
      <c r="N184" s="20"/>
      <c r="O184" s="68" t="s">
        <v>91</v>
      </c>
      <c r="P184" s="54"/>
      <c r="Q184" s="69">
        <f t="shared" si="15"/>
        <v>-1</v>
      </c>
      <c r="R184" s="54"/>
      <c r="S184" s="70" t="str">
        <f t="shared" si="20"/>
        <v>r</v>
      </c>
      <c r="T184" s="54"/>
      <c r="U184" s="133">
        <f>IF(AND(NOT(M177=0)),U177/M177,0)</f>
        <v>0</v>
      </c>
      <c r="V184" s="20"/>
    </row>
    <row r="185" spans="1:22" ht="18" x14ac:dyDescent="0.25">
      <c r="A185" s="155"/>
      <c r="B185" s="125"/>
      <c r="C185" s="245"/>
      <c r="D185" s="102" t="s">
        <v>58</v>
      </c>
      <c r="E185" s="102" t="s">
        <v>61</v>
      </c>
      <c r="F185" s="13" t="str">
        <f t="shared" si="16"/>
        <v/>
      </c>
      <c r="G185" s="13">
        <v>4</v>
      </c>
      <c r="H185" s="13">
        <v>1.22</v>
      </c>
      <c r="I185" s="13" t="str">
        <f t="shared" si="17"/>
        <v/>
      </c>
      <c r="J185" s="13" t="str">
        <f t="shared" si="18"/>
        <v/>
      </c>
      <c r="K185" s="13" t="str">
        <f t="shared" si="14"/>
        <v/>
      </c>
      <c r="L185" s="73" t="str">
        <f t="shared" si="19"/>
        <v/>
      </c>
      <c r="M185" s="128"/>
      <c r="N185" s="20"/>
      <c r="O185" s="68" t="s">
        <v>90</v>
      </c>
      <c r="P185" s="54"/>
      <c r="Q185" s="69">
        <f t="shared" si="15"/>
        <v>-1</v>
      </c>
      <c r="R185" s="54"/>
      <c r="S185" s="70" t="str">
        <f t="shared" si="20"/>
        <v>a</v>
      </c>
      <c r="T185" s="54"/>
      <c r="U185" s="134"/>
      <c r="V185" s="20"/>
    </row>
    <row r="186" spans="1:22" ht="18.75" thickBot="1" x14ac:dyDescent="0.3">
      <c r="A186" s="156"/>
      <c r="B186" s="126"/>
      <c r="C186" s="246"/>
      <c r="D186" s="121" t="s">
        <v>55</v>
      </c>
      <c r="E186" s="121" t="s">
        <v>59</v>
      </c>
      <c r="F186" s="75" t="str">
        <f t="shared" si="16"/>
        <v/>
      </c>
      <c r="G186" s="75">
        <v>1.83</v>
      </c>
      <c r="H186" s="75">
        <v>1.83</v>
      </c>
      <c r="I186" s="75" t="str">
        <f t="shared" si="17"/>
        <v/>
      </c>
      <c r="J186" s="75" t="str">
        <f t="shared" si="18"/>
        <v/>
      </c>
      <c r="K186" s="75" t="str">
        <f t="shared" si="14"/>
        <v/>
      </c>
      <c r="L186" s="85" t="str">
        <f t="shared" si="19"/>
        <v/>
      </c>
      <c r="M186" s="129"/>
      <c r="N186" s="20"/>
      <c r="O186" s="76" t="s">
        <v>90</v>
      </c>
      <c r="P186" s="20"/>
      <c r="Q186" s="77">
        <f>IF(OR(O186="",L186="NO BET"),0,IF(AND(K186=O186),IF(AND(K186="T2"),ROUNDUP(H186*0.95,2)-1,ROUNDUP(G186*0.95,2)-1),-1))</f>
        <v>-1</v>
      </c>
      <c r="R186" s="20"/>
      <c r="S186" s="78" t="str">
        <f t="shared" si="20"/>
        <v>a</v>
      </c>
      <c r="T186" s="20"/>
      <c r="U186" s="135"/>
      <c r="V186" s="20"/>
    </row>
    <row r="187" spans="1:22" x14ac:dyDescent="0.25">
      <c r="A187" s="20"/>
      <c r="B187" s="20"/>
      <c r="C187" s="22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2"/>
      <c r="R187" s="20"/>
      <c r="S187" s="20"/>
      <c r="T187" s="20"/>
      <c r="U187" s="23"/>
      <c r="V187" s="20"/>
    </row>
    <row r="188" spans="1:22" x14ac:dyDescent="0.25">
      <c r="A188" s="20"/>
      <c r="B188" s="20"/>
      <c r="C188" s="22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2"/>
      <c r="R188" s="20"/>
      <c r="S188" s="20"/>
      <c r="T188" s="20"/>
      <c r="U188" s="23"/>
      <c r="V188" s="20"/>
    </row>
    <row r="189" spans="1:22" ht="16.5" thickBot="1" x14ac:dyDescent="0.3">
      <c r="A189" s="20"/>
      <c r="B189" s="20"/>
      <c r="C189" s="22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2"/>
      <c r="R189" s="20"/>
      <c r="S189" s="20"/>
      <c r="T189" s="20"/>
      <c r="U189" s="23"/>
      <c r="V189" s="20"/>
    </row>
    <row r="190" spans="1:22" ht="19.5" customHeight="1" thickBot="1" x14ac:dyDescent="0.3">
      <c r="A190" s="154" t="s">
        <v>5</v>
      </c>
      <c r="B190" s="124" t="s">
        <v>23</v>
      </c>
      <c r="C190" s="232" t="s">
        <v>9</v>
      </c>
      <c r="D190" s="55" t="s">
        <v>10</v>
      </c>
      <c r="E190" s="55" t="s">
        <v>11</v>
      </c>
      <c r="F190" s="55" t="s">
        <v>12</v>
      </c>
      <c r="G190" s="55" t="s">
        <v>13</v>
      </c>
      <c r="H190" s="55" t="s">
        <v>14</v>
      </c>
      <c r="I190" s="55" t="s">
        <v>15</v>
      </c>
      <c r="J190" s="55" t="s">
        <v>16</v>
      </c>
      <c r="K190" s="55" t="s">
        <v>35</v>
      </c>
      <c r="L190" s="55" t="s">
        <v>17</v>
      </c>
      <c r="M190" s="56" t="s">
        <v>18</v>
      </c>
      <c r="N190" s="57"/>
      <c r="O190" s="58" t="s">
        <v>19</v>
      </c>
      <c r="P190" s="54"/>
      <c r="Q190" s="59" t="s">
        <v>36</v>
      </c>
      <c r="R190" s="54"/>
      <c r="S190" s="58" t="s">
        <v>37</v>
      </c>
      <c r="T190" s="54"/>
      <c r="U190" s="60" t="s">
        <v>30</v>
      </c>
      <c r="V190" s="20"/>
    </row>
    <row r="191" spans="1:22" ht="15.75" customHeight="1" x14ac:dyDescent="0.25">
      <c r="A191" s="155"/>
      <c r="B191" s="125"/>
      <c r="C191" s="243"/>
      <c r="D191" s="122" t="s">
        <v>58</v>
      </c>
      <c r="E191" s="122" t="s">
        <v>69</v>
      </c>
      <c r="F191" s="87" t="str">
        <f>IF(AND(C191=""),"",1-C191)</f>
        <v/>
      </c>
      <c r="G191" s="87">
        <v>4.5</v>
      </c>
      <c r="H191" s="87">
        <v>1.1599999999999999</v>
      </c>
      <c r="I191" s="87" t="str">
        <f>IF(AND(C191=""),"",G191*C191)</f>
        <v/>
      </c>
      <c r="J191" s="87" t="str">
        <f>IF(AND(C191=""),"",H191*F191)</f>
        <v/>
      </c>
      <c r="K191" s="87" t="str">
        <f t="shared" ref="K191:K200" si="21">IF(AND(I191=""),"",IF(AND(I191&gt;J191),"T1","T2"))</f>
        <v/>
      </c>
      <c r="L191" s="88" t="str">
        <f>IF(AND(K191=""),"",IF(AND((J191*0.95-1)&lt;0,(I191*0.95-1)&lt;0),"NO BET", IF(AND(K191="T1"),I191*0.95 - 1,J191*0.95 - 1)))</f>
        <v/>
      </c>
      <c r="M191" s="127">
        <f>SUMIF(L191:L200,"&gt;0")</f>
        <v>0</v>
      </c>
      <c r="N191" s="57"/>
      <c r="O191" s="63" t="s">
        <v>91</v>
      </c>
      <c r="P191" s="57"/>
      <c r="Q191" s="64">
        <f t="shared" ref="Q191:Q199" si="22">IF(OR(O191="",L191="NO BET"),0,IF(AND(K191=O191),IF(AND(K191="T2"),ROUNDUP(H191*0.95,2)-1,ROUNDUP(G191*0.95,2)-1),-1))</f>
        <v>-1</v>
      </c>
      <c r="R191" s="54"/>
      <c r="S191" s="65" t="str">
        <f>IF(AND(O191=""),"",IF(AND(C191&gt;F191),IF(AND(O191="T1"),"a","r"),IF(AND(O191="T2"),"a","r")))</f>
        <v>r</v>
      </c>
      <c r="T191" s="54"/>
      <c r="U191" s="130">
        <f>SUM(Q191:Q200)</f>
        <v>-10</v>
      </c>
      <c r="V191" s="20"/>
    </row>
    <row r="192" spans="1:22" ht="15.75" customHeight="1" x14ac:dyDescent="0.25">
      <c r="A192" s="155"/>
      <c r="B192" s="125"/>
      <c r="C192" s="244"/>
      <c r="D192" s="119" t="s">
        <v>72</v>
      </c>
      <c r="E192" s="119" t="s">
        <v>59</v>
      </c>
      <c r="F192" s="80" t="str">
        <f t="shared" ref="F192:F200" si="23">IF(AND(C192=""),"",1-C192)</f>
        <v/>
      </c>
      <c r="G192" s="80">
        <v>3.25</v>
      </c>
      <c r="H192" s="80">
        <v>1.33</v>
      </c>
      <c r="I192" s="80" t="str">
        <f t="shared" ref="I192:I200" si="24">IF(AND(C192=""),"",G192*C192)</f>
        <v/>
      </c>
      <c r="J192" s="80" t="str">
        <f t="shared" ref="J192:J200" si="25">IF(AND(C192=""),"",H192*F192)</f>
        <v/>
      </c>
      <c r="K192" s="80" t="str">
        <f t="shared" si="21"/>
        <v/>
      </c>
      <c r="L192" s="90" t="str">
        <f t="shared" ref="L192:L200" si="26">IF(AND(K192=""),"",IF(AND((J192*0.95-1)&lt;0,(I192*0.95-1)&lt;0),"NO BET", IF(AND(K192="T1"),I192*0.95 - 1,J192*0.95 - 1)))</f>
        <v/>
      </c>
      <c r="M192" s="128"/>
      <c r="N192" s="20"/>
      <c r="O192" s="68" t="s">
        <v>90</v>
      </c>
      <c r="P192" s="54"/>
      <c r="Q192" s="69">
        <f t="shared" si="22"/>
        <v>-1</v>
      </c>
      <c r="R192" s="54"/>
      <c r="S192" s="70" t="str">
        <f t="shared" ref="S192:S200" si="27">IF(AND(O192=""),"",IF(AND(C192&gt;F192),IF(AND(O192="T1"),"a","r"),IF(AND(O192="T2"),"a","r")))</f>
        <v>a</v>
      </c>
      <c r="T192" s="54"/>
      <c r="U192" s="130"/>
      <c r="V192" s="20"/>
    </row>
    <row r="193" spans="1:22" ht="15.75" customHeight="1" x14ac:dyDescent="0.25">
      <c r="A193" s="155"/>
      <c r="B193" s="125"/>
      <c r="C193" s="245"/>
      <c r="D193" s="118" t="s">
        <v>62</v>
      </c>
      <c r="E193" s="118" t="s">
        <v>55</v>
      </c>
      <c r="F193" s="83" t="str">
        <f t="shared" si="23"/>
        <v/>
      </c>
      <c r="G193" s="83">
        <v>2.2000000000000002</v>
      </c>
      <c r="H193" s="83">
        <v>1.61</v>
      </c>
      <c r="I193" s="83" t="str">
        <f t="shared" si="24"/>
        <v/>
      </c>
      <c r="J193" s="83" t="str">
        <f t="shared" si="25"/>
        <v/>
      </c>
      <c r="K193" s="83" t="str">
        <f t="shared" si="21"/>
        <v/>
      </c>
      <c r="L193" s="92" t="str">
        <f t="shared" si="26"/>
        <v/>
      </c>
      <c r="M193" s="128"/>
      <c r="N193" s="57"/>
      <c r="O193" s="68" t="s">
        <v>90</v>
      </c>
      <c r="P193" s="54"/>
      <c r="Q193" s="69">
        <f t="shared" si="22"/>
        <v>-1</v>
      </c>
      <c r="R193" s="54"/>
      <c r="S193" s="70" t="str">
        <f t="shared" si="27"/>
        <v>a</v>
      </c>
      <c r="T193" s="54"/>
      <c r="U193" s="130"/>
      <c r="V193" s="20"/>
    </row>
    <row r="194" spans="1:22" ht="15.75" customHeight="1" x14ac:dyDescent="0.25">
      <c r="A194" s="155"/>
      <c r="B194" s="125"/>
      <c r="C194" s="244"/>
      <c r="D194" s="119" t="s">
        <v>61</v>
      </c>
      <c r="E194" s="119" t="s">
        <v>89</v>
      </c>
      <c r="F194" s="80" t="str">
        <f t="shared" si="23"/>
        <v/>
      </c>
      <c r="G194" s="80">
        <v>2.25</v>
      </c>
      <c r="H194" s="80">
        <v>1.57</v>
      </c>
      <c r="I194" s="80" t="str">
        <f t="shared" si="24"/>
        <v/>
      </c>
      <c r="J194" s="80" t="str">
        <f t="shared" si="25"/>
        <v/>
      </c>
      <c r="K194" s="80" t="str">
        <f t="shared" si="21"/>
        <v/>
      </c>
      <c r="L194" s="90" t="str">
        <f t="shared" si="26"/>
        <v/>
      </c>
      <c r="M194" s="128"/>
      <c r="N194" s="72"/>
      <c r="O194" s="68" t="s">
        <v>90</v>
      </c>
      <c r="P194" s="54"/>
      <c r="Q194" s="69">
        <f t="shared" si="22"/>
        <v>-1</v>
      </c>
      <c r="R194" s="54"/>
      <c r="S194" s="70" t="str">
        <f t="shared" si="27"/>
        <v>a</v>
      </c>
      <c r="T194" s="54"/>
      <c r="U194" s="130"/>
      <c r="V194" s="20"/>
    </row>
    <row r="195" spans="1:22" ht="15.75" customHeight="1" x14ac:dyDescent="0.25">
      <c r="A195" s="155"/>
      <c r="B195" s="125"/>
      <c r="C195" s="245"/>
      <c r="D195" s="118" t="s">
        <v>59</v>
      </c>
      <c r="E195" s="118" t="s">
        <v>57</v>
      </c>
      <c r="F195" s="83" t="str">
        <f t="shared" si="23"/>
        <v/>
      </c>
      <c r="G195" s="83">
        <v>1.22</v>
      </c>
      <c r="H195" s="83">
        <v>4</v>
      </c>
      <c r="I195" s="83" t="str">
        <f t="shared" si="24"/>
        <v/>
      </c>
      <c r="J195" s="83" t="str">
        <f t="shared" si="25"/>
        <v/>
      </c>
      <c r="K195" s="83" t="str">
        <f t="shared" si="21"/>
        <v/>
      </c>
      <c r="L195" s="93" t="str">
        <f t="shared" si="26"/>
        <v/>
      </c>
      <c r="M195" s="128"/>
      <c r="N195" s="72"/>
      <c r="O195" s="68" t="s">
        <v>91</v>
      </c>
      <c r="P195" s="54"/>
      <c r="Q195" s="69">
        <f t="shared" si="22"/>
        <v>-1</v>
      </c>
      <c r="R195" s="54"/>
      <c r="S195" s="70" t="str">
        <f t="shared" si="27"/>
        <v>r</v>
      </c>
      <c r="T195" s="54"/>
      <c r="U195" s="130"/>
      <c r="V195" s="20"/>
    </row>
    <row r="196" spans="1:22" ht="15.75" customHeight="1" x14ac:dyDescent="0.25">
      <c r="A196" s="155"/>
      <c r="B196" s="125"/>
      <c r="C196" s="244"/>
      <c r="D196" s="119" t="s">
        <v>60</v>
      </c>
      <c r="E196" s="119" t="s">
        <v>58</v>
      </c>
      <c r="F196" s="80" t="str">
        <f t="shared" si="23"/>
        <v/>
      </c>
      <c r="G196" s="80">
        <v>1.53</v>
      </c>
      <c r="H196" s="80">
        <v>2.37</v>
      </c>
      <c r="I196" s="80" t="str">
        <f t="shared" si="24"/>
        <v/>
      </c>
      <c r="J196" s="80" t="str">
        <f t="shared" si="25"/>
        <v/>
      </c>
      <c r="K196" s="80" t="str">
        <f t="shared" si="21"/>
        <v/>
      </c>
      <c r="L196" s="90" t="str">
        <f t="shared" si="26"/>
        <v/>
      </c>
      <c r="M196" s="128"/>
      <c r="N196" s="72"/>
      <c r="O196" s="68" t="s">
        <v>90</v>
      </c>
      <c r="P196" s="54"/>
      <c r="Q196" s="69">
        <f t="shared" si="22"/>
        <v>-1</v>
      </c>
      <c r="R196" s="54"/>
      <c r="S196" s="70" t="str">
        <f t="shared" si="27"/>
        <v>a</v>
      </c>
      <c r="T196" s="54"/>
      <c r="U196" s="130"/>
      <c r="V196" s="20"/>
    </row>
    <row r="197" spans="1:22" ht="18.75" thickBot="1" x14ac:dyDescent="0.3">
      <c r="A197" s="155"/>
      <c r="B197" s="125"/>
      <c r="C197" s="245"/>
      <c r="D197" s="118" t="s">
        <v>60</v>
      </c>
      <c r="E197" s="118" t="s">
        <v>89</v>
      </c>
      <c r="F197" s="83" t="str">
        <f t="shared" si="23"/>
        <v/>
      </c>
      <c r="G197" s="83">
        <v>3.75</v>
      </c>
      <c r="H197" s="83">
        <v>1.25</v>
      </c>
      <c r="I197" s="83" t="str">
        <f t="shared" si="24"/>
        <v/>
      </c>
      <c r="J197" s="83" t="str">
        <f t="shared" si="25"/>
        <v/>
      </c>
      <c r="K197" s="83" t="str">
        <f t="shared" si="21"/>
        <v/>
      </c>
      <c r="L197" s="92" t="str">
        <f t="shared" si="26"/>
        <v/>
      </c>
      <c r="M197" s="128"/>
      <c r="N197" s="20"/>
      <c r="O197" s="68" t="s">
        <v>90</v>
      </c>
      <c r="P197" s="54"/>
      <c r="Q197" s="69">
        <f t="shared" si="22"/>
        <v>-1</v>
      </c>
      <c r="R197" s="54"/>
      <c r="S197" s="70" t="str">
        <f t="shared" si="27"/>
        <v>a</v>
      </c>
      <c r="T197" s="54"/>
      <c r="U197" s="74" t="s">
        <v>32</v>
      </c>
      <c r="V197" s="20"/>
    </row>
    <row r="198" spans="1:22" ht="18" x14ac:dyDescent="0.25">
      <c r="A198" s="155"/>
      <c r="B198" s="125"/>
      <c r="C198" s="244"/>
      <c r="D198" s="119" t="s">
        <v>62</v>
      </c>
      <c r="E198" s="119" t="s">
        <v>57</v>
      </c>
      <c r="F198" s="80" t="str">
        <f t="shared" si="23"/>
        <v/>
      </c>
      <c r="G198" s="80">
        <v>1.44</v>
      </c>
      <c r="H198" s="80">
        <v>2.62</v>
      </c>
      <c r="I198" s="80" t="str">
        <f t="shared" si="24"/>
        <v/>
      </c>
      <c r="J198" s="80" t="str">
        <f t="shared" si="25"/>
        <v/>
      </c>
      <c r="K198" s="80" t="str">
        <f t="shared" si="21"/>
        <v/>
      </c>
      <c r="L198" s="94" t="str">
        <f t="shared" si="26"/>
        <v/>
      </c>
      <c r="M198" s="128"/>
      <c r="N198" s="20"/>
      <c r="O198" s="68" t="s">
        <v>90</v>
      </c>
      <c r="P198" s="54"/>
      <c r="Q198" s="69">
        <f t="shared" si="22"/>
        <v>-1</v>
      </c>
      <c r="R198" s="54"/>
      <c r="S198" s="70" t="str">
        <f t="shared" si="27"/>
        <v>a</v>
      </c>
      <c r="T198" s="54"/>
      <c r="U198" s="133">
        <f>IF(AND(NOT(M191=0)),U191/M191,0)</f>
        <v>0</v>
      </c>
      <c r="V198" s="20"/>
    </row>
    <row r="199" spans="1:22" ht="18" x14ac:dyDescent="0.25">
      <c r="A199" s="155"/>
      <c r="B199" s="125"/>
      <c r="C199" s="245"/>
      <c r="D199" s="118" t="s">
        <v>86</v>
      </c>
      <c r="E199" s="118" t="s">
        <v>69</v>
      </c>
      <c r="F199" s="83" t="str">
        <f t="shared" si="23"/>
        <v/>
      </c>
      <c r="G199" s="83">
        <v>3.75</v>
      </c>
      <c r="H199" s="83">
        <v>1.25</v>
      </c>
      <c r="I199" s="83" t="str">
        <f t="shared" si="24"/>
        <v/>
      </c>
      <c r="J199" s="83" t="str">
        <f t="shared" si="25"/>
        <v/>
      </c>
      <c r="K199" s="83" t="str">
        <f t="shared" si="21"/>
        <v/>
      </c>
      <c r="L199" s="93" t="str">
        <f t="shared" si="26"/>
        <v/>
      </c>
      <c r="M199" s="128"/>
      <c r="N199" s="20"/>
      <c r="O199" s="68" t="s">
        <v>91</v>
      </c>
      <c r="P199" s="54"/>
      <c r="Q199" s="69">
        <f t="shared" si="22"/>
        <v>-1</v>
      </c>
      <c r="R199" s="54"/>
      <c r="S199" s="70" t="str">
        <f t="shared" si="27"/>
        <v>r</v>
      </c>
      <c r="T199" s="54"/>
      <c r="U199" s="134"/>
      <c r="V199" s="20"/>
    </row>
    <row r="200" spans="1:22" ht="18.75" thickBot="1" x14ac:dyDescent="0.3">
      <c r="A200" s="156"/>
      <c r="B200" s="126"/>
      <c r="C200" s="246"/>
      <c r="D200" s="123" t="s">
        <v>72</v>
      </c>
      <c r="E200" s="123" t="s">
        <v>61</v>
      </c>
      <c r="F200" s="84" t="str">
        <f t="shared" si="23"/>
        <v/>
      </c>
      <c r="G200" s="84">
        <v>5.5</v>
      </c>
      <c r="H200" s="84">
        <v>1.1200000000000001</v>
      </c>
      <c r="I200" s="84" t="str">
        <f t="shared" si="24"/>
        <v/>
      </c>
      <c r="J200" s="84" t="str">
        <f t="shared" si="25"/>
        <v/>
      </c>
      <c r="K200" s="84" t="str">
        <f t="shared" si="21"/>
        <v/>
      </c>
      <c r="L200" s="96" t="str">
        <f t="shared" si="26"/>
        <v/>
      </c>
      <c r="M200" s="129"/>
      <c r="N200" s="20"/>
      <c r="O200" s="76" t="s">
        <v>90</v>
      </c>
      <c r="P200" s="20"/>
      <c r="Q200" s="77">
        <f>IF(OR(O200="",L200="NO BET"),0,IF(AND(K200=O200),IF(AND(K200="T2"),ROUNDUP(H200*0.95,2)-1,ROUNDUP(G200*0.95,2)-1),-1))</f>
        <v>-1</v>
      </c>
      <c r="R200" s="20"/>
      <c r="S200" s="78" t="str">
        <f t="shared" si="27"/>
        <v>a</v>
      </c>
      <c r="T200" s="20"/>
      <c r="U200" s="135"/>
      <c r="V200" s="20"/>
    </row>
    <row r="201" spans="1:22" x14ac:dyDescent="0.25">
      <c r="A201" s="20"/>
      <c r="B201" s="20"/>
      <c r="C201" s="22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2"/>
      <c r="R201" s="20"/>
      <c r="S201" s="20"/>
      <c r="T201" s="20"/>
      <c r="U201" s="23"/>
      <c r="V201" s="20"/>
    </row>
    <row r="202" spans="1:22" x14ac:dyDescent="0.25">
      <c r="A202" s="20"/>
      <c r="B202" s="20"/>
      <c r="C202" s="22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2"/>
      <c r="R202" s="20"/>
      <c r="S202" s="20"/>
      <c r="T202" s="20"/>
      <c r="U202" s="23"/>
      <c r="V202" s="20"/>
    </row>
    <row r="203" spans="1:22" ht="16.5" thickBot="1" x14ac:dyDescent="0.3">
      <c r="A203" s="20"/>
      <c r="B203" s="20"/>
      <c r="C203" s="22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2"/>
      <c r="R203" s="20"/>
      <c r="S203" s="20"/>
      <c r="T203" s="20"/>
      <c r="U203" s="23"/>
      <c r="V203" s="20"/>
    </row>
    <row r="204" spans="1:22" ht="19.5" customHeight="1" thickBot="1" x14ac:dyDescent="0.3">
      <c r="A204" s="154" t="s">
        <v>5</v>
      </c>
      <c r="B204" s="124" t="s">
        <v>24</v>
      </c>
      <c r="C204" s="232" t="s">
        <v>9</v>
      </c>
      <c r="D204" s="55" t="s">
        <v>10</v>
      </c>
      <c r="E204" s="55" t="s">
        <v>11</v>
      </c>
      <c r="F204" s="55" t="s">
        <v>12</v>
      </c>
      <c r="G204" s="55" t="s">
        <v>13</v>
      </c>
      <c r="H204" s="55" t="s">
        <v>14</v>
      </c>
      <c r="I204" s="55" t="s">
        <v>15</v>
      </c>
      <c r="J204" s="55" t="s">
        <v>16</v>
      </c>
      <c r="K204" s="55" t="s">
        <v>35</v>
      </c>
      <c r="L204" s="55" t="s">
        <v>17</v>
      </c>
      <c r="M204" s="56" t="s">
        <v>18</v>
      </c>
      <c r="N204" s="57"/>
      <c r="O204" s="58" t="s">
        <v>19</v>
      </c>
      <c r="P204" s="54"/>
      <c r="Q204" s="59" t="s">
        <v>36</v>
      </c>
      <c r="R204" s="54"/>
      <c r="S204" s="58" t="s">
        <v>37</v>
      </c>
      <c r="T204" s="54"/>
      <c r="U204" s="60" t="s">
        <v>30</v>
      </c>
      <c r="V204" s="20"/>
    </row>
    <row r="205" spans="1:22" ht="15.75" customHeight="1" x14ac:dyDescent="0.25">
      <c r="A205" s="155"/>
      <c r="B205" s="125"/>
      <c r="C205" s="243"/>
      <c r="D205" s="117" t="s">
        <v>55</v>
      </c>
      <c r="E205" s="117" t="s">
        <v>72</v>
      </c>
      <c r="F205" s="61" t="str">
        <f>IF(AND(C205=""),"",1-C205)</f>
        <v/>
      </c>
      <c r="G205" s="61">
        <v>1.2</v>
      </c>
      <c r="H205" s="61">
        <v>4.33</v>
      </c>
      <c r="I205" s="61" t="str">
        <f>IF(AND(C205=""),"",G205*C205)</f>
        <v/>
      </c>
      <c r="J205" s="61" t="str">
        <f>IF(AND(C205=""),"",H205*F205)</f>
        <v/>
      </c>
      <c r="K205" s="61" t="str">
        <f t="shared" ref="K205:K214" si="28">IF(AND(I205=""),"",IF(AND(I205&gt;J205),"T1","T2"))</f>
        <v/>
      </c>
      <c r="L205" s="62" t="str">
        <f>IF(AND(K205=""),"",IF(AND((J205*0.95-1)&lt;0,(I205*0.95-1)&lt;0),"NO BET", IF(AND(K205="T1"),I205*0.95 - 1,J205*0.95 - 1)))</f>
        <v/>
      </c>
      <c r="M205" s="127">
        <f>SUMIF(L205:L214,"&gt;0")</f>
        <v>0</v>
      </c>
      <c r="N205" s="57"/>
      <c r="O205" s="63" t="s">
        <v>91</v>
      </c>
      <c r="P205" s="57"/>
      <c r="Q205" s="64">
        <f t="shared" ref="Q205:Q213" si="29">IF(OR(O205="",L205="NO BET"),0,IF(AND(K205=O205),IF(AND(K205="T2"),ROUNDUP(H205*0.95,2)-1,ROUNDUP(G205*0.95,2)-1),-1))</f>
        <v>-1</v>
      </c>
      <c r="R205" s="54"/>
      <c r="S205" s="65" t="str">
        <f>IF(AND(O205=""),"",IF(AND(C205&gt;F205),IF(AND(O205="T1"),"a","r"),IF(AND(O205="T2"),"a","r")))</f>
        <v>r</v>
      </c>
      <c r="T205" s="54"/>
      <c r="U205" s="130">
        <f>SUM(Q205:Q214)</f>
        <v>-10</v>
      </c>
      <c r="V205" s="20"/>
    </row>
    <row r="206" spans="1:22" ht="15.75" customHeight="1" x14ac:dyDescent="0.25">
      <c r="A206" s="155"/>
      <c r="B206" s="125"/>
      <c r="C206" s="244"/>
      <c r="D206" s="114" t="s">
        <v>69</v>
      </c>
      <c r="E206" s="114" t="s">
        <v>61</v>
      </c>
      <c r="F206" s="66" t="str">
        <f t="shared" ref="F206:F214" si="30">IF(AND(C206=""),"",1-C206)</f>
        <v/>
      </c>
      <c r="G206" s="66">
        <v>2.25</v>
      </c>
      <c r="H206" s="66">
        <v>1.57</v>
      </c>
      <c r="I206" s="66" t="str">
        <f t="shared" ref="I206:I214" si="31">IF(AND(C206=""),"",G206*C206)</f>
        <v/>
      </c>
      <c r="J206" s="66" t="str">
        <f t="shared" ref="J206:J214" si="32">IF(AND(C206=""),"",H206*F206)</f>
        <v/>
      </c>
      <c r="K206" s="66" t="str">
        <f t="shared" si="28"/>
        <v/>
      </c>
      <c r="L206" s="67" t="str">
        <f t="shared" ref="L206:L214" si="33">IF(AND(K206=""),"",IF(AND((J206*0.95-1)&lt;0,(I206*0.95-1)&lt;0),"NO BET", IF(AND(K206="T1"),I206*0.95 - 1,J206*0.95 - 1)))</f>
        <v/>
      </c>
      <c r="M206" s="128"/>
      <c r="N206" s="20"/>
      <c r="O206" s="68" t="s">
        <v>90</v>
      </c>
      <c r="P206" s="54"/>
      <c r="Q206" s="69">
        <f t="shared" si="29"/>
        <v>-1</v>
      </c>
      <c r="R206" s="54"/>
      <c r="S206" s="70" t="str">
        <f t="shared" ref="S206:S214" si="34">IF(AND(O206=""),"",IF(AND(C206&gt;F206),IF(AND(O206="T1"),"a","r"),IF(AND(O206="T2"),"a","r")))</f>
        <v>a</v>
      </c>
      <c r="T206" s="54"/>
      <c r="U206" s="130"/>
      <c r="V206" s="20"/>
    </row>
    <row r="207" spans="1:22" ht="15.75" customHeight="1" x14ac:dyDescent="0.25">
      <c r="A207" s="155"/>
      <c r="B207" s="125"/>
      <c r="C207" s="245"/>
      <c r="D207" s="115" t="s">
        <v>59</v>
      </c>
      <c r="E207" s="115" t="s">
        <v>60</v>
      </c>
      <c r="F207" s="13" t="str">
        <f t="shared" si="30"/>
        <v/>
      </c>
      <c r="G207" s="13">
        <v>1.36</v>
      </c>
      <c r="H207" s="13">
        <v>3</v>
      </c>
      <c r="I207" s="13" t="str">
        <f t="shared" si="31"/>
        <v/>
      </c>
      <c r="J207" s="13" t="str">
        <f t="shared" si="32"/>
        <v/>
      </c>
      <c r="K207" s="13" t="str">
        <f t="shared" si="28"/>
        <v/>
      </c>
      <c r="L207" s="71" t="str">
        <f t="shared" si="33"/>
        <v/>
      </c>
      <c r="M207" s="128"/>
      <c r="N207" s="57"/>
      <c r="O207" s="68" t="s">
        <v>90</v>
      </c>
      <c r="P207" s="54"/>
      <c r="Q207" s="69">
        <f t="shared" si="29"/>
        <v>-1</v>
      </c>
      <c r="R207" s="54"/>
      <c r="S207" s="70" t="str">
        <f t="shared" si="34"/>
        <v>a</v>
      </c>
      <c r="T207" s="54"/>
      <c r="U207" s="130"/>
      <c r="V207" s="20"/>
    </row>
    <row r="208" spans="1:22" ht="15.75" customHeight="1" x14ac:dyDescent="0.25">
      <c r="A208" s="155"/>
      <c r="B208" s="125"/>
      <c r="C208" s="244"/>
      <c r="D208" s="114" t="s">
        <v>57</v>
      </c>
      <c r="E208" s="114" t="s">
        <v>58</v>
      </c>
      <c r="F208" s="66" t="str">
        <f t="shared" si="30"/>
        <v/>
      </c>
      <c r="G208" s="66">
        <v>2.5</v>
      </c>
      <c r="H208" s="66">
        <v>1.5</v>
      </c>
      <c r="I208" s="66" t="str">
        <f t="shared" si="31"/>
        <v/>
      </c>
      <c r="J208" s="66" t="str">
        <f t="shared" si="32"/>
        <v/>
      </c>
      <c r="K208" s="66" t="str">
        <f t="shared" si="28"/>
        <v/>
      </c>
      <c r="L208" s="67" t="str">
        <f t="shared" si="33"/>
        <v/>
      </c>
      <c r="M208" s="128"/>
      <c r="N208" s="72"/>
      <c r="O208" s="68" t="s">
        <v>90</v>
      </c>
      <c r="P208" s="54"/>
      <c r="Q208" s="69">
        <f t="shared" si="29"/>
        <v>-1</v>
      </c>
      <c r="R208" s="54"/>
      <c r="S208" s="70" t="str">
        <f t="shared" si="34"/>
        <v>a</v>
      </c>
      <c r="T208" s="54"/>
      <c r="U208" s="130"/>
      <c r="V208" s="20"/>
    </row>
    <row r="209" spans="1:22" ht="15.75" customHeight="1" x14ac:dyDescent="0.25">
      <c r="A209" s="155"/>
      <c r="B209" s="125"/>
      <c r="C209" s="245"/>
      <c r="D209" s="115" t="s">
        <v>62</v>
      </c>
      <c r="E209" s="115" t="s">
        <v>89</v>
      </c>
      <c r="F209" s="13" t="str">
        <f t="shared" si="30"/>
        <v/>
      </c>
      <c r="G209" s="13">
        <v>6</v>
      </c>
      <c r="H209" s="13">
        <v>1.1100000000000001</v>
      </c>
      <c r="I209" s="13" t="str">
        <f t="shared" si="31"/>
        <v/>
      </c>
      <c r="J209" s="13" t="str">
        <f t="shared" si="32"/>
        <v/>
      </c>
      <c r="K209" s="13" t="str">
        <f t="shared" si="28"/>
        <v/>
      </c>
      <c r="L209" s="73" t="str">
        <f t="shared" si="33"/>
        <v/>
      </c>
      <c r="M209" s="128"/>
      <c r="N209" s="72"/>
      <c r="O209" s="68" t="s">
        <v>91</v>
      </c>
      <c r="P209" s="54"/>
      <c r="Q209" s="69">
        <f t="shared" si="29"/>
        <v>-1</v>
      </c>
      <c r="R209" s="54"/>
      <c r="S209" s="70" t="str">
        <f t="shared" si="34"/>
        <v>r</v>
      </c>
      <c r="T209" s="54"/>
      <c r="U209" s="130"/>
      <c r="V209" s="20"/>
    </row>
    <row r="210" spans="1:22" ht="15.75" customHeight="1" x14ac:dyDescent="0.25">
      <c r="A210" s="155"/>
      <c r="B210" s="125"/>
      <c r="C210" s="244"/>
      <c r="D210" s="114" t="s">
        <v>72</v>
      </c>
      <c r="E210" s="114" t="s">
        <v>69</v>
      </c>
      <c r="F210" s="66" t="str">
        <f t="shared" si="30"/>
        <v/>
      </c>
      <c r="G210" s="66">
        <v>3.75</v>
      </c>
      <c r="H210" s="66">
        <v>1.25</v>
      </c>
      <c r="I210" s="66" t="str">
        <f t="shared" si="31"/>
        <v/>
      </c>
      <c r="J210" s="66" t="str">
        <f t="shared" si="32"/>
        <v/>
      </c>
      <c r="K210" s="66" t="str">
        <f t="shared" si="28"/>
        <v/>
      </c>
      <c r="L210" s="67" t="str">
        <f t="shared" si="33"/>
        <v/>
      </c>
      <c r="M210" s="128"/>
      <c r="N210" s="72"/>
      <c r="O210" s="68" t="s">
        <v>90</v>
      </c>
      <c r="P210" s="54"/>
      <c r="Q210" s="69">
        <f t="shared" si="29"/>
        <v>-1</v>
      </c>
      <c r="R210" s="54"/>
      <c r="S210" s="70" t="str">
        <f t="shared" si="34"/>
        <v>a</v>
      </c>
      <c r="T210" s="54"/>
      <c r="U210" s="130"/>
      <c r="V210" s="20"/>
    </row>
    <row r="211" spans="1:22" ht="18.75" thickBot="1" x14ac:dyDescent="0.3">
      <c r="A211" s="155"/>
      <c r="B211" s="125"/>
      <c r="C211" s="245"/>
      <c r="D211" s="115" t="s">
        <v>58</v>
      </c>
      <c r="E211" s="115" t="s">
        <v>55</v>
      </c>
      <c r="F211" s="13" t="str">
        <f t="shared" si="30"/>
        <v/>
      </c>
      <c r="G211" s="13">
        <v>3</v>
      </c>
      <c r="H211" s="13">
        <v>1.36</v>
      </c>
      <c r="I211" s="13" t="str">
        <f t="shared" si="31"/>
        <v/>
      </c>
      <c r="J211" s="13" t="str">
        <f t="shared" si="32"/>
        <v/>
      </c>
      <c r="K211" s="13" t="str">
        <f t="shared" si="28"/>
        <v/>
      </c>
      <c r="L211" s="71" t="str">
        <f t="shared" si="33"/>
        <v/>
      </c>
      <c r="M211" s="128"/>
      <c r="N211" s="20"/>
      <c r="O211" s="68" t="s">
        <v>90</v>
      </c>
      <c r="P211" s="54"/>
      <c r="Q211" s="69">
        <f t="shared" si="29"/>
        <v>-1</v>
      </c>
      <c r="R211" s="54"/>
      <c r="S211" s="70" t="str">
        <f t="shared" si="34"/>
        <v>a</v>
      </c>
      <c r="T211" s="54"/>
      <c r="U211" s="74" t="s">
        <v>32</v>
      </c>
      <c r="V211" s="20"/>
    </row>
    <row r="212" spans="1:22" ht="18" x14ac:dyDescent="0.25">
      <c r="A212" s="155"/>
      <c r="B212" s="125"/>
      <c r="C212" s="244"/>
      <c r="D212" s="114" t="s">
        <v>89</v>
      </c>
      <c r="E212" s="114" t="s">
        <v>59</v>
      </c>
      <c r="F212" s="66" t="str">
        <f t="shared" si="30"/>
        <v/>
      </c>
      <c r="G212" s="66">
        <v>1.36</v>
      </c>
      <c r="H212" s="66">
        <v>3</v>
      </c>
      <c r="I212" s="66" t="str">
        <f t="shared" si="31"/>
        <v/>
      </c>
      <c r="J212" s="66" t="str">
        <f t="shared" si="32"/>
        <v/>
      </c>
      <c r="K212" s="66" t="str">
        <f t="shared" si="28"/>
        <v/>
      </c>
      <c r="L212" s="82" t="str">
        <f t="shared" si="33"/>
        <v/>
      </c>
      <c r="M212" s="128"/>
      <c r="N212" s="20"/>
      <c r="O212" s="68" t="s">
        <v>91</v>
      </c>
      <c r="P212" s="54"/>
      <c r="Q212" s="69">
        <f t="shared" si="29"/>
        <v>-1</v>
      </c>
      <c r="R212" s="54"/>
      <c r="S212" s="70" t="str">
        <f t="shared" si="34"/>
        <v>r</v>
      </c>
      <c r="T212" s="54"/>
      <c r="U212" s="133">
        <f>IF(AND(NOT(M205=0)),U205/M205,0)</f>
        <v>0</v>
      </c>
      <c r="V212" s="20"/>
    </row>
    <row r="213" spans="1:22" ht="18" x14ac:dyDescent="0.25">
      <c r="A213" s="155"/>
      <c r="B213" s="125"/>
      <c r="C213" s="245"/>
      <c r="D213" s="115" t="s">
        <v>60</v>
      </c>
      <c r="E213" s="115" t="s">
        <v>61</v>
      </c>
      <c r="F213" s="13" t="str">
        <f t="shared" si="30"/>
        <v/>
      </c>
      <c r="G213" s="13">
        <v>3.25</v>
      </c>
      <c r="H213" s="13">
        <v>1.33</v>
      </c>
      <c r="I213" s="13" t="str">
        <f t="shared" si="31"/>
        <v/>
      </c>
      <c r="J213" s="13" t="str">
        <f t="shared" si="32"/>
        <v/>
      </c>
      <c r="K213" s="13" t="str">
        <f t="shared" si="28"/>
        <v/>
      </c>
      <c r="L213" s="73" t="str">
        <f t="shared" si="33"/>
        <v/>
      </c>
      <c r="M213" s="128"/>
      <c r="N213" s="20"/>
      <c r="O213" s="68" t="s">
        <v>90</v>
      </c>
      <c r="P213" s="54"/>
      <c r="Q213" s="69">
        <f t="shared" si="29"/>
        <v>-1</v>
      </c>
      <c r="R213" s="54"/>
      <c r="S213" s="70" t="str">
        <f t="shared" si="34"/>
        <v>a</v>
      </c>
      <c r="T213" s="54"/>
      <c r="U213" s="134"/>
      <c r="V213" s="20"/>
    </row>
    <row r="214" spans="1:22" ht="18.75" thickBot="1" x14ac:dyDescent="0.3">
      <c r="A214" s="156"/>
      <c r="B214" s="126"/>
      <c r="C214" s="246"/>
      <c r="D214" s="116" t="s">
        <v>57</v>
      </c>
      <c r="E214" s="116" t="s">
        <v>62</v>
      </c>
      <c r="F214" s="75" t="str">
        <f t="shared" si="30"/>
        <v/>
      </c>
      <c r="G214" s="75">
        <v>1.83</v>
      </c>
      <c r="H214" s="75">
        <v>1.83</v>
      </c>
      <c r="I214" s="75" t="str">
        <f t="shared" si="31"/>
        <v/>
      </c>
      <c r="J214" s="75" t="str">
        <f t="shared" si="32"/>
        <v/>
      </c>
      <c r="K214" s="75" t="str">
        <f t="shared" si="28"/>
        <v/>
      </c>
      <c r="L214" s="85" t="str">
        <f t="shared" si="33"/>
        <v/>
      </c>
      <c r="M214" s="129"/>
      <c r="N214" s="20"/>
      <c r="O214" s="76" t="s">
        <v>91</v>
      </c>
      <c r="P214" s="20"/>
      <c r="Q214" s="77">
        <f>IF(OR(O214="",L214="NO BET"),0,IF(AND(K214=O214),IF(AND(K214="T2"),ROUNDUP(H214*0.95,2)-1,ROUNDUP(G214*0.95,2)-1),-1))</f>
        <v>-1</v>
      </c>
      <c r="R214" s="20"/>
      <c r="S214" s="78" t="str">
        <f t="shared" si="34"/>
        <v>r</v>
      </c>
      <c r="T214" s="20"/>
      <c r="U214" s="135"/>
      <c r="V214" s="20"/>
    </row>
    <row r="215" spans="1:22" x14ac:dyDescent="0.25">
      <c r="A215" s="20"/>
      <c r="B215" s="20"/>
      <c r="C215" s="22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2"/>
      <c r="R215" s="20"/>
      <c r="S215" s="20"/>
      <c r="T215" s="20"/>
      <c r="U215" s="23"/>
      <c r="V215" s="20"/>
    </row>
    <row r="216" spans="1:22" x14ac:dyDescent="0.25">
      <c r="A216" s="20"/>
      <c r="B216" s="20"/>
      <c r="C216" s="22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2"/>
      <c r="R216" s="20"/>
      <c r="S216" s="20"/>
      <c r="T216" s="20"/>
      <c r="U216" s="23"/>
      <c r="V216" s="20"/>
    </row>
    <row r="217" spans="1:22" ht="16.5" thickBot="1" x14ac:dyDescent="0.3">
      <c r="A217" s="20"/>
      <c r="B217" s="20"/>
      <c r="C217" s="22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2"/>
      <c r="R217" s="20"/>
      <c r="S217" s="20"/>
      <c r="T217" s="20"/>
      <c r="U217" s="23"/>
      <c r="V217" s="20"/>
    </row>
    <row r="218" spans="1:22" ht="19.5" customHeight="1" thickBot="1" x14ac:dyDescent="0.3">
      <c r="A218" s="154" t="s">
        <v>5</v>
      </c>
      <c r="B218" s="124" t="s">
        <v>25</v>
      </c>
      <c r="C218" s="232" t="s">
        <v>9</v>
      </c>
      <c r="D218" s="55" t="s">
        <v>10</v>
      </c>
      <c r="E218" s="55" t="s">
        <v>11</v>
      </c>
      <c r="F218" s="55" t="s">
        <v>12</v>
      </c>
      <c r="G218" s="55" t="s">
        <v>13</v>
      </c>
      <c r="H218" s="55" t="s">
        <v>14</v>
      </c>
      <c r="I218" s="55" t="s">
        <v>15</v>
      </c>
      <c r="J218" s="55" t="s">
        <v>16</v>
      </c>
      <c r="K218" s="55" t="s">
        <v>35</v>
      </c>
      <c r="L218" s="55" t="s">
        <v>17</v>
      </c>
      <c r="M218" s="56" t="s">
        <v>18</v>
      </c>
      <c r="N218" s="57"/>
      <c r="O218" s="58" t="s">
        <v>19</v>
      </c>
      <c r="P218" s="54"/>
      <c r="Q218" s="59" t="s">
        <v>36</v>
      </c>
      <c r="R218" s="54"/>
      <c r="S218" s="58" t="s">
        <v>37</v>
      </c>
      <c r="T218" s="54"/>
      <c r="U218" s="60" t="s">
        <v>30</v>
      </c>
      <c r="V218" s="20"/>
    </row>
    <row r="219" spans="1:22" ht="15.75" customHeight="1" x14ac:dyDescent="0.25">
      <c r="A219" s="155"/>
      <c r="B219" s="125"/>
      <c r="C219" s="243"/>
      <c r="D219" s="117" t="s">
        <v>59</v>
      </c>
      <c r="E219" s="117" t="s">
        <v>55</v>
      </c>
      <c r="F219" s="61" t="str">
        <f>IF(AND(C219=""),"",1-C219)</f>
        <v/>
      </c>
      <c r="G219" s="61">
        <v>2</v>
      </c>
      <c r="H219" s="61">
        <v>1.72</v>
      </c>
      <c r="I219" s="61" t="str">
        <f>IF(AND(C219=""),"",G219*C219)</f>
        <v/>
      </c>
      <c r="J219" s="61" t="str">
        <f>IF(AND(C219=""),"",H219*F219)</f>
        <v/>
      </c>
      <c r="K219" s="61" t="str">
        <f t="shared" ref="K219:K228" si="35">IF(AND(I219=""),"",IF(AND(I219&gt;J219),"T1","T2"))</f>
        <v/>
      </c>
      <c r="L219" s="62" t="str">
        <f>IF(AND(K219=""),"",IF(AND((J219*0.95-1)&lt;0,(I219*0.95-1)&lt;0),"NO BET", IF(AND(K219="T1"),I219*0.95 - 1,J219*0.95 - 1)))</f>
        <v/>
      </c>
      <c r="M219" s="127">
        <f>SUMIF(L219:L228,"&gt;0")</f>
        <v>0</v>
      </c>
      <c r="N219" s="57"/>
      <c r="O219" s="63" t="s">
        <v>91</v>
      </c>
      <c r="P219" s="57"/>
      <c r="Q219" s="64">
        <f t="shared" ref="Q219:Q227" si="36">IF(OR(O219="",L219="NO BET"),0,IF(AND(K219=O219),IF(AND(K219="T2"),ROUNDUP(H219*0.95,2)-1,ROUNDUP(G219*0.95,2)-1),-1))</f>
        <v>-1</v>
      </c>
      <c r="R219" s="54"/>
      <c r="S219" s="65" t="str">
        <f>IF(AND(O219=""),"",IF(AND(C219&gt;F219),IF(AND(O219="T1"),"a","r"),IF(AND(O219="T2"),"a","r")))</f>
        <v>r</v>
      </c>
      <c r="T219" s="54"/>
      <c r="U219" s="130">
        <f>SUM(Q219:Q228)</f>
        <v>-6</v>
      </c>
      <c r="V219" s="20"/>
    </row>
    <row r="220" spans="1:22" ht="15.75" customHeight="1" x14ac:dyDescent="0.25">
      <c r="A220" s="155"/>
      <c r="B220" s="125"/>
      <c r="C220" s="244"/>
      <c r="D220" s="114" t="s">
        <v>61</v>
      </c>
      <c r="E220" s="114" t="s">
        <v>72</v>
      </c>
      <c r="F220" s="66" t="str">
        <f t="shared" ref="F220:F228" si="37">IF(AND(C220=""),"",1-C220)</f>
        <v/>
      </c>
      <c r="G220" s="66">
        <v>1.1200000000000001</v>
      </c>
      <c r="H220" s="66">
        <v>5.5</v>
      </c>
      <c r="I220" s="66" t="str">
        <f t="shared" ref="I220:I228" si="38">IF(AND(C220=""),"",G220*C220)</f>
        <v/>
      </c>
      <c r="J220" s="66" t="str">
        <f t="shared" ref="J220:J228" si="39">IF(AND(C220=""),"",H220*F220)</f>
        <v/>
      </c>
      <c r="K220" s="66" t="str">
        <f t="shared" si="35"/>
        <v/>
      </c>
      <c r="L220" s="67" t="str">
        <f t="shared" ref="L220:L228" si="40">IF(AND(K220=""),"",IF(AND((J220*0.95-1)&lt;0,(I220*0.95-1)&lt;0),"NO BET", IF(AND(K220="T1"),I220*0.95 - 1,J220*0.95 - 1)))</f>
        <v/>
      </c>
      <c r="M220" s="128"/>
      <c r="N220" s="20"/>
      <c r="O220" s="68" t="s">
        <v>91</v>
      </c>
      <c r="P220" s="54"/>
      <c r="Q220" s="69">
        <f t="shared" si="36"/>
        <v>-1</v>
      </c>
      <c r="R220" s="54"/>
      <c r="S220" s="70" t="str">
        <f t="shared" ref="S220:S228" si="41">IF(AND(O220=""),"",IF(AND(C220&gt;F220),IF(AND(O220="T1"),"a","r"),IF(AND(O220="T2"),"a","r")))</f>
        <v>r</v>
      </c>
      <c r="T220" s="54"/>
      <c r="U220" s="130"/>
      <c r="V220" s="20"/>
    </row>
    <row r="221" spans="1:22" ht="15.75" customHeight="1" x14ac:dyDescent="0.25">
      <c r="A221" s="155"/>
      <c r="B221" s="125"/>
      <c r="C221" s="245"/>
      <c r="D221" s="115" t="s">
        <v>72</v>
      </c>
      <c r="E221" s="115" t="s">
        <v>89</v>
      </c>
      <c r="F221" s="13" t="str">
        <f t="shared" si="37"/>
        <v/>
      </c>
      <c r="G221" s="13">
        <v>8</v>
      </c>
      <c r="H221" s="13">
        <v>1.0620000000000001</v>
      </c>
      <c r="I221" s="13" t="str">
        <f t="shared" si="38"/>
        <v/>
      </c>
      <c r="J221" s="13" t="str">
        <f t="shared" si="39"/>
        <v/>
      </c>
      <c r="K221" s="13" t="str">
        <f t="shared" si="35"/>
        <v/>
      </c>
      <c r="L221" s="71" t="str">
        <f t="shared" si="40"/>
        <v/>
      </c>
      <c r="M221" s="128"/>
      <c r="N221" s="57"/>
      <c r="O221" s="68" t="s">
        <v>90</v>
      </c>
      <c r="P221" s="54"/>
      <c r="Q221" s="69">
        <f t="shared" si="36"/>
        <v>-1</v>
      </c>
      <c r="R221" s="54"/>
      <c r="S221" s="70" t="str">
        <f t="shared" si="41"/>
        <v>a</v>
      </c>
      <c r="T221" s="54"/>
      <c r="U221" s="130"/>
      <c r="V221" s="20"/>
    </row>
    <row r="222" spans="1:22" ht="15.75" customHeight="1" x14ac:dyDescent="0.25">
      <c r="A222" s="155"/>
      <c r="B222" s="125"/>
      <c r="C222" s="244"/>
      <c r="D222" s="114" t="s">
        <v>58</v>
      </c>
      <c r="E222" s="114" t="s">
        <v>62</v>
      </c>
      <c r="F222" s="66" t="str">
        <f t="shared" si="37"/>
        <v/>
      </c>
      <c r="G222" s="66">
        <v>1.5</v>
      </c>
      <c r="H222" s="66">
        <v>2.5</v>
      </c>
      <c r="I222" s="66" t="str">
        <f t="shared" si="38"/>
        <v/>
      </c>
      <c r="J222" s="66" t="str">
        <f t="shared" si="39"/>
        <v/>
      </c>
      <c r="K222" s="66" t="str">
        <f t="shared" si="35"/>
        <v/>
      </c>
      <c r="L222" s="67" t="str">
        <f t="shared" si="40"/>
        <v/>
      </c>
      <c r="M222" s="128"/>
      <c r="N222" s="72"/>
      <c r="O222" s="68" t="s">
        <v>91</v>
      </c>
      <c r="P222" s="54"/>
      <c r="Q222" s="69">
        <f t="shared" si="36"/>
        <v>-1</v>
      </c>
      <c r="R222" s="54"/>
      <c r="S222" s="70" t="str">
        <f t="shared" si="41"/>
        <v>r</v>
      </c>
      <c r="T222" s="54"/>
      <c r="U222" s="130"/>
      <c r="V222" s="20"/>
    </row>
    <row r="223" spans="1:22" ht="15.75" customHeight="1" x14ac:dyDescent="0.25">
      <c r="A223" s="155"/>
      <c r="B223" s="125"/>
      <c r="C223" s="245"/>
      <c r="D223" s="115" t="s">
        <v>55</v>
      </c>
      <c r="E223" s="115" t="s">
        <v>60</v>
      </c>
      <c r="F223" s="13" t="str">
        <f t="shared" si="37"/>
        <v/>
      </c>
      <c r="G223" s="13">
        <v>1.36</v>
      </c>
      <c r="H223" s="13">
        <v>3</v>
      </c>
      <c r="I223" s="13" t="str">
        <f t="shared" si="38"/>
        <v/>
      </c>
      <c r="J223" s="13" t="str">
        <f t="shared" si="39"/>
        <v/>
      </c>
      <c r="K223" s="13" t="str">
        <f t="shared" si="35"/>
        <v/>
      </c>
      <c r="L223" s="73" t="str">
        <f t="shared" si="40"/>
        <v/>
      </c>
      <c r="M223" s="128"/>
      <c r="N223" s="72"/>
      <c r="O223" s="68" t="s">
        <v>91</v>
      </c>
      <c r="P223" s="54"/>
      <c r="Q223" s="69">
        <f t="shared" si="36"/>
        <v>-1</v>
      </c>
      <c r="R223" s="54"/>
      <c r="S223" s="70" t="str">
        <f t="shared" si="41"/>
        <v>r</v>
      </c>
      <c r="T223" s="54"/>
      <c r="U223" s="130"/>
      <c r="V223" s="20"/>
    </row>
    <row r="224" spans="1:22" ht="15.75" customHeight="1" x14ac:dyDescent="0.25">
      <c r="A224" s="155"/>
      <c r="B224" s="125"/>
      <c r="C224" s="244"/>
      <c r="D224" s="114" t="s">
        <v>69</v>
      </c>
      <c r="E224" s="114" t="s">
        <v>57</v>
      </c>
      <c r="F224" s="66" t="str">
        <f t="shared" si="37"/>
        <v/>
      </c>
      <c r="G224" s="66">
        <v>1.2</v>
      </c>
      <c r="H224" s="66">
        <v>4.33</v>
      </c>
      <c r="I224" s="66" t="str">
        <f t="shared" si="38"/>
        <v/>
      </c>
      <c r="J224" s="66" t="str">
        <f t="shared" si="39"/>
        <v/>
      </c>
      <c r="K224" s="66" t="str">
        <f t="shared" si="35"/>
        <v/>
      </c>
      <c r="L224" s="67" t="str">
        <f t="shared" si="40"/>
        <v/>
      </c>
      <c r="M224" s="128"/>
      <c r="N224" s="72"/>
      <c r="O224" s="68" t="s">
        <v>90</v>
      </c>
      <c r="P224" s="54"/>
      <c r="Q224" s="69">
        <f t="shared" si="36"/>
        <v>-1</v>
      </c>
      <c r="R224" s="54"/>
      <c r="S224" s="70" t="str">
        <f t="shared" si="41"/>
        <v>a</v>
      </c>
      <c r="T224" s="54"/>
      <c r="U224" s="130"/>
      <c r="V224" s="20"/>
    </row>
    <row r="225" spans="1:22" ht="18.75" thickBot="1" x14ac:dyDescent="0.3">
      <c r="A225" s="155"/>
      <c r="B225" s="125"/>
      <c r="C225" s="91"/>
      <c r="D225" s="115"/>
      <c r="E225" s="115"/>
      <c r="F225" s="13" t="str">
        <f t="shared" si="37"/>
        <v/>
      </c>
      <c r="G225" s="13"/>
      <c r="H225" s="13"/>
      <c r="I225" s="13" t="str">
        <f t="shared" si="38"/>
        <v/>
      </c>
      <c r="J225" s="13" t="str">
        <f t="shared" si="39"/>
        <v/>
      </c>
      <c r="K225" s="13" t="str">
        <f t="shared" si="35"/>
        <v/>
      </c>
      <c r="L225" s="71" t="str">
        <f t="shared" si="40"/>
        <v/>
      </c>
      <c r="M225" s="128"/>
      <c r="N225" s="20"/>
      <c r="O225" s="68"/>
      <c r="P225" s="54"/>
      <c r="Q225" s="69">
        <f t="shared" si="36"/>
        <v>0</v>
      </c>
      <c r="R225" s="54"/>
      <c r="S225" s="70" t="str">
        <f t="shared" si="41"/>
        <v/>
      </c>
      <c r="T225" s="54"/>
      <c r="U225" s="74" t="s">
        <v>32</v>
      </c>
      <c r="V225" s="20"/>
    </row>
    <row r="226" spans="1:22" ht="18" x14ac:dyDescent="0.25">
      <c r="A226" s="155"/>
      <c r="B226" s="125"/>
      <c r="C226" s="89"/>
      <c r="D226" s="114"/>
      <c r="E226" s="114"/>
      <c r="F226" s="66" t="str">
        <f t="shared" si="37"/>
        <v/>
      </c>
      <c r="G226" s="114"/>
      <c r="H226" s="66"/>
      <c r="I226" s="66" t="str">
        <f t="shared" si="38"/>
        <v/>
      </c>
      <c r="J226" s="66" t="str">
        <f t="shared" si="39"/>
        <v/>
      </c>
      <c r="K226" s="66" t="str">
        <f t="shared" si="35"/>
        <v/>
      </c>
      <c r="L226" s="82" t="str">
        <f t="shared" si="40"/>
        <v/>
      </c>
      <c r="M226" s="128"/>
      <c r="N226" s="20"/>
      <c r="O226" s="68"/>
      <c r="P226" s="54"/>
      <c r="Q226" s="69">
        <f t="shared" si="36"/>
        <v>0</v>
      </c>
      <c r="R226" s="54"/>
      <c r="S226" s="70" t="str">
        <f t="shared" si="41"/>
        <v/>
      </c>
      <c r="T226" s="54"/>
      <c r="U226" s="133">
        <f>IF(AND(NOT(M219=0)),U219/M219,0)</f>
        <v>0</v>
      </c>
      <c r="V226" s="20"/>
    </row>
    <row r="227" spans="1:22" ht="18" x14ac:dyDescent="0.25">
      <c r="A227" s="155"/>
      <c r="B227" s="125"/>
      <c r="C227" s="91"/>
      <c r="D227" s="115"/>
      <c r="E227" s="115"/>
      <c r="F227" s="13" t="str">
        <f t="shared" si="37"/>
        <v/>
      </c>
      <c r="G227" s="13"/>
      <c r="H227" s="13"/>
      <c r="I227" s="13" t="str">
        <f t="shared" si="38"/>
        <v/>
      </c>
      <c r="J227" s="13" t="str">
        <f t="shared" si="39"/>
        <v/>
      </c>
      <c r="K227" s="13" t="str">
        <f t="shared" si="35"/>
        <v/>
      </c>
      <c r="L227" s="73" t="str">
        <f t="shared" si="40"/>
        <v/>
      </c>
      <c r="M227" s="128"/>
      <c r="N227" s="20"/>
      <c r="O227" s="68"/>
      <c r="P227" s="54"/>
      <c r="Q227" s="69">
        <f t="shared" si="36"/>
        <v>0</v>
      </c>
      <c r="R227" s="54"/>
      <c r="S227" s="70" t="str">
        <f t="shared" si="41"/>
        <v/>
      </c>
      <c r="T227" s="54"/>
      <c r="U227" s="134"/>
      <c r="V227" s="20"/>
    </row>
    <row r="228" spans="1:22" ht="18.75" thickBot="1" x14ac:dyDescent="0.3">
      <c r="A228" s="156"/>
      <c r="B228" s="126"/>
      <c r="C228" s="95"/>
      <c r="D228" s="116"/>
      <c r="E228" s="116"/>
      <c r="F228" s="75" t="str">
        <f t="shared" si="37"/>
        <v/>
      </c>
      <c r="G228" s="75"/>
      <c r="H228" s="75"/>
      <c r="I228" s="75" t="str">
        <f t="shared" si="38"/>
        <v/>
      </c>
      <c r="J228" s="75" t="str">
        <f t="shared" si="39"/>
        <v/>
      </c>
      <c r="K228" s="75" t="str">
        <f t="shared" si="35"/>
        <v/>
      </c>
      <c r="L228" s="85" t="str">
        <f t="shared" si="40"/>
        <v/>
      </c>
      <c r="M228" s="129"/>
      <c r="N228" s="20"/>
      <c r="O228" s="76"/>
      <c r="P228" s="20"/>
      <c r="Q228" s="77">
        <f>IF(OR(O228="",L228="NO BET"),0,IF(AND(K228=O228),IF(AND(K228="T2"),ROUNDUP(H228*0.95,2)-1,ROUNDUP(G228*0.95,2)-1),-1))</f>
        <v>0</v>
      </c>
      <c r="R228" s="20"/>
      <c r="S228" s="78" t="str">
        <f t="shared" si="41"/>
        <v/>
      </c>
      <c r="T228" s="20"/>
      <c r="U228" s="135"/>
      <c r="V228" s="20"/>
    </row>
    <row r="229" spans="1:22" x14ac:dyDescent="0.25">
      <c r="A229" s="20"/>
      <c r="B229" s="20"/>
      <c r="C229" s="22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2"/>
      <c r="R229" s="20"/>
      <c r="S229" s="20"/>
      <c r="T229" s="20"/>
      <c r="U229" s="23"/>
      <c r="V229" s="20"/>
    </row>
    <row r="230" spans="1:22" x14ac:dyDescent="0.25">
      <c r="A230" s="20"/>
      <c r="B230" s="20"/>
      <c r="C230" s="22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2"/>
      <c r="R230" s="20"/>
      <c r="S230" s="20"/>
      <c r="T230" s="20"/>
      <c r="U230" s="23"/>
      <c r="V230" s="20"/>
    </row>
    <row r="231" spans="1:22" ht="16.5" thickBot="1" x14ac:dyDescent="0.3">
      <c r="A231" s="20"/>
      <c r="B231" s="20"/>
      <c r="C231" s="22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2"/>
      <c r="R231" s="20"/>
      <c r="S231" s="20"/>
      <c r="T231" s="20"/>
      <c r="U231" s="23"/>
      <c r="V231" s="20"/>
    </row>
    <row r="232" spans="1:22" ht="19.5" customHeight="1" thickBot="1" x14ac:dyDescent="0.3">
      <c r="A232" s="154" t="s">
        <v>5</v>
      </c>
      <c r="B232" s="124" t="s">
        <v>26</v>
      </c>
      <c r="C232" s="232" t="s">
        <v>9</v>
      </c>
      <c r="D232" s="55" t="s">
        <v>10</v>
      </c>
      <c r="E232" s="55" t="s">
        <v>11</v>
      </c>
      <c r="F232" s="55" t="s">
        <v>12</v>
      </c>
      <c r="G232" s="55" t="s">
        <v>13</v>
      </c>
      <c r="H232" s="55" t="s">
        <v>14</v>
      </c>
      <c r="I232" s="55" t="s">
        <v>15</v>
      </c>
      <c r="J232" s="55" t="s">
        <v>16</v>
      </c>
      <c r="K232" s="55" t="s">
        <v>35</v>
      </c>
      <c r="L232" s="55" t="s">
        <v>17</v>
      </c>
      <c r="M232" s="56" t="s">
        <v>18</v>
      </c>
      <c r="N232" s="57"/>
      <c r="O232" s="58" t="s">
        <v>19</v>
      </c>
      <c r="P232" s="54"/>
      <c r="Q232" s="59" t="s">
        <v>36</v>
      </c>
      <c r="R232" s="54"/>
      <c r="S232" s="58" t="s">
        <v>37</v>
      </c>
      <c r="T232" s="54"/>
      <c r="U232" s="60" t="s">
        <v>30</v>
      </c>
      <c r="V232" s="20"/>
    </row>
    <row r="233" spans="1:22" ht="15.75" customHeight="1" x14ac:dyDescent="0.25">
      <c r="A233" s="155"/>
      <c r="B233" s="125"/>
      <c r="C233" s="243"/>
      <c r="D233" s="117" t="s">
        <v>60</v>
      </c>
      <c r="E233" s="117" t="s">
        <v>88</v>
      </c>
      <c r="F233" s="61" t="str">
        <f>IF(AND(C233=""),"",1-C233)</f>
        <v/>
      </c>
      <c r="G233" s="61">
        <v>1.33</v>
      </c>
      <c r="H233" s="61">
        <v>3.25</v>
      </c>
      <c r="I233" s="61" t="str">
        <f>IF(AND(C233=""),"",G233*C233)</f>
        <v/>
      </c>
      <c r="J233" s="61" t="str">
        <f>IF(AND(C233=""),"",H233*F233)</f>
        <v/>
      </c>
      <c r="K233" s="61" t="str">
        <f t="shared" ref="K233:K242" si="42">IF(AND(I233=""),"",IF(AND(I233&gt;J233),"T1","T2"))</f>
        <v/>
      </c>
      <c r="L233" s="62" t="str">
        <f>IF(AND(K233=""),"",IF(AND((J233*0.95-1)&lt;0,(I233*0.95-1)&lt;0),"NO BET", IF(AND(K233="T1"),I233*0.95 - 1,J233*0.95 - 1)))</f>
        <v/>
      </c>
      <c r="M233" s="127">
        <f>SUMIF(L233:L242,"&gt;0")</f>
        <v>0</v>
      </c>
      <c r="N233" s="57"/>
      <c r="O233" s="63" t="s">
        <v>91</v>
      </c>
      <c r="P233" s="57"/>
      <c r="Q233" s="64">
        <f t="shared" ref="Q233:Q241" si="43">IF(OR(O233="",L233="NO BET"),0,IF(AND(K233=O233),IF(AND(K233="T2"),ROUNDUP(H233*0.95,2)-1,ROUNDUP(G233*0.95,2)-1),-1))</f>
        <v>-1</v>
      </c>
      <c r="R233" s="54"/>
      <c r="S233" s="65" t="str">
        <f>IF(AND(O233=""),"",IF(AND(C233&gt;F233),IF(AND(O233="T1"),"a","r"),IF(AND(O233="T2"),"a","r")))</f>
        <v>r</v>
      </c>
      <c r="T233" s="54"/>
      <c r="U233" s="130">
        <f>SUM(Q233:Q242)</f>
        <v>-8</v>
      </c>
      <c r="V233" s="20"/>
    </row>
    <row r="234" spans="1:22" ht="15.75" customHeight="1" x14ac:dyDescent="0.25">
      <c r="A234" s="155"/>
      <c r="B234" s="125"/>
      <c r="C234" s="244"/>
      <c r="D234" s="114" t="s">
        <v>62</v>
      </c>
      <c r="E234" s="114" t="s">
        <v>69</v>
      </c>
      <c r="F234" s="66" t="str">
        <f t="shared" ref="F234:F242" si="44">IF(AND(C234=""),"",1-C234)</f>
        <v/>
      </c>
      <c r="G234" s="66">
        <v>3</v>
      </c>
      <c r="H234" s="66">
        <v>1.36</v>
      </c>
      <c r="I234" s="66" t="str">
        <f t="shared" ref="I234:I242" si="45">IF(AND(C234=""),"",G234*C234)</f>
        <v/>
      </c>
      <c r="J234" s="66" t="str">
        <f t="shared" ref="J234:J242" si="46">IF(AND(C234=""),"",H234*F234)</f>
        <v/>
      </c>
      <c r="K234" s="66" t="str">
        <f t="shared" si="42"/>
        <v/>
      </c>
      <c r="L234" s="67" t="str">
        <f t="shared" ref="L234:L242" si="47">IF(AND(K234=""),"",IF(AND((J234*0.95-1)&lt;0,(I234*0.95-1)&lt;0),"NO BET", IF(AND(K234="T1"),I234*0.95 - 1,J234*0.95 - 1)))</f>
        <v/>
      </c>
      <c r="M234" s="128"/>
      <c r="N234" s="20"/>
      <c r="O234" s="68" t="s">
        <v>90</v>
      </c>
      <c r="P234" s="54"/>
      <c r="Q234" s="69">
        <f t="shared" si="43"/>
        <v>-1</v>
      </c>
      <c r="R234" s="54"/>
      <c r="S234" s="70" t="str">
        <f t="shared" ref="S234:S242" si="48">IF(AND(O234=""),"",IF(AND(C234&gt;F234),IF(AND(O234="T1"),"a","r"),IF(AND(O234="T2"),"a","r")))</f>
        <v>a</v>
      </c>
      <c r="T234" s="54"/>
      <c r="U234" s="130"/>
      <c r="V234" s="20"/>
    </row>
    <row r="235" spans="1:22" ht="15.75" customHeight="1" x14ac:dyDescent="0.25">
      <c r="A235" s="155"/>
      <c r="B235" s="125"/>
      <c r="C235" s="245"/>
      <c r="D235" s="115" t="s">
        <v>55</v>
      </c>
      <c r="E235" s="115" t="s">
        <v>61</v>
      </c>
      <c r="F235" s="13" t="str">
        <f t="shared" si="44"/>
        <v/>
      </c>
      <c r="G235" s="13">
        <v>2.2200000000000002</v>
      </c>
      <c r="H235" s="13">
        <v>1.61</v>
      </c>
      <c r="I235" s="13" t="str">
        <f t="shared" si="45"/>
        <v/>
      </c>
      <c r="J235" s="13" t="str">
        <f t="shared" si="46"/>
        <v/>
      </c>
      <c r="K235" s="13" t="str">
        <f t="shared" si="42"/>
        <v/>
      </c>
      <c r="L235" s="71" t="str">
        <f t="shared" si="47"/>
        <v/>
      </c>
      <c r="M235" s="128"/>
      <c r="N235" s="57"/>
      <c r="O235" s="68" t="s">
        <v>90</v>
      </c>
      <c r="P235" s="54"/>
      <c r="Q235" s="69">
        <f t="shared" si="43"/>
        <v>-1</v>
      </c>
      <c r="R235" s="54"/>
      <c r="S235" s="70" t="str">
        <f t="shared" si="48"/>
        <v>a</v>
      </c>
      <c r="T235" s="54"/>
      <c r="U235" s="130"/>
      <c r="V235" s="20"/>
    </row>
    <row r="236" spans="1:22" ht="15.75" customHeight="1" x14ac:dyDescent="0.25">
      <c r="A236" s="155"/>
      <c r="B236" s="125"/>
      <c r="C236" s="244"/>
      <c r="D236" s="114" t="s">
        <v>59</v>
      </c>
      <c r="E236" s="114" t="s">
        <v>58</v>
      </c>
      <c r="F236" s="66" t="str">
        <f t="shared" si="44"/>
        <v/>
      </c>
      <c r="G236" s="66">
        <v>1.5</v>
      </c>
      <c r="H236" s="66">
        <v>2.5</v>
      </c>
      <c r="I236" s="66" t="str">
        <f t="shared" si="45"/>
        <v/>
      </c>
      <c r="J236" s="66" t="str">
        <f t="shared" si="46"/>
        <v/>
      </c>
      <c r="K236" s="66" t="str">
        <f t="shared" si="42"/>
        <v/>
      </c>
      <c r="L236" s="67" t="str">
        <f t="shared" si="47"/>
        <v/>
      </c>
      <c r="M236" s="128"/>
      <c r="N236" s="72"/>
      <c r="O236" s="68" t="s">
        <v>91</v>
      </c>
      <c r="P236" s="54"/>
      <c r="Q236" s="69">
        <f t="shared" si="43"/>
        <v>-1</v>
      </c>
      <c r="R236" s="54"/>
      <c r="S236" s="70" t="str">
        <f t="shared" si="48"/>
        <v>r</v>
      </c>
      <c r="T236" s="54"/>
      <c r="U236" s="130"/>
      <c r="V236" s="20"/>
    </row>
    <row r="237" spans="1:22" ht="15.75" customHeight="1" x14ac:dyDescent="0.25">
      <c r="A237" s="155"/>
      <c r="B237" s="125"/>
      <c r="C237" s="245"/>
      <c r="D237" s="115" t="s">
        <v>57</v>
      </c>
      <c r="E237" s="115" t="s">
        <v>60</v>
      </c>
      <c r="F237" s="13" t="str">
        <f t="shared" si="44"/>
        <v/>
      </c>
      <c r="G237" s="13">
        <v>2.25</v>
      </c>
      <c r="H237" s="13">
        <v>1.57</v>
      </c>
      <c r="I237" s="13" t="str">
        <f t="shared" si="45"/>
        <v/>
      </c>
      <c r="J237" s="13" t="str">
        <f t="shared" si="46"/>
        <v/>
      </c>
      <c r="K237" s="13" t="str">
        <f t="shared" si="42"/>
        <v/>
      </c>
      <c r="L237" s="73" t="str">
        <f t="shared" si="47"/>
        <v/>
      </c>
      <c r="M237" s="128"/>
      <c r="N237" s="72"/>
      <c r="O237" s="68" t="s">
        <v>90</v>
      </c>
      <c r="P237" s="54"/>
      <c r="Q237" s="69">
        <f t="shared" si="43"/>
        <v>-1</v>
      </c>
      <c r="R237" s="54"/>
      <c r="S237" s="70" t="str">
        <f t="shared" si="48"/>
        <v>a</v>
      </c>
      <c r="T237" s="54"/>
      <c r="U237" s="130"/>
      <c r="V237" s="20"/>
    </row>
    <row r="238" spans="1:22" ht="15.75" customHeight="1" x14ac:dyDescent="0.25">
      <c r="A238" s="155"/>
      <c r="B238" s="125"/>
      <c r="C238" s="244"/>
      <c r="D238" s="114" t="s">
        <v>61</v>
      </c>
      <c r="E238" s="114" t="s">
        <v>69</v>
      </c>
      <c r="F238" s="66" t="str">
        <f t="shared" si="44"/>
        <v/>
      </c>
      <c r="G238" s="66">
        <v>1.36</v>
      </c>
      <c r="H238" s="66">
        <v>3</v>
      </c>
      <c r="I238" s="66" t="str">
        <f t="shared" si="45"/>
        <v/>
      </c>
      <c r="J238" s="66" t="str">
        <f t="shared" si="46"/>
        <v/>
      </c>
      <c r="K238" s="66" t="str">
        <f t="shared" si="42"/>
        <v/>
      </c>
      <c r="L238" s="67" t="str">
        <f t="shared" si="47"/>
        <v/>
      </c>
      <c r="M238" s="128"/>
      <c r="N238" s="72"/>
      <c r="O238" s="68" t="s">
        <v>90</v>
      </c>
      <c r="P238" s="54"/>
      <c r="Q238" s="69">
        <f t="shared" si="43"/>
        <v>-1</v>
      </c>
      <c r="R238" s="54"/>
      <c r="S238" s="70" t="str">
        <f t="shared" si="48"/>
        <v>a</v>
      </c>
      <c r="T238" s="54"/>
      <c r="U238" s="130"/>
      <c r="V238" s="20"/>
    </row>
    <row r="239" spans="1:22" ht="18.75" thickBot="1" x14ac:dyDescent="0.3">
      <c r="A239" s="155"/>
      <c r="B239" s="125"/>
      <c r="C239" s="245"/>
      <c r="D239" s="115" t="s">
        <v>59</v>
      </c>
      <c r="E239" s="115" t="s">
        <v>72</v>
      </c>
      <c r="F239" s="13" t="str">
        <f t="shared" si="44"/>
        <v/>
      </c>
      <c r="G239" s="13">
        <v>1.1200000000000001</v>
      </c>
      <c r="H239" s="13">
        <v>5.5</v>
      </c>
      <c r="I239" s="13" t="str">
        <f t="shared" si="45"/>
        <v/>
      </c>
      <c r="J239" s="13" t="str">
        <f t="shared" si="46"/>
        <v/>
      </c>
      <c r="K239" s="13" t="str">
        <f t="shared" si="42"/>
        <v/>
      </c>
      <c r="L239" s="71" t="str">
        <f t="shared" si="47"/>
        <v/>
      </c>
      <c r="M239" s="128"/>
      <c r="N239" s="20"/>
      <c r="O239" s="68" t="s">
        <v>91</v>
      </c>
      <c r="P239" s="54"/>
      <c r="Q239" s="69">
        <f t="shared" si="43"/>
        <v>-1</v>
      </c>
      <c r="R239" s="54"/>
      <c r="S239" s="70" t="str">
        <f t="shared" si="48"/>
        <v>r</v>
      </c>
      <c r="T239" s="54"/>
      <c r="U239" s="74" t="s">
        <v>32</v>
      </c>
      <c r="V239" s="20"/>
    </row>
    <row r="240" spans="1:22" ht="18" x14ac:dyDescent="0.25">
      <c r="A240" s="155"/>
      <c r="B240" s="125"/>
      <c r="C240" s="244"/>
      <c r="D240" s="114" t="s">
        <v>89</v>
      </c>
      <c r="E240" s="114" t="s">
        <v>62</v>
      </c>
      <c r="F240" s="66" t="str">
        <f t="shared" si="44"/>
        <v/>
      </c>
      <c r="G240" s="66">
        <v>1.1000000000000001</v>
      </c>
      <c r="H240" s="66">
        <v>6.5</v>
      </c>
      <c r="I240" s="66" t="str">
        <f t="shared" si="45"/>
        <v/>
      </c>
      <c r="J240" s="66" t="str">
        <f t="shared" si="46"/>
        <v/>
      </c>
      <c r="K240" s="66" t="str">
        <f t="shared" si="42"/>
        <v/>
      </c>
      <c r="L240" s="82" t="str">
        <f t="shared" si="47"/>
        <v/>
      </c>
      <c r="M240" s="128"/>
      <c r="N240" s="20"/>
      <c r="O240" s="68" t="s">
        <v>91</v>
      </c>
      <c r="P240" s="54"/>
      <c r="Q240" s="69">
        <f t="shared" si="43"/>
        <v>-1</v>
      </c>
      <c r="R240" s="54"/>
      <c r="S240" s="70" t="str">
        <f t="shared" si="48"/>
        <v>r</v>
      </c>
      <c r="T240" s="54"/>
      <c r="U240" s="133">
        <f>IF(AND(NOT(M233=0)),U233/M233,0)</f>
        <v>0</v>
      </c>
      <c r="V240" s="20"/>
    </row>
    <row r="241" spans="1:22" ht="18" x14ac:dyDescent="0.25">
      <c r="A241" s="155"/>
      <c r="B241" s="125"/>
      <c r="C241" s="91"/>
      <c r="D241" s="115"/>
      <c r="E241" s="115"/>
      <c r="F241" s="13" t="str">
        <f t="shared" si="44"/>
        <v/>
      </c>
      <c r="G241" s="13"/>
      <c r="H241" s="13"/>
      <c r="I241" s="13" t="str">
        <f t="shared" si="45"/>
        <v/>
      </c>
      <c r="J241" s="13" t="str">
        <f t="shared" si="46"/>
        <v/>
      </c>
      <c r="K241" s="13" t="str">
        <f t="shared" si="42"/>
        <v/>
      </c>
      <c r="L241" s="73" t="str">
        <f t="shared" si="47"/>
        <v/>
      </c>
      <c r="M241" s="128"/>
      <c r="N241" s="20"/>
      <c r="O241" s="68"/>
      <c r="P241" s="54"/>
      <c r="Q241" s="69">
        <f t="shared" si="43"/>
        <v>0</v>
      </c>
      <c r="R241" s="54"/>
      <c r="S241" s="70" t="str">
        <f t="shared" si="48"/>
        <v/>
      </c>
      <c r="T241" s="54"/>
      <c r="U241" s="134"/>
      <c r="V241" s="20"/>
    </row>
    <row r="242" spans="1:22" ht="18.75" thickBot="1" x14ac:dyDescent="0.3">
      <c r="A242" s="156"/>
      <c r="B242" s="126"/>
      <c r="C242" s="95"/>
      <c r="D242" s="116"/>
      <c r="E242" s="116"/>
      <c r="F242" s="75" t="str">
        <f t="shared" si="44"/>
        <v/>
      </c>
      <c r="G242" s="75"/>
      <c r="H242" s="75"/>
      <c r="I242" s="75" t="str">
        <f t="shared" si="45"/>
        <v/>
      </c>
      <c r="J242" s="75" t="str">
        <f t="shared" si="46"/>
        <v/>
      </c>
      <c r="K242" s="75" t="str">
        <f t="shared" si="42"/>
        <v/>
      </c>
      <c r="L242" s="85" t="str">
        <f t="shared" si="47"/>
        <v/>
      </c>
      <c r="M242" s="129"/>
      <c r="N242" s="20"/>
      <c r="O242" s="76"/>
      <c r="P242" s="20"/>
      <c r="Q242" s="77">
        <f>IF(OR(O242="",L242="NO BET"),0,IF(AND(K242=O242),IF(AND(K242="T2"),ROUNDUP(H242*0.95,2)-1,ROUNDUP(G242*0.95,2)-1),-1))</f>
        <v>0</v>
      </c>
      <c r="R242" s="20"/>
      <c r="S242" s="78" t="str">
        <f t="shared" si="48"/>
        <v/>
      </c>
      <c r="T242" s="20"/>
      <c r="U242" s="135"/>
      <c r="V242" s="20"/>
    </row>
    <row r="243" spans="1:22" x14ac:dyDescent="0.25">
      <c r="A243" s="20"/>
      <c r="B243" s="20"/>
      <c r="C243" s="22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2"/>
      <c r="R243" s="20"/>
      <c r="S243" s="20"/>
      <c r="T243" s="20"/>
      <c r="U243" s="23"/>
      <c r="V243" s="20"/>
    </row>
    <row r="244" spans="1:22" x14ac:dyDescent="0.25">
      <c r="A244" s="20"/>
      <c r="B244" s="20"/>
      <c r="C244" s="22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2"/>
      <c r="R244" s="20"/>
      <c r="S244" s="20"/>
      <c r="T244" s="20"/>
      <c r="U244" s="23"/>
      <c r="V244" s="20"/>
    </row>
    <row r="245" spans="1:22" ht="16.5" thickBot="1" x14ac:dyDescent="0.3">
      <c r="A245" s="20"/>
      <c r="B245" s="20"/>
      <c r="C245" s="22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2"/>
      <c r="R245" s="20"/>
      <c r="S245" s="20"/>
      <c r="T245" s="20"/>
      <c r="U245" s="23"/>
      <c r="V245" s="20"/>
    </row>
    <row r="246" spans="1:22" ht="19.5" customHeight="1" thickBot="1" x14ac:dyDescent="0.3">
      <c r="A246" s="154" t="s">
        <v>5</v>
      </c>
      <c r="B246" s="124" t="s">
        <v>27</v>
      </c>
      <c r="C246" s="232" t="s">
        <v>9</v>
      </c>
      <c r="D246" s="55" t="s">
        <v>10</v>
      </c>
      <c r="E246" s="55" t="s">
        <v>11</v>
      </c>
      <c r="F246" s="55" t="s">
        <v>12</v>
      </c>
      <c r="G246" s="55" t="s">
        <v>13</v>
      </c>
      <c r="H246" s="55" t="s">
        <v>14</v>
      </c>
      <c r="I246" s="55" t="s">
        <v>15</v>
      </c>
      <c r="J246" s="55" t="s">
        <v>16</v>
      </c>
      <c r="K246" s="55" t="s">
        <v>35</v>
      </c>
      <c r="L246" s="55" t="s">
        <v>17</v>
      </c>
      <c r="M246" s="56" t="s">
        <v>18</v>
      </c>
      <c r="N246" s="57"/>
      <c r="O246" s="58" t="s">
        <v>19</v>
      </c>
      <c r="P246" s="54"/>
      <c r="Q246" s="59" t="s">
        <v>36</v>
      </c>
      <c r="R246" s="54"/>
      <c r="S246" s="58" t="s">
        <v>37</v>
      </c>
      <c r="T246" s="54"/>
      <c r="U246" s="60" t="s">
        <v>30</v>
      </c>
      <c r="V246" s="20"/>
    </row>
    <row r="247" spans="1:22" ht="15.75" customHeight="1" x14ac:dyDescent="0.25">
      <c r="A247" s="155"/>
      <c r="B247" s="125"/>
      <c r="C247" s="243"/>
      <c r="D247" s="117" t="s">
        <v>58</v>
      </c>
      <c r="E247" s="117" t="s">
        <v>89</v>
      </c>
      <c r="F247" s="61" t="str">
        <f>IF(AND(C247=""),"",1-C247)</f>
        <v/>
      </c>
      <c r="G247" s="61">
        <v>1.1000000000000001</v>
      </c>
      <c r="H247" s="61">
        <v>6</v>
      </c>
      <c r="I247" s="61" t="str">
        <f>IF(AND(C247=""),"",G247*C247)</f>
        <v/>
      </c>
      <c r="J247" s="61" t="str">
        <f>IF(AND(C247=""),"",H247*F247)</f>
        <v/>
      </c>
      <c r="K247" s="61" t="str">
        <f t="shared" ref="K247:K256" si="49">IF(AND(I247=""),"",IF(AND(I247&gt;J247),"T1","T2"))</f>
        <v/>
      </c>
      <c r="L247" s="62" t="str">
        <f>IF(AND(K247=""),"",IF(AND((J247*0.95-1)&lt;0,(I247*0.95-1)&lt;0),"NO BET", IF(AND(K247="T1"),I247*0.95 - 1,J247*0.95 - 1)))</f>
        <v/>
      </c>
      <c r="M247" s="127">
        <f>SUMIF(L247:L256,"&gt;0")</f>
        <v>0</v>
      </c>
      <c r="N247" s="57"/>
      <c r="O247" s="63" t="s">
        <v>90</v>
      </c>
      <c r="P247" s="57"/>
      <c r="Q247" s="64">
        <f t="shared" ref="Q247:Q255" si="50">IF(OR(O247="",L247="NO BET"),0,IF(AND(K247=O247),IF(AND(K247="T2"),ROUNDUP(H247*0.95,2)-1,ROUNDUP(G247*0.95,2)-1),-1))</f>
        <v>-1</v>
      </c>
      <c r="R247" s="54"/>
      <c r="S247" s="65" t="str">
        <f>IF(AND(O247=""),"",IF(AND(C247&gt;F247),IF(AND(O247="T1"),"a","r"),IF(AND(O247="T2"),"a","r")))</f>
        <v>a</v>
      </c>
      <c r="T247" s="54"/>
      <c r="U247" s="130">
        <f>SUM(Q247:Q256)</f>
        <v>-10</v>
      </c>
      <c r="V247" s="20"/>
    </row>
    <row r="248" spans="1:22" ht="15.75" customHeight="1" x14ac:dyDescent="0.25">
      <c r="A248" s="155"/>
      <c r="B248" s="125"/>
      <c r="C248" s="244"/>
      <c r="D248" s="114" t="s">
        <v>69</v>
      </c>
      <c r="E248" s="114" t="s">
        <v>60</v>
      </c>
      <c r="F248" s="66" t="str">
        <f t="shared" ref="F248:F256" si="51">IF(AND(C248=""),"",1-C248)</f>
        <v/>
      </c>
      <c r="G248" s="66">
        <v>1.37</v>
      </c>
      <c r="H248" s="66">
        <v>3</v>
      </c>
      <c r="I248" s="66" t="str">
        <f t="shared" ref="I248:I256" si="52">IF(AND(C248=""),"",G248*C248)</f>
        <v/>
      </c>
      <c r="J248" s="66" t="str">
        <f t="shared" ref="J248:J256" si="53">IF(AND(C248=""),"",H248*F248)</f>
        <v/>
      </c>
      <c r="K248" s="66" t="str">
        <f t="shared" si="49"/>
        <v/>
      </c>
      <c r="L248" s="67" t="str">
        <f t="shared" ref="L248:L256" si="54">IF(AND(K248=""),"",IF(AND((J248*0.95-1)&lt;0,(I248*0.95-1)&lt;0),"NO BET", IF(AND(K248="T1"),I248*0.95 - 1,J248*0.95 - 1)))</f>
        <v/>
      </c>
      <c r="M248" s="128"/>
      <c r="N248" s="20"/>
      <c r="O248" s="68" t="s">
        <v>91</v>
      </c>
      <c r="P248" s="54"/>
      <c r="Q248" s="69">
        <f t="shared" si="50"/>
        <v>-1</v>
      </c>
      <c r="R248" s="54"/>
      <c r="S248" s="70" t="str">
        <f t="shared" ref="S248:S256" si="55">IF(AND(O248=""),"",IF(AND(C248&gt;F248),IF(AND(O248="T1"),"a","r"),IF(AND(O248="T2"),"a","r")))</f>
        <v>r</v>
      </c>
      <c r="T248" s="54"/>
      <c r="U248" s="130"/>
      <c r="V248" s="20"/>
    </row>
    <row r="249" spans="1:22" ht="15.75" customHeight="1" x14ac:dyDescent="0.25">
      <c r="A249" s="155"/>
      <c r="B249" s="125"/>
      <c r="C249" s="245"/>
      <c r="D249" s="115" t="s">
        <v>57</v>
      </c>
      <c r="E249" s="115" t="s">
        <v>72</v>
      </c>
      <c r="F249" s="13" t="str">
        <f t="shared" si="51"/>
        <v/>
      </c>
      <c r="G249" s="13">
        <v>1.36</v>
      </c>
      <c r="H249" s="13">
        <v>3</v>
      </c>
      <c r="I249" s="13" t="str">
        <f t="shared" si="52"/>
        <v/>
      </c>
      <c r="J249" s="13" t="str">
        <f t="shared" si="53"/>
        <v/>
      </c>
      <c r="K249" s="13" t="str">
        <f t="shared" si="49"/>
        <v/>
      </c>
      <c r="L249" s="71" t="str">
        <f t="shared" si="54"/>
        <v/>
      </c>
      <c r="M249" s="128"/>
      <c r="N249" s="57"/>
      <c r="O249" s="68" t="s">
        <v>91</v>
      </c>
      <c r="P249" s="54"/>
      <c r="Q249" s="69">
        <f t="shared" si="50"/>
        <v>-1</v>
      </c>
      <c r="R249" s="54"/>
      <c r="S249" s="70" t="str">
        <f t="shared" si="55"/>
        <v>r</v>
      </c>
      <c r="T249" s="54"/>
      <c r="U249" s="130"/>
      <c r="V249" s="20"/>
    </row>
    <row r="250" spans="1:22" ht="15.75" customHeight="1" x14ac:dyDescent="0.25">
      <c r="A250" s="155"/>
      <c r="B250" s="125"/>
      <c r="C250" s="244"/>
      <c r="D250" s="114" t="s">
        <v>55</v>
      </c>
      <c r="E250" s="114" t="s">
        <v>62</v>
      </c>
      <c r="F250" s="66" t="str">
        <f t="shared" si="51"/>
        <v/>
      </c>
      <c r="G250" s="66">
        <v>1.25</v>
      </c>
      <c r="H250" s="66">
        <v>3.75</v>
      </c>
      <c r="I250" s="66" t="str">
        <f t="shared" si="52"/>
        <v/>
      </c>
      <c r="J250" s="66" t="str">
        <f t="shared" si="53"/>
        <v/>
      </c>
      <c r="K250" s="66" t="str">
        <f t="shared" si="49"/>
        <v/>
      </c>
      <c r="L250" s="67" t="str">
        <f t="shared" si="54"/>
        <v/>
      </c>
      <c r="M250" s="128"/>
      <c r="N250" s="72"/>
      <c r="O250" s="68" t="s">
        <v>90</v>
      </c>
      <c r="P250" s="54"/>
      <c r="Q250" s="69">
        <f t="shared" si="50"/>
        <v>-1</v>
      </c>
      <c r="R250" s="54"/>
      <c r="S250" s="70" t="str">
        <f t="shared" si="55"/>
        <v>a</v>
      </c>
      <c r="T250" s="54"/>
      <c r="U250" s="130"/>
      <c r="V250" s="20"/>
    </row>
    <row r="251" spans="1:22" ht="15.75" customHeight="1" x14ac:dyDescent="0.25">
      <c r="A251" s="155"/>
      <c r="B251" s="125"/>
      <c r="C251" s="245"/>
      <c r="D251" s="115" t="s">
        <v>60</v>
      </c>
      <c r="E251" s="115" t="s">
        <v>59</v>
      </c>
      <c r="F251" s="13" t="str">
        <f t="shared" si="51"/>
        <v/>
      </c>
      <c r="G251" s="13">
        <v>4</v>
      </c>
      <c r="H251" s="13">
        <v>1.22</v>
      </c>
      <c r="I251" s="13" t="str">
        <f t="shared" si="52"/>
        <v/>
      </c>
      <c r="J251" s="13" t="str">
        <f t="shared" si="53"/>
        <v/>
      </c>
      <c r="K251" s="13" t="str">
        <f t="shared" si="49"/>
        <v/>
      </c>
      <c r="L251" s="73" t="str">
        <f t="shared" si="54"/>
        <v/>
      </c>
      <c r="M251" s="128"/>
      <c r="N251" s="72"/>
      <c r="O251" s="68" t="s">
        <v>90</v>
      </c>
      <c r="P251" s="54"/>
      <c r="Q251" s="69">
        <f t="shared" si="50"/>
        <v>-1</v>
      </c>
      <c r="R251" s="54"/>
      <c r="S251" s="70" t="str">
        <f t="shared" si="55"/>
        <v>a</v>
      </c>
      <c r="T251" s="54"/>
      <c r="U251" s="130"/>
      <c r="V251" s="20"/>
    </row>
    <row r="252" spans="1:22" ht="15.75" customHeight="1" x14ac:dyDescent="0.25">
      <c r="A252" s="155"/>
      <c r="B252" s="125"/>
      <c r="C252" s="244"/>
      <c r="D252" s="114" t="s">
        <v>89</v>
      </c>
      <c r="E252" s="114" t="s">
        <v>61</v>
      </c>
      <c r="F252" s="66" t="str">
        <f t="shared" si="51"/>
        <v/>
      </c>
      <c r="G252" s="66">
        <v>1.44</v>
      </c>
      <c r="H252" s="66">
        <v>2.62</v>
      </c>
      <c r="I252" s="66" t="str">
        <f t="shared" si="52"/>
        <v/>
      </c>
      <c r="J252" s="66" t="str">
        <f t="shared" si="53"/>
        <v/>
      </c>
      <c r="K252" s="66" t="str">
        <f t="shared" si="49"/>
        <v/>
      </c>
      <c r="L252" s="67" t="str">
        <f t="shared" si="54"/>
        <v/>
      </c>
      <c r="M252" s="128"/>
      <c r="N252" s="72"/>
      <c r="O252" s="68" t="s">
        <v>91</v>
      </c>
      <c r="P252" s="54"/>
      <c r="Q252" s="69">
        <f t="shared" si="50"/>
        <v>-1</v>
      </c>
      <c r="R252" s="54"/>
      <c r="S252" s="70" t="str">
        <f t="shared" si="55"/>
        <v>r</v>
      </c>
      <c r="T252" s="54"/>
      <c r="U252" s="130"/>
      <c r="V252" s="20"/>
    </row>
    <row r="253" spans="1:22" ht="18.75" thickBot="1" x14ac:dyDescent="0.3">
      <c r="A253" s="155"/>
      <c r="B253" s="125"/>
      <c r="C253" s="245"/>
      <c r="D253" s="115" t="s">
        <v>57</v>
      </c>
      <c r="E253" s="115" t="s">
        <v>59</v>
      </c>
      <c r="F253" s="13" t="str">
        <f t="shared" si="51"/>
        <v/>
      </c>
      <c r="G253" s="13">
        <v>5</v>
      </c>
      <c r="H253" s="13">
        <v>1.1399999999999999</v>
      </c>
      <c r="I253" s="13" t="str">
        <f t="shared" si="52"/>
        <v/>
      </c>
      <c r="J253" s="13" t="str">
        <f t="shared" si="53"/>
        <v/>
      </c>
      <c r="K253" s="13" t="str">
        <f t="shared" si="49"/>
        <v/>
      </c>
      <c r="L253" s="71" t="str">
        <f t="shared" si="54"/>
        <v/>
      </c>
      <c r="M253" s="128"/>
      <c r="N253" s="20"/>
      <c r="O253" s="68" t="s">
        <v>90</v>
      </c>
      <c r="P253" s="54"/>
      <c r="Q253" s="69">
        <f t="shared" si="50"/>
        <v>-1</v>
      </c>
      <c r="R253" s="54"/>
      <c r="S253" s="70" t="str">
        <f t="shared" si="55"/>
        <v>a</v>
      </c>
      <c r="T253" s="54"/>
      <c r="U253" s="74" t="s">
        <v>32</v>
      </c>
      <c r="V253" s="20"/>
    </row>
    <row r="254" spans="1:22" ht="18" x14ac:dyDescent="0.25">
      <c r="A254" s="155"/>
      <c r="B254" s="125"/>
      <c r="C254" s="244"/>
      <c r="D254" s="114" t="s">
        <v>62</v>
      </c>
      <c r="E254" s="114" t="s">
        <v>61</v>
      </c>
      <c r="F254" s="66" t="str">
        <f t="shared" si="51"/>
        <v/>
      </c>
      <c r="G254" s="66">
        <v>4.5</v>
      </c>
      <c r="H254" s="66">
        <v>1.1599999999999999</v>
      </c>
      <c r="I254" s="66" t="str">
        <f t="shared" si="52"/>
        <v/>
      </c>
      <c r="J254" s="66" t="str">
        <f t="shared" si="53"/>
        <v/>
      </c>
      <c r="K254" s="66" t="str">
        <f t="shared" si="49"/>
        <v/>
      </c>
      <c r="L254" s="82" t="str">
        <f t="shared" si="54"/>
        <v/>
      </c>
      <c r="M254" s="128"/>
      <c r="N254" s="20"/>
      <c r="O254" s="68" t="s">
        <v>90</v>
      </c>
      <c r="P254" s="54"/>
      <c r="Q254" s="69">
        <f t="shared" si="50"/>
        <v>-1</v>
      </c>
      <c r="R254" s="54"/>
      <c r="S254" s="70" t="str">
        <f t="shared" si="55"/>
        <v>a</v>
      </c>
      <c r="T254" s="54"/>
      <c r="U254" s="133">
        <f>IF(AND(NOT(M247=0)),U247/M247,0)</f>
        <v>0</v>
      </c>
      <c r="V254" s="20"/>
    </row>
    <row r="255" spans="1:22" ht="18" x14ac:dyDescent="0.25">
      <c r="A255" s="155"/>
      <c r="B255" s="125"/>
      <c r="C255" s="245"/>
      <c r="D255" s="115" t="s">
        <v>69</v>
      </c>
      <c r="E255" s="115" t="s">
        <v>55</v>
      </c>
      <c r="F255" s="13" t="str">
        <f t="shared" si="51"/>
        <v/>
      </c>
      <c r="G255" s="13">
        <v>1.57</v>
      </c>
      <c r="H255" s="13">
        <v>2.25</v>
      </c>
      <c r="I255" s="13" t="str">
        <f t="shared" si="52"/>
        <v/>
      </c>
      <c r="J255" s="13" t="str">
        <f t="shared" si="53"/>
        <v/>
      </c>
      <c r="K255" s="13" t="str">
        <f t="shared" si="49"/>
        <v/>
      </c>
      <c r="L255" s="73" t="str">
        <f t="shared" si="54"/>
        <v/>
      </c>
      <c r="M255" s="128"/>
      <c r="N255" s="20"/>
      <c r="O255" s="68" t="s">
        <v>90</v>
      </c>
      <c r="P255" s="54"/>
      <c r="Q255" s="69">
        <f t="shared" si="50"/>
        <v>-1</v>
      </c>
      <c r="R255" s="54"/>
      <c r="S255" s="70" t="str">
        <f t="shared" si="55"/>
        <v>a</v>
      </c>
      <c r="T255" s="54"/>
      <c r="U255" s="134"/>
      <c r="V255" s="20"/>
    </row>
    <row r="256" spans="1:22" ht="18.75" thickBot="1" x14ac:dyDescent="0.3">
      <c r="A256" s="156"/>
      <c r="B256" s="126"/>
      <c r="C256" s="246"/>
      <c r="D256" s="116" t="s">
        <v>72</v>
      </c>
      <c r="E256" s="116" t="s">
        <v>58</v>
      </c>
      <c r="F256" s="75" t="str">
        <f t="shared" si="51"/>
        <v/>
      </c>
      <c r="G256" s="75">
        <v>3.4</v>
      </c>
      <c r="H256" s="75">
        <v>1.3</v>
      </c>
      <c r="I256" s="75" t="str">
        <f t="shared" si="52"/>
        <v/>
      </c>
      <c r="J256" s="75" t="str">
        <f t="shared" si="53"/>
        <v/>
      </c>
      <c r="K256" s="75" t="str">
        <f t="shared" si="49"/>
        <v/>
      </c>
      <c r="L256" s="85" t="str">
        <f t="shared" si="54"/>
        <v/>
      </c>
      <c r="M256" s="129"/>
      <c r="N256" s="20"/>
      <c r="O256" s="76" t="s">
        <v>90</v>
      </c>
      <c r="P256" s="20"/>
      <c r="Q256" s="77">
        <f>IF(OR(O256="",L256="NO BET"),0,IF(AND(K256=O256),IF(AND(K256="T2"),ROUNDUP(H256*0.95,2)-1,ROUNDUP(G256*0.95,2)-1),-1))</f>
        <v>-1</v>
      </c>
      <c r="R256" s="20"/>
      <c r="S256" s="78" t="str">
        <f t="shared" si="55"/>
        <v>a</v>
      </c>
      <c r="T256" s="20"/>
      <c r="U256" s="135"/>
      <c r="V256" s="20"/>
    </row>
    <row r="257" spans="1:22" x14ac:dyDescent="0.25">
      <c r="A257" s="20"/>
      <c r="B257" s="20"/>
      <c r="C257" s="22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2"/>
      <c r="R257" s="20"/>
      <c r="S257" s="20"/>
      <c r="T257" s="20"/>
      <c r="U257" s="23"/>
      <c r="V257" s="20"/>
    </row>
    <row r="258" spans="1:22" x14ac:dyDescent="0.25">
      <c r="A258" s="20"/>
      <c r="B258" s="20"/>
      <c r="C258" s="22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2"/>
      <c r="R258" s="20"/>
      <c r="S258" s="20"/>
      <c r="T258" s="20"/>
      <c r="U258" s="23"/>
      <c r="V258" s="20"/>
    </row>
    <row r="259" spans="1:22" ht="16.5" thickBot="1" x14ac:dyDescent="0.3">
      <c r="A259" s="20"/>
      <c r="B259" s="20"/>
      <c r="C259" s="22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2"/>
      <c r="R259" s="20"/>
      <c r="S259" s="20"/>
      <c r="T259" s="20"/>
      <c r="U259" s="23"/>
      <c r="V259" s="20"/>
    </row>
    <row r="260" spans="1:22" ht="19.5" customHeight="1" thickBot="1" x14ac:dyDescent="0.3">
      <c r="A260" s="154" t="s">
        <v>5</v>
      </c>
      <c r="B260" s="124" t="s">
        <v>28</v>
      </c>
      <c r="C260" s="232" t="s">
        <v>9</v>
      </c>
      <c r="D260" s="55" t="s">
        <v>10</v>
      </c>
      <c r="E260" s="55" t="s">
        <v>11</v>
      </c>
      <c r="F260" s="55" t="s">
        <v>12</v>
      </c>
      <c r="G260" s="55" t="s">
        <v>13</v>
      </c>
      <c r="H260" s="55" t="s">
        <v>14</v>
      </c>
      <c r="I260" s="55" t="s">
        <v>15</v>
      </c>
      <c r="J260" s="55" t="s">
        <v>16</v>
      </c>
      <c r="K260" s="55" t="s">
        <v>35</v>
      </c>
      <c r="L260" s="55" t="s">
        <v>17</v>
      </c>
      <c r="M260" s="56" t="s">
        <v>18</v>
      </c>
      <c r="N260" s="57"/>
      <c r="O260" s="58" t="s">
        <v>19</v>
      </c>
      <c r="P260" s="54"/>
      <c r="Q260" s="59" t="s">
        <v>36</v>
      </c>
      <c r="R260" s="54"/>
      <c r="S260" s="58" t="s">
        <v>37</v>
      </c>
      <c r="T260" s="54"/>
      <c r="U260" s="60" t="s">
        <v>30</v>
      </c>
      <c r="V260" s="20"/>
    </row>
    <row r="261" spans="1:22" ht="15.75" customHeight="1" x14ac:dyDescent="0.25">
      <c r="A261" s="155"/>
      <c r="B261" s="125"/>
      <c r="C261" s="86"/>
      <c r="D261" s="117"/>
      <c r="E261" s="117"/>
      <c r="F261" s="61" t="str">
        <f>IF(AND(C261=""),"",1-C261)</f>
        <v/>
      </c>
      <c r="G261" s="61"/>
      <c r="H261" s="61"/>
      <c r="I261" s="61" t="str">
        <f>IF(AND(C261=""),"",G261*C261)</f>
        <v/>
      </c>
      <c r="J261" s="61" t="str">
        <f>IF(AND(C261=""),"",H261*F261)</f>
        <v/>
      </c>
      <c r="K261" s="61" t="str">
        <f t="shared" ref="K261:K270" si="56">IF(AND(I261=""),"",IF(AND(I261&gt;J261),"T1","T2"))</f>
        <v/>
      </c>
      <c r="L261" s="62" t="str">
        <f>IF(AND(K261=""),"",IF(AND((J261*0.95-1)&lt;0,(I261*0.95-1)&lt;0),"NO BET", IF(AND(K261="T1"),I261*0.95 - 1,J261*0.95 - 1)))</f>
        <v/>
      </c>
      <c r="M261" s="127">
        <f>SUMIF(L261:L270,"&gt;0")</f>
        <v>0</v>
      </c>
      <c r="N261" s="57"/>
      <c r="O261" s="63"/>
      <c r="P261" s="57"/>
      <c r="Q261" s="64">
        <f t="shared" ref="Q261:Q269" si="57">IF(OR(O261="",L261="NO BET"),0,IF(AND(K261=O261),IF(AND(K261="T2"),ROUNDUP(H261*0.95,2)-1,ROUNDUP(G261*0.95,2)-1),-1))</f>
        <v>0</v>
      </c>
      <c r="R261" s="54"/>
      <c r="S261" s="65" t="str">
        <f>IF(AND(O261=""),"",IF(AND(C261&gt;F261),IF(AND(O261="T1"),"a","r"),IF(AND(O261="T2"),"a","r")))</f>
        <v/>
      </c>
      <c r="T261" s="54"/>
      <c r="U261" s="130">
        <f>SUM(Q261:Q270)</f>
        <v>0</v>
      </c>
      <c r="V261" s="20"/>
    </row>
    <row r="262" spans="1:22" ht="15.75" customHeight="1" x14ac:dyDescent="0.25">
      <c r="A262" s="155"/>
      <c r="B262" s="125"/>
      <c r="C262" s="89"/>
      <c r="D262" s="114"/>
      <c r="E262" s="114"/>
      <c r="F262" s="66" t="str">
        <f t="shared" ref="F262:F270" si="58">IF(AND(C262=""),"",1-C262)</f>
        <v/>
      </c>
      <c r="G262" s="66"/>
      <c r="H262" s="66"/>
      <c r="I262" s="66" t="str">
        <f t="shared" ref="I262:I270" si="59">IF(AND(C262=""),"",G262*C262)</f>
        <v/>
      </c>
      <c r="J262" s="66" t="str">
        <f t="shared" ref="J262:J270" si="60">IF(AND(C262=""),"",H262*F262)</f>
        <v/>
      </c>
      <c r="K262" s="66" t="str">
        <f t="shared" si="56"/>
        <v/>
      </c>
      <c r="L262" s="67" t="str">
        <f t="shared" ref="L262:L270" si="61">IF(AND(K262=""),"",IF(AND((J262*0.95-1)&lt;0,(I262*0.95-1)&lt;0),"NO BET", IF(AND(K262="T1"),I262*0.95 - 1,J262*0.95 - 1)))</f>
        <v/>
      </c>
      <c r="M262" s="128"/>
      <c r="N262" s="20"/>
      <c r="O262" s="68"/>
      <c r="P262" s="54"/>
      <c r="Q262" s="69">
        <f t="shared" si="57"/>
        <v>0</v>
      </c>
      <c r="R262" s="54"/>
      <c r="S262" s="70" t="str">
        <f t="shared" ref="S262:S270" si="62">IF(AND(O262=""),"",IF(AND(C262&gt;F262),IF(AND(O262="T1"),"a","r"),IF(AND(O262="T2"),"a","r")))</f>
        <v/>
      </c>
      <c r="T262" s="54"/>
      <c r="U262" s="130"/>
      <c r="V262" s="20"/>
    </row>
    <row r="263" spans="1:22" ht="15.75" customHeight="1" x14ac:dyDescent="0.25">
      <c r="A263" s="155"/>
      <c r="B263" s="125"/>
      <c r="C263" s="91"/>
      <c r="D263" s="115"/>
      <c r="E263" s="115"/>
      <c r="F263" s="13" t="str">
        <f t="shared" si="58"/>
        <v/>
      </c>
      <c r="G263" s="13"/>
      <c r="H263" s="13"/>
      <c r="I263" s="13" t="str">
        <f t="shared" si="59"/>
        <v/>
      </c>
      <c r="J263" s="13" t="str">
        <f t="shared" si="60"/>
        <v/>
      </c>
      <c r="K263" s="13" t="str">
        <f t="shared" si="56"/>
        <v/>
      </c>
      <c r="L263" s="71" t="str">
        <f t="shared" si="61"/>
        <v/>
      </c>
      <c r="M263" s="128"/>
      <c r="N263" s="57"/>
      <c r="O263" s="68"/>
      <c r="P263" s="54"/>
      <c r="Q263" s="69">
        <f t="shared" si="57"/>
        <v>0</v>
      </c>
      <c r="R263" s="54"/>
      <c r="S263" s="70" t="str">
        <f t="shared" si="62"/>
        <v/>
      </c>
      <c r="T263" s="54"/>
      <c r="U263" s="130"/>
      <c r="V263" s="20"/>
    </row>
    <row r="264" spans="1:22" ht="15.75" customHeight="1" x14ac:dyDescent="0.25">
      <c r="A264" s="155"/>
      <c r="B264" s="125"/>
      <c r="C264" s="89"/>
      <c r="D264" s="114"/>
      <c r="E264" s="114"/>
      <c r="F264" s="66" t="str">
        <f t="shared" si="58"/>
        <v/>
      </c>
      <c r="G264" s="66"/>
      <c r="H264" s="66"/>
      <c r="I264" s="66" t="str">
        <f t="shared" si="59"/>
        <v/>
      </c>
      <c r="J264" s="66" t="str">
        <f t="shared" si="60"/>
        <v/>
      </c>
      <c r="K264" s="66" t="str">
        <f t="shared" si="56"/>
        <v/>
      </c>
      <c r="L264" s="67" t="str">
        <f t="shared" si="61"/>
        <v/>
      </c>
      <c r="M264" s="128"/>
      <c r="N264" s="72"/>
      <c r="O264" s="68"/>
      <c r="P264" s="54"/>
      <c r="Q264" s="69">
        <f t="shared" si="57"/>
        <v>0</v>
      </c>
      <c r="R264" s="54"/>
      <c r="S264" s="70" t="str">
        <f t="shared" si="62"/>
        <v/>
      </c>
      <c r="T264" s="54"/>
      <c r="U264" s="130"/>
      <c r="V264" s="20"/>
    </row>
    <row r="265" spans="1:22" ht="15.75" customHeight="1" x14ac:dyDescent="0.25">
      <c r="A265" s="155"/>
      <c r="B265" s="125"/>
      <c r="C265" s="91"/>
      <c r="D265" s="115"/>
      <c r="E265" s="115"/>
      <c r="F265" s="13" t="str">
        <f t="shared" si="58"/>
        <v/>
      </c>
      <c r="G265" s="13"/>
      <c r="H265" s="13"/>
      <c r="I265" s="13" t="str">
        <f t="shared" si="59"/>
        <v/>
      </c>
      <c r="J265" s="13" t="str">
        <f t="shared" si="60"/>
        <v/>
      </c>
      <c r="K265" s="13" t="str">
        <f t="shared" si="56"/>
        <v/>
      </c>
      <c r="L265" s="73" t="str">
        <f t="shared" si="61"/>
        <v/>
      </c>
      <c r="M265" s="128"/>
      <c r="N265" s="72"/>
      <c r="O265" s="68"/>
      <c r="P265" s="54"/>
      <c r="Q265" s="69">
        <f t="shared" si="57"/>
        <v>0</v>
      </c>
      <c r="R265" s="54"/>
      <c r="S265" s="70" t="str">
        <f t="shared" si="62"/>
        <v/>
      </c>
      <c r="T265" s="54"/>
      <c r="U265" s="130"/>
      <c r="V265" s="20"/>
    </row>
    <row r="266" spans="1:22" ht="15.75" customHeight="1" x14ac:dyDescent="0.25">
      <c r="A266" s="155"/>
      <c r="B266" s="125"/>
      <c r="C266" s="89"/>
      <c r="D266" s="114"/>
      <c r="E266" s="114"/>
      <c r="F266" s="66" t="str">
        <f t="shared" si="58"/>
        <v/>
      </c>
      <c r="G266" s="66"/>
      <c r="H266" s="66"/>
      <c r="I266" s="66" t="str">
        <f t="shared" si="59"/>
        <v/>
      </c>
      <c r="J266" s="66" t="str">
        <f t="shared" si="60"/>
        <v/>
      </c>
      <c r="K266" s="66" t="str">
        <f t="shared" si="56"/>
        <v/>
      </c>
      <c r="L266" s="67" t="str">
        <f t="shared" si="61"/>
        <v/>
      </c>
      <c r="M266" s="128"/>
      <c r="N266" s="72"/>
      <c r="O266" s="68"/>
      <c r="P266" s="54"/>
      <c r="Q266" s="69">
        <f t="shared" si="57"/>
        <v>0</v>
      </c>
      <c r="R266" s="54"/>
      <c r="S266" s="70" t="str">
        <f t="shared" si="62"/>
        <v/>
      </c>
      <c r="T266" s="54"/>
      <c r="U266" s="130"/>
      <c r="V266" s="20"/>
    </row>
    <row r="267" spans="1:22" ht="18.75" thickBot="1" x14ac:dyDescent="0.3">
      <c r="A267" s="155"/>
      <c r="B267" s="125"/>
      <c r="C267" s="91"/>
      <c r="D267" s="115"/>
      <c r="E267" s="115"/>
      <c r="F267" s="13" t="str">
        <f t="shared" si="58"/>
        <v/>
      </c>
      <c r="G267" s="13"/>
      <c r="H267" s="13"/>
      <c r="I267" s="13" t="str">
        <f t="shared" si="59"/>
        <v/>
      </c>
      <c r="J267" s="13" t="str">
        <f t="shared" si="60"/>
        <v/>
      </c>
      <c r="K267" s="13" t="str">
        <f t="shared" si="56"/>
        <v/>
      </c>
      <c r="L267" s="71" t="str">
        <f t="shared" si="61"/>
        <v/>
      </c>
      <c r="M267" s="128"/>
      <c r="N267" s="20"/>
      <c r="O267" s="68"/>
      <c r="P267" s="54"/>
      <c r="Q267" s="69">
        <f t="shared" si="57"/>
        <v>0</v>
      </c>
      <c r="R267" s="54"/>
      <c r="S267" s="70" t="str">
        <f t="shared" si="62"/>
        <v/>
      </c>
      <c r="T267" s="54"/>
      <c r="U267" s="74" t="s">
        <v>32</v>
      </c>
      <c r="V267" s="20"/>
    </row>
    <row r="268" spans="1:22" ht="18" x14ac:dyDescent="0.25">
      <c r="A268" s="155"/>
      <c r="B268" s="125"/>
      <c r="C268" s="89"/>
      <c r="D268" s="114"/>
      <c r="E268" s="114"/>
      <c r="F268" s="66" t="str">
        <f t="shared" si="58"/>
        <v/>
      </c>
      <c r="G268" s="66"/>
      <c r="H268" s="66"/>
      <c r="I268" s="66" t="str">
        <f t="shared" si="59"/>
        <v/>
      </c>
      <c r="J268" s="66" t="str">
        <f t="shared" si="60"/>
        <v/>
      </c>
      <c r="K268" s="66" t="str">
        <f t="shared" si="56"/>
        <v/>
      </c>
      <c r="L268" s="82" t="str">
        <f t="shared" si="61"/>
        <v/>
      </c>
      <c r="M268" s="128"/>
      <c r="N268" s="20"/>
      <c r="O268" s="68"/>
      <c r="P268" s="54"/>
      <c r="Q268" s="69">
        <f t="shared" si="57"/>
        <v>0</v>
      </c>
      <c r="R268" s="54"/>
      <c r="S268" s="70" t="str">
        <f t="shared" si="62"/>
        <v/>
      </c>
      <c r="T268" s="54"/>
      <c r="U268" s="133">
        <f>IF(AND(NOT(M261=0)),U261/M261,0)</f>
        <v>0</v>
      </c>
      <c r="V268" s="20"/>
    </row>
    <row r="269" spans="1:22" ht="18" x14ac:dyDescent="0.25">
      <c r="A269" s="155"/>
      <c r="B269" s="125"/>
      <c r="C269" s="91"/>
      <c r="D269" s="115"/>
      <c r="E269" s="115"/>
      <c r="F269" s="13" t="str">
        <f t="shared" si="58"/>
        <v/>
      </c>
      <c r="G269" s="13"/>
      <c r="H269" s="13"/>
      <c r="I269" s="13" t="str">
        <f t="shared" si="59"/>
        <v/>
      </c>
      <c r="J269" s="13" t="str">
        <f t="shared" si="60"/>
        <v/>
      </c>
      <c r="K269" s="13" t="str">
        <f t="shared" si="56"/>
        <v/>
      </c>
      <c r="L269" s="73" t="str">
        <f t="shared" si="61"/>
        <v/>
      </c>
      <c r="M269" s="128"/>
      <c r="N269" s="20"/>
      <c r="O269" s="68"/>
      <c r="P269" s="54"/>
      <c r="Q269" s="69">
        <f t="shared" si="57"/>
        <v>0</v>
      </c>
      <c r="R269" s="54"/>
      <c r="S269" s="70" t="str">
        <f t="shared" si="62"/>
        <v/>
      </c>
      <c r="T269" s="54"/>
      <c r="U269" s="134"/>
      <c r="V269" s="20"/>
    </row>
    <row r="270" spans="1:22" ht="18.75" thickBot="1" x14ac:dyDescent="0.3">
      <c r="A270" s="156"/>
      <c r="B270" s="126"/>
      <c r="C270" s="95"/>
      <c r="D270" s="116"/>
      <c r="E270" s="116"/>
      <c r="F270" s="75" t="str">
        <f t="shared" si="58"/>
        <v/>
      </c>
      <c r="G270" s="75"/>
      <c r="H270" s="75"/>
      <c r="I270" s="75" t="str">
        <f t="shared" si="59"/>
        <v/>
      </c>
      <c r="J270" s="75" t="str">
        <f t="shared" si="60"/>
        <v/>
      </c>
      <c r="K270" s="75" t="str">
        <f t="shared" si="56"/>
        <v/>
      </c>
      <c r="L270" s="85" t="str">
        <f t="shared" si="61"/>
        <v/>
      </c>
      <c r="M270" s="129"/>
      <c r="N270" s="20"/>
      <c r="O270" s="76"/>
      <c r="P270" s="20"/>
      <c r="Q270" s="77">
        <f>IF(OR(O270="",L270="NO BET"),0,IF(AND(K270=O270),IF(AND(K270="T2"),ROUNDUP(H270*0.95,2)-1,ROUNDUP(G270*0.95,2)-1),-1))</f>
        <v>0</v>
      </c>
      <c r="R270" s="20"/>
      <c r="S270" s="78" t="str">
        <f t="shared" si="62"/>
        <v/>
      </c>
      <c r="T270" s="20"/>
      <c r="U270" s="135"/>
      <c r="V270" s="20"/>
    </row>
    <row r="271" spans="1:22" x14ac:dyDescent="0.25">
      <c r="A271" s="20"/>
      <c r="B271" s="20"/>
      <c r="C271" s="22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2"/>
      <c r="R271" s="20"/>
      <c r="S271" s="20"/>
      <c r="T271" s="20"/>
      <c r="U271" s="23"/>
      <c r="V271" s="20"/>
    </row>
    <row r="272" spans="1:22" x14ac:dyDescent="0.25">
      <c r="A272" s="20"/>
      <c r="B272" s="20"/>
      <c r="C272" s="22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2"/>
      <c r="R272" s="20"/>
      <c r="S272" s="20"/>
      <c r="T272" s="20"/>
      <c r="U272" s="23"/>
      <c r="V272" s="20"/>
    </row>
    <row r="273" spans="1:22" ht="16.5" thickBot="1" x14ac:dyDescent="0.3">
      <c r="A273" s="20"/>
      <c r="B273" s="20"/>
      <c r="C273" s="22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2"/>
      <c r="R273" s="20"/>
      <c r="S273" s="20"/>
      <c r="T273" s="20"/>
      <c r="U273" s="23"/>
      <c r="V273" s="20"/>
    </row>
    <row r="274" spans="1:22" ht="19.5" customHeight="1" thickBot="1" x14ac:dyDescent="0.3">
      <c r="A274" s="154" t="s">
        <v>5</v>
      </c>
      <c r="B274" s="124" t="s">
        <v>29</v>
      </c>
      <c r="C274" s="232" t="s">
        <v>9</v>
      </c>
      <c r="D274" s="55" t="s">
        <v>10</v>
      </c>
      <c r="E274" s="55" t="s">
        <v>11</v>
      </c>
      <c r="F274" s="55" t="s">
        <v>12</v>
      </c>
      <c r="G274" s="55" t="s">
        <v>13</v>
      </c>
      <c r="H274" s="55" t="s">
        <v>14</v>
      </c>
      <c r="I274" s="55" t="s">
        <v>15</v>
      </c>
      <c r="J274" s="55" t="s">
        <v>16</v>
      </c>
      <c r="K274" s="55" t="s">
        <v>35</v>
      </c>
      <c r="L274" s="55" t="s">
        <v>17</v>
      </c>
      <c r="M274" s="56" t="s">
        <v>18</v>
      </c>
      <c r="N274" s="57"/>
      <c r="O274" s="58" t="s">
        <v>19</v>
      </c>
      <c r="P274" s="54"/>
      <c r="Q274" s="59" t="s">
        <v>36</v>
      </c>
      <c r="R274" s="54"/>
      <c r="S274" s="58" t="s">
        <v>37</v>
      </c>
      <c r="T274" s="54"/>
      <c r="U274" s="60" t="s">
        <v>30</v>
      </c>
      <c r="V274" s="20"/>
    </row>
    <row r="275" spans="1:22" ht="15.75" customHeight="1" x14ac:dyDescent="0.25">
      <c r="A275" s="155"/>
      <c r="B275" s="125"/>
      <c r="C275" s="86"/>
      <c r="D275" s="61"/>
      <c r="E275" s="61"/>
      <c r="F275" s="61" t="str">
        <f>IF(AND(C275=""),"",1-C275)</f>
        <v/>
      </c>
      <c r="G275" s="61"/>
      <c r="H275" s="61"/>
      <c r="I275" s="61" t="str">
        <f>IF(AND(C275=""),"",G275*C275)</f>
        <v/>
      </c>
      <c r="J275" s="61" t="str">
        <f>IF(AND(C275=""),"",H275*F275)</f>
        <v/>
      </c>
      <c r="K275" s="61" t="str">
        <f t="shared" ref="K275:K284" si="63">IF(AND(I275=""),"",IF(AND(I275&gt;J275),"T1","T2"))</f>
        <v/>
      </c>
      <c r="L275" s="62" t="str">
        <f>IF(AND(K275=""),"",IF(AND((J275*0.95-1)&lt;0,(I275*0.95-1)&lt;0),"NO BET", IF(AND(K275="T1"),I275*0.95 - 1,J275*0.95 - 1)))</f>
        <v/>
      </c>
      <c r="M275" s="127">
        <f>SUMIF(L275:L284,"&gt;0")</f>
        <v>0</v>
      </c>
      <c r="N275" s="57"/>
      <c r="O275" s="63"/>
      <c r="P275" s="57"/>
      <c r="Q275" s="64">
        <f t="shared" ref="Q275:Q283" si="64">IF(OR(O275="",L275="NO BET"),0,IF(AND(K275=O275),IF(AND(K275="T2"),ROUNDUP(H275*0.95,2)-1,ROUNDUP(G275*0.95,2)-1),-1))</f>
        <v>0</v>
      </c>
      <c r="R275" s="54"/>
      <c r="S275" s="65" t="str">
        <f>IF(AND(O275=""),"",IF(AND(C275&gt;F275),IF(AND(O275="T1"),"a","r"),IF(AND(O275="T2"),"a","r")))</f>
        <v/>
      </c>
      <c r="T275" s="54"/>
      <c r="U275" s="130">
        <f>SUM(Q275:Q284)</f>
        <v>0</v>
      </c>
      <c r="V275" s="20"/>
    </row>
    <row r="276" spans="1:22" ht="15.75" customHeight="1" x14ac:dyDescent="0.25">
      <c r="A276" s="155"/>
      <c r="B276" s="125"/>
      <c r="C276" s="89"/>
      <c r="D276" s="66"/>
      <c r="E276" s="66"/>
      <c r="F276" s="66" t="str">
        <f t="shared" ref="F276:F284" si="65">IF(AND(C276=""),"",1-C276)</f>
        <v/>
      </c>
      <c r="G276" s="66"/>
      <c r="H276" s="66"/>
      <c r="I276" s="66" t="str">
        <f t="shared" ref="I276:I284" si="66">IF(AND(C276=""),"",G276*C276)</f>
        <v/>
      </c>
      <c r="J276" s="66" t="str">
        <f t="shared" ref="J276:J284" si="67">IF(AND(C276=""),"",H276*F276)</f>
        <v/>
      </c>
      <c r="K276" s="66" t="str">
        <f t="shared" si="63"/>
        <v/>
      </c>
      <c r="L276" s="67" t="str">
        <f t="shared" ref="L276:L284" si="68">IF(AND(K276=""),"",IF(AND((J276*0.95-1)&lt;0,(I276*0.95-1)&lt;0),"NO BET", IF(AND(K276="T1"),I276*0.95 - 1,J276*0.95 - 1)))</f>
        <v/>
      </c>
      <c r="M276" s="128"/>
      <c r="N276" s="20"/>
      <c r="O276" s="68"/>
      <c r="P276" s="54"/>
      <c r="Q276" s="69">
        <f t="shared" si="64"/>
        <v>0</v>
      </c>
      <c r="R276" s="54"/>
      <c r="S276" s="70" t="str">
        <f t="shared" ref="S276:S284" si="69">IF(AND(O276=""),"",IF(AND(C276&gt;F276),IF(AND(O276="T1"),"a","r"),IF(AND(O276="T2"),"a","r")))</f>
        <v/>
      </c>
      <c r="T276" s="54"/>
      <c r="U276" s="130"/>
      <c r="V276" s="20"/>
    </row>
    <row r="277" spans="1:22" ht="15.75" customHeight="1" x14ac:dyDescent="0.25">
      <c r="A277" s="155"/>
      <c r="B277" s="125"/>
      <c r="C277" s="91"/>
      <c r="D277" s="13"/>
      <c r="E277" s="13"/>
      <c r="F277" s="13" t="str">
        <f t="shared" si="65"/>
        <v/>
      </c>
      <c r="G277" s="13"/>
      <c r="H277" s="13"/>
      <c r="I277" s="13" t="str">
        <f t="shared" si="66"/>
        <v/>
      </c>
      <c r="J277" s="13" t="str">
        <f t="shared" si="67"/>
        <v/>
      </c>
      <c r="K277" s="13" t="str">
        <f t="shared" si="63"/>
        <v/>
      </c>
      <c r="L277" s="71" t="str">
        <f t="shared" si="68"/>
        <v/>
      </c>
      <c r="M277" s="128"/>
      <c r="N277" s="57"/>
      <c r="O277" s="68"/>
      <c r="P277" s="54"/>
      <c r="Q277" s="69">
        <f t="shared" si="64"/>
        <v>0</v>
      </c>
      <c r="R277" s="54"/>
      <c r="S277" s="70" t="str">
        <f t="shared" si="69"/>
        <v/>
      </c>
      <c r="T277" s="54"/>
      <c r="U277" s="130"/>
      <c r="V277" s="20"/>
    </row>
    <row r="278" spans="1:22" ht="15.75" customHeight="1" x14ac:dyDescent="0.25">
      <c r="A278" s="155"/>
      <c r="B278" s="125"/>
      <c r="C278" s="89"/>
      <c r="D278" s="66"/>
      <c r="E278" s="66"/>
      <c r="F278" s="66" t="str">
        <f t="shared" si="65"/>
        <v/>
      </c>
      <c r="G278" s="66"/>
      <c r="H278" s="66"/>
      <c r="I278" s="66" t="str">
        <f t="shared" si="66"/>
        <v/>
      </c>
      <c r="J278" s="66" t="str">
        <f t="shared" si="67"/>
        <v/>
      </c>
      <c r="K278" s="66" t="str">
        <f t="shared" si="63"/>
        <v/>
      </c>
      <c r="L278" s="67" t="str">
        <f t="shared" si="68"/>
        <v/>
      </c>
      <c r="M278" s="128"/>
      <c r="N278" s="72"/>
      <c r="O278" s="68"/>
      <c r="P278" s="54"/>
      <c r="Q278" s="69">
        <f t="shared" si="64"/>
        <v>0</v>
      </c>
      <c r="R278" s="54"/>
      <c r="S278" s="70" t="str">
        <f t="shared" si="69"/>
        <v/>
      </c>
      <c r="T278" s="54"/>
      <c r="U278" s="130"/>
      <c r="V278" s="20"/>
    </row>
    <row r="279" spans="1:22" ht="15.75" customHeight="1" x14ac:dyDescent="0.25">
      <c r="A279" s="155"/>
      <c r="B279" s="125"/>
      <c r="C279" s="91"/>
      <c r="D279" s="13"/>
      <c r="E279" s="13"/>
      <c r="F279" s="13" t="str">
        <f t="shared" si="65"/>
        <v/>
      </c>
      <c r="G279" s="13"/>
      <c r="H279" s="13"/>
      <c r="I279" s="13" t="str">
        <f t="shared" si="66"/>
        <v/>
      </c>
      <c r="J279" s="13" t="str">
        <f t="shared" si="67"/>
        <v/>
      </c>
      <c r="K279" s="13" t="str">
        <f t="shared" si="63"/>
        <v/>
      </c>
      <c r="L279" s="73" t="str">
        <f t="shared" si="68"/>
        <v/>
      </c>
      <c r="M279" s="128"/>
      <c r="N279" s="72"/>
      <c r="O279" s="68"/>
      <c r="P279" s="54"/>
      <c r="Q279" s="69">
        <f t="shared" si="64"/>
        <v>0</v>
      </c>
      <c r="R279" s="54"/>
      <c r="S279" s="70" t="str">
        <f t="shared" si="69"/>
        <v/>
      </c>
      <c r="T279" s="54"/>
      <c r="U279" s="130"/>
      <c r="V279" s="20"/>
    </row>
    <row r="280" spans="1:22" ht="15.75" customHeight="1" x14ac:dyDescent="0.25">
      <c r="A280" s="155"/>
      <c r="B280" s="125"/>
      <c r="C280" s="89"/>
      <c r="D280" s="66"/>
      <c r="E280" s="66"/>
      <c r="F280" s="66" t="str">
        <f t="shared" si="65"/>
        <v/>
      </c>
      <c r="G280" s="66"/>
      <c r="H280" s="66"/>
      <c r="I280" s="66" t="str">
        <f t="shared" si="66"/>
        <v/>
      </c>
      <c r="J280" s="66" t="str">
        <f t="shared" si="67"/>
        <v/>
      </c>
      <c r="K280" s="66" t="str">
        <f t="shared" si="63"/>
        <v/>
      </c>
      <c r="L280" s="67" t="str">
        <f t="shared" si="68"/>
        <v/>
      </c>
      <c r="M280" s="128"/>
      <c r="N280" s="72"/>
      <c r="O280" s="68"/>
      <c r="P280" s="54"/>
      <c r="Q280" s="69">
        <f t="shared" si="64"/>
        <v>0</v>
      </c>
      <c r="R280" s="54"/>
      <c r="S280" s="70" t="str">
        <f t="shared" si="69"/>
        <v/>
      </c>
      <c r="T280" s="54"/>
      <c r="U280" s="130"/>
      <c r="V280" s="20"/>
    </row>
    <row r="281" spans="1:22" ht="18.75" thickBot="1" x14ac:dyDescent="0.3">
      <c r="A281" s="155"/>
      <c r="B281" s="125"/>
      <c r="C281" s="91"/>
      <c r="D281" s="13"/>
      <c r="E281" s="13"/>
      <c r="F281" s="13" t="str">
        <f t="shared" si="65"/>
        <v/>
      </c>
      <c r="G281" s="13"/>
      <c r="H281" s="13"/>
      <c r="I281" s="13" t="str">
        <f t="shared" si="66"/>
        <v/>
      </c>
      <c r="J281" s="13" t="str">
        <f t="shared" si="67"/>
        <v/>
      </c>
      <c r="K281" s="13" t="str">
        <f t="shared" si="63"/>
        <v/>
      </c>
      <c r="L281" s="71" t="str">
        <f t="shared" si="68"/>
        <v/>
      </c>
      <c r="M281" s="128"/>
      <c r="N281" s="20"/>
      <c r="O281" s="68"/>
      <c r="P281" s="54"/>
      <c r="Q281" s="69">
        <f t="shared" si="64"/>
        <v>0</v>
      </c>
      <c r="R281" s="54"/>
      <c r="S281" s="70" t="str">
        <f t="shared" si="69"/>
        <v/>
      </c>
      <c r="T281" s="54"/>
      <c r="U281" s="74" t="s">
        <v>32</v>
      </c>
      <c r="V281" s="20"/>
    </row>
    <row r="282" spans="1:22" ht="18" x14ac:dyDescent="0.25">
      <c r="A282" s="155"/>
      <c r="B282" s="125"/>
      <c r="C282" s="89"/>
      <c r="D282" s="66"/>
      <c r="E282" s="66"/>
      <c r="F282" s="66" t="str">
        <f t="shared" si="65"/>
        <v/>
      </c>
      <c r="G282" s="66"/>
      <c r="H282" s="66"/>
      <c r="I282" s="66" t="str">
        <f t="shared" si="66"/>
        <v/>
      </c>
      <c r="J282" s="66" t="str">
        <f t="shared" si="67"/>
        <v/>
      </c>
      <c r="K282" s="66" t="str">
        <f t="shared" si="63"/>
        <v/>
      </c>
      <c r="L282" s="82" t="str">
        <f t="shared" si="68"/>
        <v/>
      </c>
      <c r="M282" s="128"/>
      <c r="N282" s="20"/>
      <c r="O282" s="68"/>
      <c r="P282" s="54"/>
      <c r="Q282" s="69">
        <f t="shared" si="64"/>
        <v>0</v>
      </c>
      <c r="R282" s="54"/>
      <c r="S282" s="70" t="str">
        <f t="shared" si="69"/>
        <v/>
      </c>
      <c r="T282" s="54"/>
      <c r="U282" s="133">
        <f>IF(AND(NOT(M275=0)),U275/M275,0)</f>
        <v>0</v>
      </c>
      <c r="V282" s="20"/>
    </row>
    <row r="283" spans="1:22" ht="18" x14ac:dyDescent="0.25">
      <c r="A283" s="155"/>
      <c r="B283" s="125"/>
      <c r="C283" s="91"/>
      <c r="D283" s="13"/>
      <c r="E283" s="13"/>
      <c r="F283" s="13" t="str">
        <f t="shared" si="65"/>
        <v/>
      </c>
      <c r="G283" s="13"/>
      <c r="H283" s="13"/>
      <c r="I283" s="13" t="str">
        <f t="shared" si="66"/>
        <v/>
      </c>
      <c r="J283" s="13" t="str">
        <f t="shared" si="67"/>
        <v/>
      </c>
      <c r="K283" s="13" t="str">
        <f t="shared" si="63"/>
        <v/>
      </c>
      <c r="L283" s="73" t="str">
        <f t="shared" si="68"/>
        <v/>
      </c>
      <c r="M283" s="128"/>
      <c r="N283" s="20"/>
      <c r="O283" s="68"/>
      <c r="P283" s="54"/>
      <c r="Q283" s="69">
        <f t="shared" si="64"/>
        <v>0</v>
      </c>
      <c r="R283" s="54"/>
      <c r="S283" s="70" t="str">
        <f t="shared" si="69"/>
        <v/>
      </c>
      <c r="T283" s="54"/>
      <c r="U283" s="134"/>
      <c r="V283" s="20"/>
    </row>
    <row r="284" spans="1:22" ht="18.75" thickBot="1" x14ac:dyDescent="0.3">
      <c r="A284" s="156"/>
      <c r="B284" s="126"/>
      <c r="C284" s="95"/>
      <c r="D284" s="75"/>
      <c r="E284" s="75"/>
      <c r="F284" s="75" t="str">
        <f t="shared" si="65"/>
        <v/>
      </c>
      <c r="G284" s="75"/>
      <c r="H284" s="75"/>
      <c r="I284" s="75" t="str">
        <f t="shared" si="66"/>
        <v/>
      </c>
      <c r="J284" s="75" t="str">
        <f t="shared" si="67"/>
        <v/>
      </c>
      <c r="K284" s="75" t="str">
        <f t="shared" si="63"/>
        <v/>
      </c>
      <c r="L284" s="85" t="str">
        <f t="shared" si="68"/>
        <v/>
      </c>
      <c r="M284" s="129"/>
      <c r="N284" s="20"/>
      <c r="O284" s="76"/>
      <c r="P284" s="20"/>
      <c r="Q284" s="77">
        <f>IF(OR(O284="",L284="NO BET"),0,IF(AND(K284=O284),IF(AND(K284="T2"),ROUNDUP(H284*0.95,2)-1,ROUNDUP(G284*0.95,2)-1),-1))</f>
        <v>0</v>
      </c>
      <c r="R284" s="20"/>
      <c r="S284" s="78" t="str">
        <f t="shared" si="69"/>
        <v/>
      </c>
      <c r="T284" s="20"/>
      <c r="U284" s="135"/>
      <c r="V284" s="20"/>
    </row>
    <row r="285" spans="1:22" x14ac:dyDescent="0.25">
      <c r="A285" s="20"/>
      <c r="B285" s="20"/>
      <c r="C285" s="22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2"/>
      <c r="R285" s="20"/>
      <c r="S285" s="20"/>
      <c r="T285" s="20"/>
      <c r="U285" s="23"/>
      <c r="V285" s="20"/>
    </row>
    <row r="286" spans="1:22" x14ac:dyDescent="0.25">
      <c r="A286" s="97"/>
      <c r="B286" s="97"/>
      <c r="C286" s="98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8"/>
      <c r="R286" s="97"/>
      <c r="S286" s="97"/>
      <c r="T286" s="97"/>
      <c r="U286" s="99"/>
      <c r="V286" s="20"/>
    </row>
    <row r="287" spans="1:22" x14ac:dyDescent="0.25">
      <c r="A287" s="97"/>
      <c r="B287" s="97"/>
      <c r="C287" s="98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8"/>
      <c r="R287" s="97"/>
      <c r="S287" s="97"/>
      <c r="T287" s="97"/>
      <c r="U287" s="99"/>
      <c r="V287" s="20"/>
    </row>
    <row r="288" spans="1:22" x14ac:dyDescent="0.25">
      <c r="A288" s="97"/>
      <c r="B288" s="97"/>
      <c r="C288" s="98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8"/>
      <c r="R288" s="97"/>
      <c r="S288" s="97"/>
      <c r="T288" s="97"/>
      <c r="U288" s="99"/>
      <c r="V288" s="20"/>
    </row>
    <row r="289" spans="1:22" x14ac:dyDescent="0.25">
      <c r="A289" s="97"/>
      <c r="B289" s="97"/>
      <c r="C289" s="98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8"/>
      <c r="R289" s="97"/>
      <c r="S289" s="97"/>
      <c r="T289" s="97"/>
      <c r="U289" s="99"/>
      <c r="V289" s="20"/>
    </row>
    <row r="290" spans="1:22" x14ac:dyDescent="0.25">
      <c r="A290" s="97"/>
      <c r="B290" s="97"/>
      <c r="C290" s="98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8"/>
      <c r="R290" s="97"/>
      <c r="S290" s="97"/>
      <c r="T290" s="97"/>
      <c r="U290" s="99"/>
      <c r="V290" s="20"/>
    </row>
    <row r="291" spans="1:22" x14ac:dyDescent="0.25">
      <c r="A291" s="97"/>
      <c r="B291" s="97"/>
      <c r="C291" s="98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8"/>
      <c r="R291" s="97"/>
      <c r="S291" s="97"/>
      <c r="T291" s="97"/>
      <c r="U291" s="99"/>
      <c r="V291" s="20"/>
    </row>
    <row r="292" spans="1:22" x14ac:dyDescent="0.25">
      <c r="A292" s="97"/>
      <c r="B292" s="97"/>
      <c r="C292" s="98"/>
      <c r="D292" s="97"/>
      <c r="E292" s="97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8"/>
      <c r="R292" s="97"/>
      <c r="S292" s="97"/>
      <c r="T292" s="97"/>
      <c r="U292" s="99"/>
      <c r="V292" s="20"/>
    </row>
    <row r="293" spans="1:22" x14ac:dyDescent="0.25">
      <c r="A293" s="97"/>
      <c r="B293" s="97"/>
      <c r="C293" s="98"/>
      <c r="D293" s="97"/>
      <c r="E293" s="97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8"/>
      <c r="R293" s="97"/>
      <c r="S293" s="97"/>
      <c r="T293" s="97"/>
      <c r="U293" s="99"/>
      <c r="V293" s="20"/>
    </row>
    <row r="294" spans="1:22" x14ac:dyDescent="0.25">
      <c r="A294" s="97"/>
      <c r="B294" s="97"/>
      <c r="C294" s="98"/>
      <c r="D294" s="97"/>
      <c r="E294" s="97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8"/>
      <c r="R294" s="97"/>
      <c r="S294" s="97"/>
      <c r="T294" s="97"/>
      <c r="U294" s="99"/>
      <c r="V294" s="20"/>
    </row>
    <row r="295" spans="1:22" x14ac:dyDescent="0.25">
      <c r="A295" s="97"/>
      <c r="B295" s="97"/>
      <c r="C295" s="98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8"/>
      <c r="R295" s="97"/>
      <c r="S295" s="97"/>
      <c r="T295" s="97"/>
      <c r="U295" s="99"/>
      <c r="V295" s="20"/>
    </row>
    <row r="296" spans="1:22" x14ac:dyDescent="0.25">
      <c r="A296" s="97"/>
      <c r="B296" s="97"/>
      <c r="C296" s="98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8"/>
      <c r="R296" s="97"/>
      <c r="S296" s="97"/>
      <c r="T296" s="97"/>
      <c r="U296" s="99"/>
      <c r="V296" s="20"/>
    </row>
    <row r="297" spans="1:22" x14ac:dyDescent="0.25">
      <c r="A297" s="97"/>
      <c r="B297" s="97"/>
      <c r="C297" s="98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8"/>
      <c r="R297" s="97"/>
      <c r="S297" s="97"/>
      <c r="T297" s="97"/>
      <c r="U297" s="99"/>
      <c r="V297" s="20"/>
    </row>
    <row r="298" spans="1:22" x14ac:dyDescent="0.25">
      <c r="A298" s="97"/>
      <c r="B298" s="97"/>
      <c r="C298" s="98"/>
      <c r="D298" s="97"/>
      <c r="E298" s="97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8"/>
      <c r="R298" s="97"/>
      <c r="S298" s="97"/>
      <c r="T298" s="97"/>
      <c r="U298" s="99"/>
      <c r="V298" s="20"/>
    </row>
    <row r="299" spans="1:22" x14ac:dyDescent="0.25">
      <c r="A299" s="97"/>
      <c r="B299" s="97"/>
      <c r="C299" s="98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8"/>
      <c r="R299" s="97"/>
      <c r="S299" s="97"/>
      <c r="T299" s="97"/>
      <c r="U299" s="99"/>
      <c r="V299" s="20"/>
    </row>
    <row r="300" spans="1:22" x14ac:dyDescent="0.25">
      <c r="A300" s="97"/>
      <c r="B300" s="97"/>
      <c r="C300" s="98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8"/>
      <c r="R300" s="97"/>
      <c r="S300" s="97"/>
      <c r="T300" s="97"/>
      <c r="U300" s="99"/>
      <c r="V300" s="20"/>
    </row>
    <row r="301" spans="1:22" x14ac:dyDescent="0.25">
      <c r="A301" s="97"/>
      <c r="B301" s="97"/>
      <c r="C301" s="98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8"/>
      <c r="R301" s="97"/>
      <c r="S301" s="97"/>
      <c r="T301" s="97"/>
      <c r="U301" s="99"/>
      <c r="V301" s="20"/>
    </row>
    <row r="302" spans="1:22" x14ac:dyDescent="0.25">
      <c r="A302" s="97"/>
      <c r="B302" s="97"/>
      <c r="C302" s="98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8"/>
      <c r="R302" s="97"/>
      <c r="S302" s="97"/>
      <c r="T302" s="97"/>
      <c r="U302" s="99"/>
      <c r="V302" s="20"/>
    </row>
    <row r="303" spans="1:22" ht="16.5" thickBot="1" x14ac:dyDescent="0.3">
      <c r="A303" s="20"/>
      <c r="B303" s="20"/>
      <c r="C303" s="22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54"/>
      <c r="Q303" s="22"/>
      <c r="R303" s="20"/>
      <c r="S303" s="20"/>
      <c r="T303" s="54"/>
      <c r="U303" s="23"/>
      <c r="V303" s="20"/>
    </row>
    <row r="304" spans="1:22" ht="19.5" customHeight="1" thickBot="1" x14ac:dyDescent="0.3">
      <c r="A304" s="100" t="s">
        <v>6</v>
      </c>
      <c r="B304" s="124" t="s">
        <v>8</v>
      </c>
      <c r="C304" s="232" t="s">
        <v>9</v>
      </c>
      <c r="D304" s="55" t="s">
        <v>10</v>
      </c>
      <c r="E304" s="55" t="s">
        <v>11</v>
      </c>
      <c r="F304" s="55" t="s">
        <v>12</v>
      </c>
      <c r="G304" s="55" t="s">
        <v>13</v>
      </c>
      <c r="H304" s="55" t="s">
        <v>14</v>
      </c>
      <c r="I304" s="55" t="s">
        <v>15</v>
      </c>
      <c r="J304" s="55" t="s">
        <v>16</v>
      </c>
      <c r="K304" s="55" t="s">
        <v>35</v>
      </c>
      <c r="L304" s="55" t="s">
        <v>17</v>
      </c>
      <c r="M304" s="56" t="s">
        <v>18</v>
      </c>
      <c r="N304" s="57"/>
      <c r="O304" s="58" t="s">
        <v>19</v>
      </c>
      <c r="P304" s="54"/>
      <c r="Q304" s="59" t="s">
        <v>36</v>
      </c>
      <c r="R304" s="54"/>
      <c r="S304" s="58" t="s">
        <v>37</v>
      </c>
      <c r="T304" s="54"/>
      <c r="U304" s="60" t="s">
        <v>30</v>
      </c>
      <c r="V304" s="20"/>
    </row>
    <row r="305" spans="1:22" ht="15.75" customHeight="1" x14ac:dyDescent="0.25">
      <c r="A305" s="101"/>
      <c r="B305" s="125"/>
      <c r="C305" s="243"/>
      <c r="D305" s="117" t="s">
        <v>45</v>
      </c>
      <c r="E305" s="117" t="s">
        <v>80</v>
      </c>
      <c r="F305" s="61" t="str">
        <f>IF(AND(C305=""),"",1-C305)</f>
        <v/>
      </c>
      <c r="G305" s="61">
        <v>1.8</v>
      </c>
      <c r="H305" s="61">
        <v>1.9</v>
      </c>
      <c r="I305" s="61" t="str">
        <f>IF(AND(C305=""),"",G305*C305)</f>
        <v/>
      </c>
      <c r="J305" s="61" t="str">
        <f>IF(AND(C305=""),"",H305*F305)</f>
        <v/>
      </c>
      <c r="K305" s="61" t="str">
        <f t="shared" ref="K305:K314" si="70">IF(AND(I305=""),"",IF(AND(I305&gt;J305),"T1","T2"))</f>
        <v/>
      </c>
      <c r="L305" s="62" t="str">
        <f>IF(AND(K305=""),"",IF(AND((J305*0.95-1)&lt;0,(I305*0.95-1)&lt;0),"NO BET", IF(AND(K305="T1"),I305*0.95 - 1,J305*0.95 - 1)))</f>
        <v/>
      </c>
      <c r="M305" s="127">
        <f>SUMIF(L305:L314,"&gt;0")</f>
        <v>0</v>
      </c>
      <c r="N305" s="57"/>
      <c r="O305" s="63" t="s">
        <v>91</v>
      </c>
      <c r="P305" s="57"/>
      <c r="Q305" s="64">
        <f t="shared" ref="Q305:Q313" si="71">IF(OR(O305="",L305="NO BET"),0,IF(AND(K305=O305),IF(AND(K305="T2"),ROUNDUP(H305*0.95,2)-1,ROUNDUP(G305*0.95,2)-1),-1))</f>
        <v>-1</v>
      </c>
      <c r="R305" s="54"/>
      <c r="S305" s="65" t="str">
        <f>IF(AND(O305=""),"",IF(AND(C305&gt;F305),IF(AND(O305="T1"),"a","r"),IF(AND(O305="T2"),"a","r")))</f>
        <v>r</v>
      </c>
      <c r="T305" s="54"/>
      <c r="U305" s="130">
        <f>SUM(Q305:Q314)</f>
        <v>-10</v>
      </c>
      <c r="V305" s="20"/>
    </row>
    <row r="306" spans="1:22" ht="15.75" customHeight="1" x14ac:dyDescent="0.25">
      <c r="A306" s="131" t="s">
        <v>6</v>
      </c>
      <c r="B306" s="125"/>
      <c r="C306" s="244"/>
      <c r="D306" s="114" t="s">
        <v>81</v>
      </c>
      <c r="E306" s="114" t="s">
        <v>82</v>
      </c>
      <c r="F306" s="66" t="str">
        <f t="shared" ref="F306:F314" si="72">IF(AND(C306=""),"",1-C306)</f>
        <v/>
      </c>
      <c r="G306" s="66">
        <v>1.5</v>
      </c>
      <c r="H306" s="66">
        <v>2.5</v>
      </c>
      <c r="I306" s="66" t="str">
        <f t="shared" ref="I306:I314" si="73">IF(AND(C306=""),"",G306*C306)</f>
        <v/>
      </c>
      <c r="J306" s="66" t="str">
        <f t="shared" ref="J306:J314" si="74">IF(AND(C306=""),"",H306*F306)</f>
        <v/>
      </c>
      <c r="K306" s="66" t="str">
        <f t="shared" si="70"/>
        <v/>
      </c>
      <c r="L306" s="67" t="str">
        <f t="shared" ref="L306:L314" si="75">IF(AND(K306=""),"",IF(AND((J306*0.95-1)&lt;0,(I306*0.95-1)&lt;0),"NO BET", IF(AND(K306="T1"),I306*0.95 - 1,J306*0.95 - 1)))</f>
        <v/>
      </c>
      <c r="M306" s="128"/>
      <c r="N306" s="20"/>
      <c r="O306" s="68" t="s">
        <v>90</v>
      </c>
      <c r="P306" s="54"/>
      <c r="Q306" s="69">
        <f t="shared" si="71"/>
        <v>-1</v>
      </c>
      <c r="R306" s="54"/>
      <c r="S306" s="70" t="str">
        <f t="shared" ref="S306:S314" si="76">IF(AND(O306=""),"",IF(AND(C306&gt;F306),IF(AND(O306="T1"),"a","r"),IF(AND(O306="T2"),"a","r")))</f>
        <v>a</v>
      </c>
      <c r="T306" s="54"/>
      <c r="U306" s="130"/>
      <c r="V306" s="20"/>
    </row>
    <row r="307" spans="1:22" ht="15.75" customHeight="1" x14ac:dyDescent="0.25">
      <c r="A307" s="131"/>
      <c r="B307" s="125"/>
      <c r="C307" s="245"/>
      <c r="D307" s="115" t="s">
        <v>46</v>
      </c>
      <c r="E307" s="115" t="s">
        <v>79</v>
      </c>
      <c r="F307" s="13" t="str">
        <f t="shared" si="72"/>
        <v/>
      </c>
      <c r="G307" s="13">
        <v>1.4</v>
      </c>
      <c r="H307" s="13">
        <v>2.75</v>
      </c>
      <c r="I307" s="13" t="str">
        <f t="shared" si="73"/>
        <v/>
      </c>
      <c r="J307" s="13" t="str">
        <f t="shared" si="74"/>
        <v/>
      </c>
      <c r="K307" s="13" t="str">
        <f t="shared" si="70"/>
        <v/>
      </c>
      <c r="L307" s="71" t="str">
        <f t="shared" si="75"/>
        <v/>
      </c>
      <c r="M307" s="128"/>
      <c r="N307" s="57"/>
      <c r="O307" s="68" t="s">
        <v>90</v>
      </c>
      <c r="P307" s="54"/>
      <c r="Q307" s="69">
        <f t="shared" si="71"/>
        <v>-1</v>
      </c>
      <c r="R307" s="54"/>
      <c r="S307" s="70" t="str">
        <f t="shared" si="76"/>
        <v>a</v>
      </c>
      <c r="T307" s="54"/>
      <c r="U307" s="130"/>
      <c r="V307" s="20"/>
    </row>
    <row r="308" spans="1:22" ht="15.75" customHeight="1" x14ac:dyDescent="0.25">
      <c r="A308" s="131"/>
      <c r="B308" s="125"/>
      <c r="C308" s="244"/>
      <c r="D308" s="114" t="s">
        <v>83</v>
      </c>
      <c r="E308" s="114" t="s">
        <v>84</v>
      </c>
      <c r="F308" s="66" t="str">
        <f t="shared" si="72"/>
        <v/>
      </c>
      <c r="G308" s="66">
        <v>2.5</v>
      </c>
      <c r="H308" s="66">
        <v>1.5</v>
      </c>
      <c r="I308" s="66" t="str">
        <f t="shared" si="73"/>
        <v/>
      </c>
      <c r="J308" s="66" t="str">
        <f t="shared" si="74"/>
        <v/>
      </c>
      <c r="K308" s="66" t="str">
        <f t="shared" si="70"/>
        <v/>
      </c>
      <c r="L308" s="67" t="str">
        <f t="shared" si="75"/>
        <v/>
      </c>
      <c r="M308" s="128"/>
      <c r="N308" s="72"/>
      <c r="O308" s="68" t="s">
        <v>90</v>
      </c>
      <c r="P308" s="54"/>
      <c r="Q308" s="69">
        <f t="shared" si="71"/>
        <v>-1</v>
      </c>
      <c r="R308" s="54"/>
      <c r="S308" s="70" t="str">
        <f t="shared" si="76"/>
        <v>a</v>
      </c>
      <c r="T308" s="54"/>
      <c r="U308" s="130"/>
      <c r="V308" s="20"/>
    </row>
    <row r="309" spans="1:22" ht="15.75" customHeight="1" x14ac:dyDescent="0.25">
      <c r="A309" s="131"/>
      <c r="B309" s="125"/>
      <c r="C309" s="245"/>
      <c r="D309" s="115" t="s">
        <v>54</v>
      </c>
      <c r="E309" s="115" t="s">
        <v>85</v>
      </c>
      <c r="F309" s="13" t="str">
        <f t="shared" si="72"/>
        <v/>
      </c>
      <c r="G309" s="13">
        <v>1.4</v>
      </c>
      <c r="H309" s="13">
        <v>2.75</v>
      </c>
      <c r="I309" s="13" t="str">
        <f t="shared" si="73"/>
        <v/>
      </c>
      <c r="J309" s="13" t="str">
        <f t="shared" si="74"/>
        <v/>
      </c>
      <c r="K309" s="13" t="str">
        <f t="shared" si="70"/>
        <v/>
      </c>
      <c r="L309" s="73" t="str">
        <f t="shared" si="75"/>
        <v/>
      </c>
      <c r="M309" s="128"/>
      <c r="N309" s="72"/>
      <c r="O309" s="68" t="s">
        <v>91</v>
      </c>
      <c r="P309" s="54"/>
      <c r="Q309" s="69">
        <f t="shared" si="71"/>
        <v>-1</v>
      </c>
      <c r="R309" s="54"/>
      <c r="S309" s="70" t="str">
        <f t="shared" si="76"/>
        <v>r</v>
      </c>
      <c r="T309" s="54"/>
      <c r="U309" s="130"/>
      <c r="V309" s="20"/>
    </row>
    <row r="310" spans="1:22" ht="15.75" customHeight="1" x14ac:dyDescent="0.25">
      <c r="A310" s="131"/>
      <c r="B310" s="125"/>
      <c r="C310" s="244"/>
      <c r="D310" s="114" t="s">
        <v>79</v>
      </c>
      <c r="E310" s="114" t="s">
        <v>81</v>
      </c>
      <c r="F310" s="66" t="str">
        <f t="shared" si="72"/>
        <v/>
      </c>
      <c r="G310" s="66">
        <v>2.25</v>
      </c>
      <c r="H310" s="66">
        <v>1.57</v>
      </c>
      <c r="I310" s="66" t="str">
        <f t="shared" si="73"/>
        <v/>
      </c>
      <c r="J310" s="66" t="str">
        <f t="shared" si="74"/>
        <v/>
      </c>
      <c r="K310" s="66" t="str">
        <f t="shared" si="70"/>
        <v/>
      </c>
      <c r="L310" s="67" t="str">
        <f t="shared" si="75"/>
        <v/>
      </c>
      <c r="M310" s="128"/>
      <c r="N310" s="72"/>
      <c r="O310" s="68" t="s">
        <v>90</v>
      </c>
      <c r="P310" s="54"/>
      <c r="Q310" s="69">
        <f t="shared" si="71"/>
        <v>-1</v>
      </c>
      <c r="R310" s="54"/>
      <c r="S310" s="70" t="str">
        <f t="shared" si="76"/>
        <v>a</v>
      </c>
      <c r="T310" s="54"/>
      <c r="U310" s="130"/>
      <c r="V310" s="20"/>
    </row>
    <row r="311" spans="1:22" ht="18.75" thickBot="1" x14ac:dyDescent="0.3">
      <c r="A311" s="131"/>
      <c r="B311" s="125"/>
      <c r="C311" s="245"/>
      <c r="D311" s="115" t="s">
        <v>85</v>
      </c>
      <c r="E311" s="115" t="s">
        <v>46</v>
      </c>
      <c r="F311" s="13" t="str">
        <f t="shared" si="72"/>
        <v/>
      </c>
      <c r="G311" s="13">
        <v>1.66</v>
      </c>
      <c r="H311" s="13">
        <v>2.1</v>
      </c>
      <c r="I311" s="13" t="str">
        <f t="shared" si="73"/>
        <v/>
      </c>
      <c r="J311" s="13" t="str">
        <f t="shared" si="74"/>
        <v/>
      </c>
      <c r="K311" s="13" t="str">
        <f t="shared" si="70"/>
        <v/>
      </c>
      <c r="L311" s="71" t="str">
        <f t="shared" si="75"/>
        <v/>
      </c>
      <c r="M311" s="128"/>
      <c r="N311" s="20"/>
      <c r="O311" s="68" t="s">
        <v>90</v>
      </c>
      <c r="P311" s="54"/>
      <c r="Q311" s="69">
        <f t="shared" si="71"/>
        <v>-1</v>
      </c>
      <c r="R311" s="54"/>
      <c r="S311" s="70" t="str">
        <f t="shared" si="76"/>
        <v>a</v>
      </c>
      <c r="T311" s="54"/>
      <c r="U311" s="74" t="s">
        <v>32</v>
      </c>
      <c r="V311" s="20"/>
    </row>
    <row r="312" spans="1:22" ht="18" x14ac:dyDescent="0.25">
      <c r="A312" s="131"/>
      <c r="B312" s="125"/>
      <c r="C312" s="244"/>
      <c r="D312" s="114" t="s">
        <v>54</v>
      </c>
      <c r="E312" s="114" t="s">
        <v>82</v>
      </c>
      <c r="F312" s="66" t="str">
        <f t="shared" si="72"/>
        <v/>
      </c>
      <c r="G312" s="66">
        <v>4.33</v>
      </c>
      <c r="H312" s="66">
        <v>1.2</v>
      </c>
      <c r="I312" s="66" t="str">
        <f t="shared" si="73"/>
        <v/>
      </c>
      <c r="J312" s="66" t="str">
        <f t="shared" si="74"/>
        <v/>
      </c>
      <c r="K312" s="66" t="str">
        <f t="shared" si="70"/>
        <v/>
      </c>
      <c r="L312" s="82" t="str">
        <f t="shared" si="75"/>
        <v/>
      </c>
      <c r="M312" s="128"/>
      <c r="N312" s="20"/>
      <c r="O312" s="68" t="s">
        <v>90</v>
      </c>
      <c r="P312" s="54"/>
      <c r="Q312" s="69">
        <f t="shared" si="71"/>
        <v>-1</v>
      </c>
      <c r="R312" s="54"/>
      <c r="S312" s="70" t="str">
        <f t="shared" si="76"/>
        <v>a</v>
      </c>
      <c r="T312" s="54"/>
      <c r="U312" s="133">
        <f>IF(AND(NOT(M305=0)),U305/M305,0)</f>
        <v>0</v>
      </c>
      <c r="V312" s="20"/>
    </row>
    <row r="313" spans="1:22" ht="18" x14ac:dyDescent="0.25">
      <c r="A313" s="131"/>
      <c r="B313" s="125"/>
      <c r="C313" s="245"/>
      <c r="D313" s="115" t="s">
        <v>45</v>
      </c>
      <c r="E313" s="115" t="s">
        <v>83</v>
      </c>
      <c r="F313" s="13" t="str">
        <f t="shared" si="72"/>
        <v/>
      </c>
      <c r="G313" s="13">
        <v>1.28</v>
      </c>
      <c r="H313" s="13">
        <v>3.5</v>
      </c>
      <c r="I313" s="13" t="str">
        <f t="shared" si="73"/>
        <v/>
      </c>
      <c r="J313" s="13" t="str">
        <f t="shared" si="74"/>
        <v/>
      </c>
      <c r="K313" s="13" t="str">
        <f t="shared" si="70"/>
        <v/>
      </c>
      <c r="L313" s="73" t="str">
        <f t="shared" si="75"/>
        <v/>
      </c>
      <c r="M313" s="128"/>
      <c r="N313" s="20"/>
      <c r="O313" s="68" t="s">
        <v>90</v>
      </c>
      <c r="P313" s="54"/>
      <c r="Q313" s="69">
        <f t="shared" si="71"/>
        <v>-1</v>
      </c>
      <c r="R313" s="54"/>
      <c r="S313" s="70" t="str">
        <f t="shared" si="76"/>
        <v>a</v>
      </c>
      <c r="T313" s="54"/>
      <c r="U313" s="134"/>
      <c r="V313" s="20"/>
    </row>
    <row r="314" spans="1:22" ht="18.75" thickBot="1" x14ac:dyDescent="0.3">
      <c r="A314" s="132"/>
      <c r="B314" s="126"/>
      <c r="C314" s="246"/>
      <c r="D314" s="116" t="s">
        <v>80</v>
      </c>
      <c r="E314" s="116" t="s">
        <v>84</v>
      </c>
      <c r="F314" s="75" t="str">
        <f t="shared" si="72"/>
        <v/>
      </c>
      <c r="G314" s="75">
        <v>1.66</v>
      </c>
      <c r="H314" s="75">
        <v>2.1</v>
      </c>
      <c r="I314" s="75" t="str">
        <f t="shared" si="73"/>
        <v/>
      </c>
      <c r="J314" s="75" t="str">
        <f t="shared" si="74"/>
        <v/>
      </c>
      <c r="K314" s="75" t="str">
        <f t="shared" si="70"/>
        <v/>
      </c>
      <c r="L314" s="85" t="str">
        <f t="shared" si="75"/>
        <v/>
      </c>
      <c r="M314" s="129"/>
      <c r="N314" s="20"/>
      <c r="O314" s="76" t="s">
        <v>91</v>
      </c>
      <c r="P314" s="20"/>
      <c r="Q314" s="77">
        <f>IF(OR(O314="",L314="NO BET"),0,IF(AND(K314=O314),IF(AND(K314="T2"),ROUNDUP(H314*0.95,2)-1,ROUNDUP(G314*0.95,2)-1),-1))</f>
        <v>-1</v>
      </c>
      <c r="R314" s="20"/>
      <c r="S314" s="78" t="str">
        <f t="shared" si="76"/>
        <v>r</v>
      </c>
      <c r="T314" s="20"/>
      <c r="U314" s="135"/>
      <c r="V314" s="20"/>
    </row>
    <row r="315" spans="1:22" x14ac:dyDescent="0.25">
      <c r="A315" s="20"/>
      <c r="B315" s="20"/>
      <c r="C315" s="22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54"/>
      <c r="Q315" s="22"/>
      <c r="R315" s="20"/>
      <c r="S315" s="20"/>
      <c r="T315" s="54"/>
      <c r="U315" s="23"/>
      <c r="V315" s="20"/>
    </row>
    <row r="316" spans="1:22" x14ac:dyDescent="0.25">
      <c r="A316" s="20"/>
      <c r="B316" s="20"/>
      <c r="C316" s="22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2"/>
      <c r="R316" s="20"/>
      <c r="S316" s="20"/>
      <c r="T316" s="20"/>
      <c r="U316" s="23"/>
      <c r="V316" s="20"/>
    </row>
    <row r="317" spans="1:22" ht="16.5" thickBot="1" x14ac:dyDescent="0.3">
      <c r="A317" s="20"/>
      <c r="B317" s="20"/>
      <c r="C317" s="22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2"/>
      <c r="R317" s="20"/>
      <c r="S317" s="20"/>
      <c r="T317" s="20"/>
      <c r="U317" s="23"/>
      <c r="V317" s="20"/>
    </row>
    <row r="318" spans="1:22" ht="19.5" customHeight="1" thickBot="1" x14ac:dyDescent="0.3">
      <c r="A318" s="100" t="s">
        <v>6</v>
      </c>
      <c r="B318" s="124" t="s">
        <v>21</v>
      </c>
      <c r="C318" s="232" t="s">
        <v>9</v>
      </c>
      <c r="D318" s="55" t="s">
        <v>10</v>
      </c>
      <c r="E318" s="55" t="s">
        <v>11</v>
      </c>
      <c r="F318" s="55" t="s">
        <v>12</v>
      </c>
      <c r="G318" s="55" t="s">
        <v>13</v>
      </c>
      <c r="H318" s="55" t="s">
        <v>14</v>
      </c>
      <c r="I318" s="55" t="s">
        <v>15</v>
      </c>
      <c r="J318" s="55" t="s">
        <v>16</v>
      </c>
      <c r="K318" s="55" t="s">
        <v>35</v>
      </c>
      <c r="L318" s="55" t="s">
        <v>17</v>
      </c>
      <c r="M318" s="56" t="s">
        <v>18</v>
      </c>
      <c r="N318" s="57"/>
      <c r="O318" s="58" t="s">
        <v>19</v>
      </c>
      <c r="P318" s="54"/>
      <c r="Q318" s="59" t="s">
        <v>36</v>
      </c>
      <c r="R318" s="54"/>
      <c r="S318" s="58" t="s">
        <v>37</v>
      </c>
      <c r="T318" s="54"/>
      <c r="U318" s="60" t="s">
        <v>30</v>
      </c>
      <c r="V318" s="20"/>
    </row>
    <row r="319" spans="1:22" ht="15.75" customHeight="1" x14ac:dyDescent="0.25">
      <c r="A319" s="101"/>
      <c r="B319" s="125"/>
      <c r="C319" s="243"/>
      <c r="D319" s="120" t="s">
        <v>79</v>
      </c>
      <c r="E319" s="120" t="s">
        <v>45</v>
      </c>
      <c r="F319" s="61" t="str">
        <f>IF(AND(C319=""),"",1-C319)</f>
        <v/>
      </c>
      <c r="G319" s="61">
        <v>3</v>
      </c>
      <c r="H319" s="61">
        <v>1.36</v>
      </c>
      <c r="I319" s="61" t="str">
        <f>IF(AND(C319=""),"",G319*C319)</f>
        <v/>
      </c>
      <c r="J319" s="61" t="str">
        <f>IF(AND(C319=""),"",H319*F319)</f>
        <v/>
      </c>
      <c r="K319" s="61" t="str">
        <f t="shared" ref="K319:K328" si="77">IF(AND(I319=""),"",IF(AND(I319&gt;J319),"T1","T2"))</f>
        <v/>
      </c>
      <c r="L319" s="62" t="str">
        <f>IF(AND(K319=""),"",IF(AND((J319*0.95-1)&lt;0,(I319*0.95-1)&lt;0),"NO BET", IF(AND(K319="T1"),I319*0.95 - 1,J319*0.95 - 1)))</f>
        <v/>
      </c>
      <c r="M319" s="127">
        <f>SUMIF(L319:L328,"&gt;0")</f>
        <v>0</v>
      </c>
      <c r="N319" s="57"/>
      <c r="O319" s="63" t="s">
        <v>91</v>
      </c>
      <c r="P319" s="57"/>
      <c r="Q319" s="64">
        <f t="shared" ref="Q319:Q327" si="78">IF(OR(O319="",L319="NO BET"),0,IF(AND(K319=O319),IF(AND(K319="T2"),ROUNDUP(H319*0.95,2)-1,ROUNDUP(G319*0.95,2)-1),-1))</f>
        <v>-1</v>
      </c>
      <c r="R319" s="54"/>
      <c r="S319" s="65" t="str">
        <f>IF(AND(O319=""),"",IF(AND(C319&gt;F319),IF(AND(O319="T1"),"a","r"),IF(AND(O319="T2"),"a","r")))</f>
        <v>r</v>
      </c>
      <c r="T319" s="54"/>
      <c r="U319" s="130">
        <f>SUM(Q319:Q328)</f>
        <v>-10</v>
      </c>
      <c r="V319" s="20"/>
    </row>
    <row r="320" spans="1:22" ht="15.75" customHeight="1" x14ac:dyDescent="0.25">
      <c r="A320" s="131" t="s">
        <v>6</v>
      </c>
      <c r="B320" s="125"/>
      <c r="C320" s="244"/>
      <c r="D320" s="108" t="s">
        <v>85</v>
      </c>
      <c r="E320" s="108" t="s">
        <v>83</v>
      </c>
      <c r="F320" s="66" t="str">
        <f t="shared" ref="F320:F328" si="79">IF(AND(C320=""),"",1-C320)</f>
        <v/>
      </c>
      <c r="G320" s="66">
        <v>1.53</v>
      </c>
      <c r="H320" s="66">
        <v>2.37</v>
      </c>
      <c r="I320" s="66" t="str">
        <f t="shared" ref="I320:I328" si="80">IF(AND(C320=""),"",G320*C320)</f>
        <v/>
      </c>
      <c r="J320" s="66" t="str">
        <f t="shared" ref="J320:J328" si="81">IF(AND(C320=""),"",H320*F320)</f>
        <v/>
      </c>
      <c r="K320" s="66" t="str">
        <f t="shared" si="77"/>
        <v/>
      </c>
      <c r="L320" s="67" t="str">
        <f t="shared" ref="L320:L328" si="82">IF(AND(K320=""),"",IF(AND((J320*0.95-1)&lt;0,(I320*0.95-1)&lt;0),"NO BET", IF(AND(K320="T1"),I320*0.95 - 1,J320*0.95 - 1)))</f>
        <v/>
      </c>
      <c r="M320" s="128"/>
      <c r="N320" s="20"/>
      <c r="O320" s="68" t="s">
        <v>90</v>
      </c>
      <c r="P320" s="54"/>
      <c r="Q320" s="69">
        <f t="shared" si="78"/>
        <v>-1</v>
      </c>
      <c r="R320" s="54"/>
      <c r="S320" s="70" t="str">
        <f t="shared" ref="S320:S328" si="83">IF(AND(O320=""),"",IF(AND(C320&gt;F320),IF(AND(O320="T1"),"a","r"),IF(AND(O320="T2"),"a","r")))</f>
        <v>a</v>
      </c>
      <c r="T320" s="54"/>
      <c r="U320" s="130"/>
      <c r="V320" s="20"/>
    </row>
    <row r="321" spans="1:22" ht="15.75" customHeight="1" x14ac:dyDescent="0.25">
      <c r="A321" s="131"/>
      <c r="B321" s="125"/>
      <c r="C321" s="245"/>
      <c r="D321" s="102" t="s">
        <v>80</v>
      </c>
      <c r="E321" s="102" t="s">
        <v>82</v>
      </c>
      <c r="F321" s="13" t="str">
        <f t="shared" si="79"/>
        <v/>
      </c>
      <c r="G321" s="13">
        <v>1.36</v>
      </c>
      <c r="H321" s="13">
        <v>3</v>
      </c>
      <c r="I321" s="13" t="str">
        <f t="shared" si="80"/>
        <v/>
      </c>
      <c r="J321" s="13" t="str">
        <f t="shared" si="81"/>
        <v/>
      </c>
      <c r="K321" s="13" t="str">
        <f t="shared" si="77"/>
        <v/>
      </c>
      <c r="L321" s="71" t="str">
        <f t="shared" si="82"/>
        <v/>
      </c>
      <c r="M321" s="128"/>
      <c r="N321" s="57"/>
      <c r="O321" s="68" t="s">
        <v>91</v>
      </c>
      <c r="P321" s="54"/>
      <c r="Q321" s="69">
        <f t="shared" si="78"/>
        <v>-1</v>
      </c>
      <c r="R321" s="54"/>
      <c r="S321" s="70" t="str">
        <f t="shared" si="83"/>
        <v>r</v>
      </c>
      <c r="T321" s="54"/>
      <c r="U321" s="130"/>
      <c r="V321" s="20"/>
    </row>
    <row r="322" spans="1:22" ht="15.75" customHeight="1" x14ac:dyDescent="0.25">
      <c r="A322" s="131"/>
      <c r="B322" s="125"/>
      <c r="C322" s="244"/>
      <c r="D322" s="108" t="s">
        <v>54</v>
      </c>
      <c r="E322" s="108" t="s">
        <v>81</v>
      </c>
      <c r="F322" s="66" t="str">
        <f t="shared" si="79"/>
        <v/>
      </c>
      <c r="G322" s="66">
        <v>2.75</v>
      </c>
      <c r="H322" s="66">
        <v>1.4</v>
      </c>
      <c r="I322" s="66" t="str">
        <f t="shared" si="80"/>
        <v/>
      </c>
      <c r="J322" s="66" t="str">
        <f t="shared" si="81"/>
        <v/>
      </c>
      <c r="K322" s="66" t="str">
        <f t="shared" si="77"/>
        <v/>
      </c>
      <c r="L322" s="67" t="str">
        <f t="shared" si="82"/>
        <v/>
      </c>
      <c r="M322" s="128"/>
      <c r="N322" s="72"/>
      <c r="O322" s="68" t="s">
        <v>90</v>
      </c>
      <c r="P322" s="54"/>
      <c r="Q322" s="69">
        <f t="shared" si="78"/>
        <v>-1</v>
      </c>
      <c r="R322" s="54"/>
      <c r="S322" s="70" t="str">
        <f t="shared" si="83"/>
        <v>a</v>
      </c>
      <c r="T322" s="54"/>
      <c r="U322" s="130"/>
      <c r="V322" s="20"/>
    </row>
    <row r="323" spans="1:22" ht="15.75" customHeight="1" x14ac:dyDescent="0.25">
      <c r="A323" s="131"/>
      <c r="B323" s="125"/>
      <c r="C323" s="245"/>
      <c r="D323" s="102" t="s">
        <v>46</v>
      </c>
      <c r="E323" s="102" t="s">
        <v>84</v>
      </c>
      <c r="F323" s="13" t="str">
        <f t="shared" si="79"/>
        <v/>
      </c>
      <c r="G323" s="13">
        <v>1.5</v>
      </c>
      <c r="H323" s="13">
        <v>2.5</v>
      </c>
      <c r="I323" s="13" t="str">
        <f t="shared" si="80"/>
        <v/>
      </c>
      <c r="J323" s="13" t="str">
        <f t="shared" si="81"/>
        <v/>
      </c>
      <c r="K323" s="13" t="str">
        <f t="shared" si="77"/>
        <v/>
      </c>
      <c r="L323" s="73" t="str">
        <f t="shared" si="82"/>
        <v/>
      </c>
      <c r="M323" s="128"/>
      <c r="N323" s="72"/>
      <c r="O323" s="68" t="s">
        <v>90</v>
      </c>
      <c r="P323" s="54"/>
      <c r="Q323" s="69">
        <f t="shared" si="78"/>
        <v>-1</v>
      </c>
      <c r="R323" s="54"/>
      <c r="S323" s="70" t="str">
        <f t="shared" si="83"/>
        <v>a</v>
      </c>
      <c r="T323" s="54"/>
      <c r="U323" s="130"/>
      <c r="V323" s="20"/>
    </row>
    <row r="324" spans="1:22" ht="15.75" customHeight="1" x14ac:dyDescent="0.25">
      <c r="A324" s="131"/>
      <c r="B324" s="125"/>
      <c r="C324" s="244"/>
      <c r="D324" s="108" t="s">
        <v>79</v>
      </c>
      <c r="E324" s="108" t="s">
        <v>82</v>
      </c>
      <c r="F324" s="66" t="str">
        <f t="shared" si="79"/>
        <v/>
      </c>
      <c r="G324" s="66">
        <v>2</v>
      </c>
      <c r="H324" s="66">
        <v>1.72</v>
      </c>
      <c r="I324" s="66" t="str">
        <f t="shared" si="80"/>
        <v/>
      </c>
      <c r="J324" s="66" t="str">
        <f t="shared" si="81"/>
        <v/>
      </c>
      <c r="K324" s="66" t="str">
        <f t="shared" si="77"/>
        <v/>
      </c>
      <c r="L324" s="67" t="str">
        <f t="shared" si="82"/>
        <v/>
      </c>
      <c r="M324" s="128"/>
      <c r="N324" s="72"/>
      <c r="O324" s="68" t="s">
        <v>92</v>
      </c>
      <c r="P324" s="54"/>
      <c r="Q324" s="69">
        <f t="shared" si="78"/>
        <v>-1</v>
      </c>
      <c r="R324" s="54"/>
      <c r="S324" s="70" t="str">
        <f t="shared" si="83"/>
        <v>r</v>
      </c>
      <c r="T324" s="54"/>
      <c r="U324" s="130"/>
      <c r="V324" s="20"/>
    </row>
    <row r="325" spans="1:22" ht="18.75" thickBot="1" x14ac:dyDescent="0.3">
      <c r="A325" s="131"/>
      <c r="B325" s="125"/>
      <c r="C325" s="245"/>
      <c r="D325" s="102" t="s">
        <v>83</v>
      </c>
      <c r="E325" s="102" t="s">
        <v>46</v>
      </c>
      <c r="F325" s="13" t="str">
        <f t="shared" si="79"/>
        <v/>
      </c>
      <c r="G325" s="13">
        <v>1.83</v>
      </c>
      <c r="H325" s="13">
        <v>1.83</v>
      </c>
      <c r="I325" s="13" t="str">
        <f t="shared" si="80"/>
        <v/>
      </c>
      <c r="J325" s="13" t="str">
        <f t="shared" si="81"/>
        <v/>
      </c>
      <c r="K325" s="13" t="str">
        <f t="shared" si="77"/>
        <v/>
      </c>
      <c r="L325" s="71" t="str">
        <f t="shared" si="82"/>
        <v/>
      </c>
      <c r="M325" s="128"/>
      <c r="N325" s="20"/>
      <c r="O325" s="68" t="s">
        <v>92</v>
      </c>
      <c r="P325" s="54"/>
      <c r="Q325" s="69">
        <f t="shared" si="78"/>
        <v>-1</v>
      </c>
      <c r="R325" s="54"/>
      <c r="S325" s="70" t="str">
        <f t="shared" si="83"/>
        <v>r</v>
      </c>
      <c r="T325" s="54"/>
      <c r="U325" s="74" t="s">
        <v>32</v>
      </c>
      <c r="V325" s="20"/>
    </row>
    <row r="326" spans="1:22" ht="18" x14ac:dyDescent="0.25">
      <c r="A326" s="131"/>
      <c r="B326" s="125"/>
      <c r="C326" s="244"/>
      <c r="D326" s="108" t="s">
        <v>80</v>
      </c>
      <c r="E326" s="108" t="s">
        <v>81</v>
      </c>
      <c r="F326" s="66" t="str">
        <f t="shared" si="79"/>
        <v/>
      </c>
      <c r="G326" s="66">
        <v>2.5</v>
      </c>
      <c r="H326" s="66">
        <v>1.5</v>
      </c>
      <c r="I326" s="66" t="str">
        <f t="shared" si="80"/>
        <v/>
      </c>
      <c r="J326" s="66" t="str">
        <f t="shared" si="81"/>
        <v/>
      </c>
      <c r="K326" s="66" t="str">
        <f t="shared" si="77"/>
        <v/>
      </c>
      <c r="L326" s="82" t="str">
        <f t="shared" si="82"/>
        <v/>
      </c>
      <c r="M326" s="128"/>
      <c r="N326" s="20"/>
      <c r="O326" s="68" t="s">
        <v>92</v>
      </c>
      <c r="P326" s="54"/>
      <c r="Q326" s="69">
        <f t="shared" si="78"/>
        <v>-1</v>
      </c>
      <c r="R326" s="54"/>
      <c r="S326" s="70" t="str">
        <f t="shared" si="83"/>
        <v>r</v>
      </c>
      <c r="T326" s="54"/>
      <c r="U326" s="133">
        <f>IF(AND(NOT(M319=0)),U319/M319,0)</f>
        <v>0</v>
      </c>
      <c r="V326" s="20"/>
    </row>
    <row r="327" spans="1:22" ht="18" x14ac:dyDescent="0.25">
      <c r="A327" s="131"/>
      <c r="B327" s="125"/>
      <c r="C327" s="245"/>
      <c r="D327" s="115" t="s">
        <v>84</v>
      </c>
      <c r="E327" s="115" t="s">
        <v>85</v>
      </c>
      <c r="F327" s="13" t="str">
        <f t="shared" si="79"/>
        <v/>
      </c>
      <c r="G327" s="13">
        <v>2.1</v>
      </c>
      <c r="H327" s="13">
        <v>1.66</v>
      </c>
      <c r="I327" s="13" t="str">
        <f t="shared" si="80"/>
        <v/>
      </c>
      <c r="J327" s="13" t="str">
        <f t="shared" si="81"/>
        <v/>
      </c>
      <c r="K327" s="13" t="str">
        <f t="shared" si="77"/>
        <v/>
      </c>
      <c r="L327" s="73" t="str">
        <f t="shared" si="82"/>
        <v/>
      </c>
      <c r="M327" s="128"/>
      <c r="N327" s="20"/>
      <c r="O327" s="68" t="s">
        <v>93</v>
      </c>
      <c r="P327" s="54"/>
      <c r="Q327" s="69">
        <f t="shared" si="78"/>
        <v>-1</v>
      </c>
      <c r="R327" s="54"/>
      <c r="S327" s="70" t="str">
        <f t="shared" si="83"/>
        <v>a</v>
      </c>
      <c r="T327" s="54"/>
      <c r="U327" s="134"/>
      <c r="V327" s="20"/>
    </row>
    <row r="328" spans="1:22" ht="18.75" thickBot="1" x14ac:dyDescent="0.3">
      <c r="A328" s="132"/>
      <c r="B328" s="126"/>
      <c r="C328" s="246"/>
      <c r="D328" s="116" t="s">
        <v>54</v>
      </c>
      <c r="E328" s="116" t="s">
        <v>45</v>
      </c>
      <c r="F328" s="75" t="str">
        <f t="shared" si="79"/>
        <v/>
      </c>
      <c r="G328" s="75">
        <v>1.57</v>
      </c>
      <c r="H328" s="75">
        <v>2.25</v>
      </c>
      <c r="I328" s="75" t="str">
        <f t="shared" si="80"/>
        <v/>
      </c>
      <c r="J328" s="75" t="str">
        <f t="shared" si="81"/>
        <v/>
      </c>
      <c r="K328" s="75" t="str">
        <f t="shared" si="77"/>
        <v/>
      </c>
      <c r="L328" s="85" t="str">
        <f t="shared" si="82"/>
        <v/>
      </c>
      <c r="M328" s="129"/>
      <c r="N328" s="20"/>
      <c r="O328" s="76" t="s">
        <v>92</v>
      </c>
      <c r="P328" s="20"/>
      <c r="Q328" s="77">
        <f>IF(OR(O328="",L328="NO BET"),0,IF(AND(K328=O328),IF(AND(K328="T2"),ROUNDUP(H328*0.95,2)-1,ROUNDUP(G328*0.95,2)-1),-1))</f>
        <v>-1</v>
      </c>
      <c r="R328" s="20"/>
      <c r="S328" s="78" t="str">
        <f t="shared" si="83"/>
        <v>r</v>
      </c>
      <c r="T328" s="20"/>
      <c r="U328" s="135"/>
      <c r="V328" s="20"/>
    </row>
    <row r="329" spans="1:22" x14ac:dyDescent="0.25">
      <c r="A329" s="20"/>
      <c r="B329" s="20"/>
      <c r="C329" s="22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2"/>
      <c r="R329" s="20"/>
      <c r="S329" s="20"/>
      <c r="T329" s="20"/>
      <c r="U329" s="23"/>
      <c r="V329" s="20"/>
    </row>
    <row r="330" spans="1:22" x14ac:dyDescent="0.25">
      <c r="A330" s="20"/>
      <c r="B330" s="20"/>
      <c r="C330" s="22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2"/>
      <c r="R330" s="20"/>
      <c r="S330" s="20"/>
      <c r="T330" s="20"/>
      <c r="U330" s="23"/>
      <c r="V330" s="20"/>
    </row>
    <row r="331" spans="1:22" ht="16.5" thickBot="1" x14ac:dyDescent="0.3">
      <c r="A331" s="20"/>
      <c r="B331" s="20"/>
      <c r="C331" s="22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2"/>
      <c r="R331" s="20"/>
      <c r="S331" s="20"/>
      <c r="T331" s="20"/>
      <c r="U331" s="23"/>
      <c r="V331" s="20"/>
    </row>
    <row r="332" spans="1:22" ht="19.5" customHeight="1" thickBot="1" x14ac:dyDescent="0.3">
      <c r="A332" s="100" t="s">
        <v>6</v>
      </c>
      <c r="B332" s="124" t="s">
        <v>22</v>
      </c>
      <c r="C332" s="232" t="s">
        <v>9</v>
      </c>
      <c r="D332" s="55" t="s">
        <v>10</v>
      </c>
      <c r="E332" s="55" t="s">
        <v>11</v>
      </c>
      <c r="F332" s="55" t="s">
        <v>12</v>
      </c>
      <c r="G332" s="55" t="s">
        <v>13</v>
      </c>
      <c r="H332" s="55" t="s">
        <v>14</v>
      </c>
      <c r="I332" s="55" t="s">
        <v>15</v>
      </c>
      <c r="J332" s="55" t="s">
        <v>16</v>
      </c>
      <c r="K332" s="55" t="s">
        <v>35</v>
      </c>
      <c r="L332" s="55" t="s">
        <v>17</v>
      </c>
      <c r="M332" s="56" t="s">
        <v>18</v>
      </c>
      <c r="N332" s="57"/>
      <c r="O332" s="58" t="s">
        <v>19</v>
      </c>
      <c r="P332" s="54"/>
      <c r="Q332" s="59" t="s">
        <v>36</v>
      </c>
      <c r="R332" s="54"/>
      <c r="S332" s="58" t="s">
        <v>37</v>
      </c>
      <c r="T332" s="54"/>
      <c r="U332" s="60" t="s">
        <v>30</v>
      </c>
      <c r="V332" s="20"/>
    </row>
    <row r="333" spans="1:22" ht="15.75" customHeight="1" x14ac:dyDescent="0.25">
      <c r="A333" s="101"/>
      <c r="B333" s="125"/>
      <c r="C333" s="243"/>
      <c r="D333" s="120" t="s">
        <v>46</v>
      </c>
      <c r="E333" s="120" t="s">
        <v>82</v>
      </c>
      <c r="F333" s="61" t="str">
        <f>IF(AND(C333=""),"",1-C333)</f>
        <v/>
      </c>
      <c r="G333" s="61">
        <v>1.8</v>
      </c>
      <c r="H333" s="61">
        <v>1.9</v>
      </c>
      <c r="I333" s="61" t="str">
        <f>IF(AND(C333=""),"",G333*C333)</f>
        <v/>
      </c>
      <c r="J333" s="61" t="str">
        <f>IF(AND(C333=""),"",H333*F333)</f>
        <v/>
      </c>
      <c r="K333" s="61" t="str">
        <f t="shared" ref="K333:K342" si="84">IF(AND(I333=""),"",IF(AND(I333&gt;J333),"T1","T2"))</f>
        <v/>
      </c>
      <c r="L333" s="62" t="str">
        <f>IF(AND(K333=""),"",IF(AND((J333*0.95-1)&lt;0,(I333*0.95-1)&lt;0),"NO BET", IF(AND(K333="T1"),I333*0.95 - 1,J333*0.95 - 1)))</f>
        <v/>
      </c>
      <c r="M333" s="127">
        <f>SUMIF(L333:L342,"&gt;0")</f>
        <v>0</v>
      </c>
      <c r="N333" s="57"/>
      <c r="O333" s="63" t="s">
        <v>92</v>
      </c>
      <c r="P333" s="57"/>
      <c r="Q333" s="64">
        <f t="shared" ref="Q333:Q341" si="85">IF(OR(O333="",L333="NO BET"),0,IF(AND(K333=O333),IF(AND(K333="T2"),ROUNDUP(H333*0.95,2)-1,ROUNDUP(G333*0.95,2)-1),-1))</f>
        <v>-1</v>
      </c>
      <c r="R333" s="54"/>
      <c r="S333" s="65" t="str">
        <f>IF(AND(O333=""),"",IF(AND(C333&gt;F333),IF(AND(O333="T1"),"a","r"),IF(AND(O333="T2"),"a","r")))</f>
        <v>r</v>
      </c>
      <c r="T333" s="54"/>
      <c r="U333" s="130">
        <f>SUM(Q333:Q342)</f>
        <v>-10</v>
      </c>
      <c r="V333" s="20"/>
    </row>
    <row r="334" spans="1:22" ht="15.75" customHeight="1" x14ac:dyDescent="0.25">
      <c r="A334" s="131" t="s">
        <v>6</v>
      </c>
      <c r="B334" s="125"/>
      <c r="C334" s="244"/>
      <c r="D334" s="108" t="s">
        <v>79</v>
      </c>
      <c r="E334" s="108" t="s">
        <v>83</v>
      </c>
      <c r="F334" s="66" t="str">
        <f t="shared" ref="F334:F342" si="86">IF(AND(C334=""),"",1-C334)</f>
        <v/>
      </c>
      <c r="G334" s="66">
        <v>1.9</v>
      </c>
      <c r="H334" s="66">
        <v>1.8</v>
      </c>
      <c r="I334" s="66" t="str">
        <f t="shared" ref="I334:I342" si="87">IF(AND(C334=""),"",G334*C334)</f>
        <v/>
      </c>
      <c r="J334" s="66" t="str">
        <f t="shared" ref="J334:J342" si="88">IF(AND(C334=""),"",H334*F334)</f>
        <v/>
      </c>
      <c r="K334" s="66" t="str">
        <f t="shared" si="84"/>
        <v/>
      </c>
      <c r="L334" s="67" t="str">
        <f t="shared" ref="L334:L342" si="89">IF(AND(K334=""),"",IF(AND((J334*0.95-1)&lt;0,(I334*0.95-1)&lt;0),"NO BET", IF(AND(K334="T1"),I334*0.95 - 1,J334*0.95 - 1)))</f>
        <v/>
      </c>
      <c r="M334" s="128"/>
      <c r="N334" s="20"/>
      <c r="O334" s="68" t="s">
        <v>92</v>
      </c>
      <c r="P334" s="54"/>
      <c r="Q334" s="69">
        <f t="shared" si="85"/>
        <v>-1</v>
      </c>
      <c r="R334" s="54"/>
      <c r="S334" s="70" t="str">
        <f t="shared" ref="S334:S342" si="90">IF(AND(O334=""),"",IF(AND(C334&gt;F334),IF(AND(O334="T1"),"a","r"),IF(AND(O334="T2"),"a","r")))</f>
        <v>r</v>
      </c>
      <c r="T334" s="54"/>
      <c r="U334" s="130"/>
      <c r="V334" s="20"/>
    </row>
    <row r="335" spans="1:22" ht="15.75" customHeight="1" x14ac:dyDescent="0.25">
      <c r="A335" s="131"/>
      <c r="B335" s="125"/>
      <c r="C335" s="245"/>
      <c r="D335" s="102" t="s">
        <v>84</v>
      </c>
      <c r="E335" s="102" t="s">
        <v>81</v>
      </c>
      <c r="F335" s="13" t="str">
        <f t="shared" si="86"/>
        <v/>
      </c>
      <c r="G335" s="13">
        <v>2.1</v>
      </c>
      <c r="H335" s="13">
        <v>1.66</v>
      </c>
      <c r="I335" s="13" t="str">
        <f t="shared" si="87"/>
        <v/>
      </c>
      <c r="J335" s="13" t="str">
        <f t="shared" si="88"/>
        <v/>
      </c>
      <c r="K335" s="13" t="str">
        <f t="shared" si="84"/>
        <v/>
      </c>
      <c r="L335" s="71" t="str">
        <f t="shared" si="89"/>
        <v/>
      </c>
      <c r="M335" s="128"/>
      <c r="N335" s="57"/>
      <c r="O335" s="68" t="s">
        <v>93</v>
      </c>
      <c r="P335" s="54"/>
      <c r="Q335" s="69">
        <f t="shared" si="85"/>
        <v>-1</v>
      </c>
      <c r="R335" s="54"/>
      <c r="S335" s="70" t="str">
        <f t="shared" si="90"/>
        <v>a</v>
      </c>
      <c r="T335" s="54"/>
      <c r="U335" s="130"/>
      <c r="V335" s="20"/>
    </row>
    <row r="336" spans="1:22" ht="15.75" customHeight="1" x14ac:dyDescent="0.25">
      <c r="A336" s="131"/>
      <c r="B336" s="125"/>
      <c r="C336" s="244"/>
      <c r="D336" s="108" t="s">
        <v>45</v>
      </c>
      <c r="E336" s="108" t="s">
        <v>85</v>
      </c>
      <c r="F336" s="66" t="str">
        <f t="shared" si="86"/>
        <v/>
      </c>
      <c r="G336" s="66">
        <v>1.72</v>
      </c>
      <c r="H336" s="66">
        <v>2</v>
      </c>
      <c r="I336" s="66" t="str">
        <f t="shared" si="87"/>
        <v/>
      </c>
      <c r="J336" s="66" t="str">
        <f t="shared" si="88"/>
        <v/>
      </c>
      <c r="K336" s="66" t="str">
        <f t="shared" si="84"/>
        <v/>
      </c>
      <c r="L336" s="67" t="str">
        <f t="shared" si="89"/>
        <v/>
      </c>
      <c r="M336" s="128"/>
      <c r="N336" s="72"/>
      <c r="O336" s="68" t="s">
        <v>92</v>
      </c>
      <c r="P336" s="54"/>
      <c r="Q336" s="69">
        <f t="shared" si="85"/>
        <v>-1</v>
      </c>
      <c r="R336" s="54"/>
      <c r="S336" s="70" t="str">
        <f t="shared" si="90"/>
        <v>r</v>
      </c>
      <c r="T336" s="54"/>
      <c r="U336" s="130"/>
      <c r="V336" s="20"/>
    </row>
    <row r="337" spans="1:22" ht="15.75" customHeight="1" x14ac:dyDescent="0.25">
      <c r="A337" s="131"/>
      <c r="B337" s="125"/>
      <c r="C337" s="245"/>
      <c r="D337" s="102" t="s">
        <v>54</v>
      </c>
      <c r="E337" s="102" t="s">
        <v>80</v>
      </c>
      <c r="F337" s="13" t="str">
        <f t="shared" si="86"/>
        <v/>
      </c>
      <c r="G337" s="13">
        <v>1.72</v>
      </c>
      <c r="H337" s="13">
        <v>2</v>
      </c>
      <c r="I337" s="13" t="str">
        <f t="shared" si="87"/>
        <v/>
      </c>
      <c r="J337" s="13" t="str">
        <f t="shared" si="88"/>
        <v/>
      </c>
      <c r="K337" s="13" t="str">
        <f t="shared" si="84"/>
        <v/>
      </c>
      <c r="L337" s="73" t="str">
        <f t="shared" si="89"/>
        <v/>
      </c>
      <c r="M337" s="128"/>
      <c r="N337" s="72"/>
      <c r="O337" s="68" t="s">
        <v>93</v>
      </c>
      <c r="P337" s="54"/>
      <c r="Q337" s="69">
        <f t="shared" si="85"/>
        <v>-1</v>
      </c>
      <c r="R337" s="54"/>
      <c r="S337" s="70" t="str">
        <f t="shared" si="90"/>
        <v>a</v>
      </c>
      <c r="T337" s="54"/>
      <c r="U337" s="130"/>
      <c r="V337" s="20"/>
    </row>
    <row r="338" spans="1:22" ht="15.75" customHeight="1" x14ac:dyDescent="0.25">
      <c r="A338" s="131"/>
      <c r="B338" s="125"/>
      <c r="C338" s="244"/>
      <c r="D338" s="108" t="s">
        <v>46</v>
      </c>
      <c r="E338" s="108" t="s">
        <v>81</v>
      </c>
      <c r="F338" s="66" t="str">
        <f t="shared" si="86"/>
        <v/>
      </c>
      <c r="G338" s="66">
        <v>3.5</v>
      </c>
      <c r="H338" s="66">
        <v>1.28</v>
      </c>
      <c r="I338" s="66" t="str">
        <f t="shared" si="87"/>
        <v/>
      </c>
      <c r="J338" s="66" t="str">
        <f t="shared" si="88"/>
        <v/>
      </c>
      <c r="K338" s="66" t="str">
        <f t="shared" si="84"/>
        <v/>
      </c>
      <c r="L338" s="67" t="str">
        <f t="shared" si="89"/>
        <v/>
      </c>
      <c r="M338" s="128"/>
      <c r="N338" s="72"/>
      <c r="O338" s="68" t="s">
        <v>93</v>
      </c>
      <c r="P338" s="54"/>
      <c r="Q338" s="69">
        <f t="shared" si="85"/>
        <v>-1</v>
      </c>
      <c r="R338" s="54"/>
      <c r="S338" s="70" t="str">
        <f t="shared" si="90"/>
        <v>a</v>
      </c>
      <c r="T338" s="54"/>
      <c r="U338" s="130"/>
      <c r="V338" s="20"/>
    </row>
    <row r="339" spans="1:22" ht="18.75" thickBot="1" x14ac:dyDescent="0.3">
      <c r="A339" s="131"/>
      <c r="B339" s="125"/>
      <c r="C339" s="245"/>
      <c r="D339" s="102" t="s">
        <v>84</v>
      </c>
      <c r="E339" s="102" t="s">
        <v>79</v>
      </c>
      <c r="F339" s="13" t="str">
        <f t="shared" si="86"/>
        <v/>
      </c>
      <c r="G339" s="13">
        <v>1.83</v>
      </c>
      <c r="H339" s="13">
        <v>1.83</v>
      </c>
      <c r="I339" s="13" t="str">
        <f t="shared" si="87"/>
        <v/>
      </c>
      <c r="J339" s="13" t="str">
        <f t="shared" si="88"/>
        <v/>
      </c>
      <c r="K339" s="13" t="str">
        <f t="shared" si="84"/>
        <v/>
      </c>
      <c r="L339" s="71" t="str">
        <f t="shared" si="89"/>
        <v/>
      </c>
      <c r="M339" s="128"/>
      <c r="N339" s="20"/>
      <c r="O339" s="68" t="s">
        <v>92</v>
      </c>
      <c r="P339" s="54"/>
      <c r="Q339" s="69">
        <f t="shared" si="85"/>
        <v>-1</v>
      </c>
      <c r="R339" s="54"/>
      <c r="S339" s="70" t="str">
        <f t="shared" si="90"/>
        <v>r</v>
      </c>
      <c r="T339" s="54"/>
      <c r="U339" s="74" t="s">
        <v>32</v>
      </c>
      <c r="V339" s="20"/>
    </row>
    <row r="340" spans="1:22" ht="18" x14ac:dyDescent="0.25">
      <c r="A340" s="131"/>
      <c r="B340" s="125"/>
      <c r="C340" s="244"/>
      <c r="D340" s="108" t="s">
        <v>83</v>
      </c>
      <c r="E340" s="108" t="s">
        <v>54</v>
      </c>
      <c r="F340" s="66" t="str">
        <f t="shared" si="86"/>
        <v/>
      </c>
      <c r="G340" s="66">
        <v>2.5</v>
      </c>
      <c r="H340" s="66">
        <v>1.5</v>
      </c>
      <c r="I340" s="66" t="str">
        <f t="shared" si="87"/>
        <v/>
      </c>
      <c r="J340" s="66" t="str">
        <f t="shared" si="88"/>
        <v/>
      </c>
      <c r="K340" s="66" t="str">
        <f t="shared" si="84"/>
        <v/>
      </c>
      <c r="L340" s="82" t="str">
        <f t="shared" si="89"/>
        <v/>
      </c>
      <c r="M340" s="128"/>
      <c r="N340" s="20"/>
      <c r="O340" s="68" t="s">
        <v>93</v>
      </c>
      <c r="P340" s="54"/>
      <c r="Q340" s="69">
        <f t="shared" si="85"/>
        <v>-1</v>
      </c>
      <c r="R340" s="54"/>
      <c r="S340" s="70" t="str">
        <f t="shared" si="90"/>
        <v>a</v>
      </c>
      <c r="T340" s="54"/>
      <c r="U340" s="133">
        <f>IF(AND(NOT(M333=0)),U333/M333,0)</f>
        <v>0</v>
      </c>
      <c r="V340" s="20"/>
    </row>
    <row r="341" spans="1:22" ht="18" x14ac:dyDescent="0.25">
      <c r="A341" s="131"/>
      <c r="B341" s="125"/>
      <c r="C341" s="245"/>
      <c r="D341" s="102" t="s">
        <v>82</v>
      </c>
      <c r="E341" s="102" t="s">
        <v>45</v>
      </c>
      <c r="F341" s="13" t="str">
        <f t="shared" si="86"/>
        <v/>
      </c>
      <c r="G341" s="13">
        <v>3</v>
      </c>
      <c r="H341" s="13">
        <v>1.36</v>
      </c>
      <c r="I341" s="13" t="str">
        <f t="shared" si="87"/>
        <v/>
      </c>
      <c r="J341" s="13" t="str">
        <f t="shared" si="88"/>
        <v/>
      </c>
      <c r="K341" s="13" t="str">
        <f t="shared" si="84"/>
        <v/>
      </c>
      <c r="L341" s="73" t="str">
        <f t="shared" si="89"/>
        <v/>
      </c>
      <c r="M341" s="128"/>
      <c r="N341" s="20"/>
      <c r="O341" s="68" t="s">
        <v>93</v>
      </c>
      <c r="P341" s="54"/>
      <c r="Q341" s="69">
        <f t="shared" si="85"/>
        <v>-1</v>
      </c>
      <c r="R341" s="54"/>
      <c r="S341" s="70" t="str">
        <f t="shared" si="90"/>
        <v>a</v>
      </c>
      <c r="T341" s="54"/>
      <c r="U341" s="134"/>
      <c r="V341" s="20"/>
    </row>
    <row r="342" spans="1:22" ht="18.75" thickBot="1" x14ac:dyDescent="0.3">
      <c r="A342" s="132"/>
      <c r="B342" s="126"/>
      <c r="C342" s="246"/>
      <c r="D342" s="121" t="s">
        <v>80</v>
      </c>
      <c r="E342" s="121" t="s">
        <v>85</v>
      </c>
      <c r="F342" s="75" t="str">
        <f t="shared" si="86"/>
        <v/>
      </c>
      <c r="G342" s="75">
        <v>1.53</v>
      </c>
      <c r="H342" s="75">
        <v>2.37</v>
      </c>
      <c r="I342" s="75" t="str">
        <f t="shared" si="87"/>
        <v/>
      </c>
      <c r="J342" s="75" t="str">
        <f t="shared" si="88"/>
        <v/>
      </c>
      <c r="K342" s="75" t="str">
        <f t="shared" si="84"/>
        <v/>
      </c>
      <c r="L342" s="85" t="str">
        <f t="shared" si="89"/>
        <v/>
      </c>
      <c r="M342" s="129"/>
      <c r="N342" s="20"/>
      <c r="O342" s="76" t="s">
        <v>93</v>
      </c>
      <c r="P342" s="20"/>
      <c r="Q342" s="77">
        <f>IF(OR(O342="",L342="NO BET"),0,IF(AND(K342=O342),IF(AND(K342="T2"),ROUNDUP(H342*0.95,2)-1,ROUNDUP(G342*0.95,2)-1),-1))</f>
        <v>-1</v>
      </c>
      <c r="R342" s="20"/>
      <c r="S342" s="78" t="str">
        <f t="shared" si="90"/>
        <v>a</v>
      </c>
      <c r="T342" s="20"/>
      <c r="U342" s="135"/>
      <c r="V342" s="20"/>
    </row>
    <row r="343" spans="1:22" x14ac:dyDescent="0.25">
      <c r="A343" s="20"/>
      <c r="B343" s="20"/>
      <c r="C343" s="22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2"/>
      <c r="R343" s="20"/>
      <c r="S343" s="20"/>
      <c r="T343" s="20"/>
      <c r="U343" s="23"/>
      <c r="V343" s="20"/>
    </row>
    <row r="344" spans="1:22" x14ac:dyDescent="0.25">
      <c r="A344" s="20"/>
      <c r="B344" s="20"/>
      <c r="C344" s="22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2"/>
      <c r="R344" s="20"/>
      <c r="S344" s="20"/>
      <c r="T344" s="20"/>
      <c r="U344" s="23"/>
      <c r="V344" s="20"/>
    </row>
    <row r="345" spans="1:22" ht="16.5" thickBot="1" x14ac:dyDescent="0.3">
      <c r="A345" s="20"/>
      <c r="B345" s="20"/>
      <c r="C345" s="22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2"/>
      <c r="R345" s="20"/>
      <c r="S345" s="20"/>
      <c r="T345" s="20"/>
      <c r="U345" s="23"/>
      <c r="V345" s="20"/>
    </row>
    <row r="346" spans="1:22" ht="19.5" customHeight="1" thickBot="1" x14ac:dyDescent="0.3">
      <c r="A346" s="100" t="s">
        <v>6</v>
      </c>
      <c r="B346" s="124" t="s">
        <v>23</v>
      </c>
      <c r="C346" s="232" t="s">
        <v>9</v>
      </c>
      <c r="D346" s="55" t="s">
        <v>10</v>
      </c>
      <c r="E346" s="55" t="s">
        <v>11</v>
      </c>
      <c r="F346" s="55" t="s">
        <v>12</v>
      </c>
      <c r="G346" s="55" t="s">
        <v>13</v>
      </c>
      <c r="H346" s="55" t="s">
        <v>14</v>
      </c>
      <c r="I346" s="55" t="s">
        <v>15</v>
      </c>
      <c r="J346" s="55" t="s">
        <v>16</v>
      </c>
      <c r="K346" s="55" t="s">
        <v>35</v>
      </c>
      <c r="L346" s="55" t="s">
        <v>17</v>
      </c>
      <c r="M346" s="56" t="s">
        <v>18</v>
      </c>
      <c r="N346" s="57"/>
      <c r="O346" s="58" t="s">
        <v>19</v>
      </c>
      <c r="P346" s="54"/>
      <c r="Q346" s="59" t="s">
        <v>36</v>
      </c>
      <c r="R346" s="54"/>
      <c r="S346" s="58" t="s">
        <v>37</v>
      </c>
      <c r="T346" s="54"/>
      <c r="U346" s="60" t="s">
        <v>30</v>
      </c>
      <c r="V346" s="20"/>
    </row>
    <row r="347" spans="1:22" ht="15.75" customHeight="1" x14ac:dyDescent="0.25">
      <c r="A347" s="101"/>
      <c r="B347" s="125"/>
      <c r="C347" s="243"/>
      <c r="D347" s="117" t="s">
        <v>82</v>
      </c>
      <c r="E347" s="117" t="s">
        <v>85</v>
      </c>
      <c r="F347" s="61" t="str">
        <f>IF(AND(C347=""),"",1-C347)</f>
        <v/>
      </c>
      <c r="G347" s="61">
        <v>3.4</v>
      </c>
      <c r="H347" s="61">
        <v>1.3</v>
      </c>
      <c r="I347" s="61" t="str">
        <f>IF(AND(C347=""),"",G347*C347)</f>
        <v/>
      </c>
      <c r="J347" s="61" t="str">
        <f>IF(AND(C347=""),"",H347*F347)</f>
        <v/>
      </c>
      <c r="K347" s="61" t="str">
        <f t="shared" ref="K347:K356" si="91">IF(AND(I347=""),"",IF(AND(I347&gt;J347),"T1","T2"))</f>
        <v/>
      </c>
      <c r="L347" s="62" t="str">
        <f>IF(AND(K347=""),"",IF(AND((J347*0.95-1)&lt;0,(I347*0.95-1)&lt;0),"NO BET", IF(AND(K347="T1"),I347*0.95 - 1,J347*0.95 - 1)))</f>
        <v/>
      </c>
      <c r="M347" s="127">
        <f>SUMIF(L347:L356,"&gt;0")</f>
        <v>0</v>
      </c>
      <c r="N347" s="57"/>
      <c r="O347" s="63" t="s">
        <v>93</v>
      </c>
      <c r="P347" s="57"/>
      <c r="Q347" s="64">
        <f t="shared" ref="Q347:Q355" si="92">IF(OR(O347="",L347="NO BET"),0,IF(AND(K347=O347),IF(AND(K347="T2"),ROUNDUP(H347*0.95,2)-1,ROUNDUP(G347*0.95,2)-1),-1))</f>
        <v>-1</v>
      </c>
      <c r="R347" s="54"/>
      <c r="S347" s="65" t="str">
        <f>IF(AND(O347=""),"",IF(AND(C347&gt;F347),IF(AND(O347="T1"),"a","r"),IF(AND(O347="T2"),"a","r")))</f>
        <v>a</v>
      </c>
      <c r="T347" s="54"/>
      <c r="U347" s="130">
        <f>SUM(Q347:Q356)</f>
        <v>-10</v>
      </c>
      <c r="V347" s="20"/>
    </row>
    <row r="348" spans="1:22" ht="15.75" customHeight="1" x14ac:dyDescent="0.25">
      <c r="A348" s="131" t="s">
        <v>6</v>
      </c>
      <c r="B348" s="125"/>
      <c r="C348" s="244"/>
      <c r="D348" s="114" t="s">
        <v>83</v>
      </c>
      <c r="E348" s="114" t="s">
        <v>81</v>
      </c>
      <c r="F348" s="66" t="str">
        <f t="shared" ref="F348:F356" si="93">IF(AND(C348=""),"",1-C348)</f>
        <v/>
      </c>
      <c r="G348" s="66">
        <v>2.37</v>
      </c>
      <c r="H348" s="66">
        <v>1.53</v>
      </c>
      <c r="I348" s="66" t="str">
        <f t="shared" ref="I348:I356" si="94">IF(AND(C348=""),"",G348*C348)</f>
        <v/>
      </c>
      <c r="J348" s="66" t="str">
        <f t="shared" ref="J348:J356" si="95">IF(AND(C348=""),"",H348*F348)</f>
        <v/>
      </c>
      <c r="K348" s="66" t="str">
        <f t="shared" si="91"/>
        <v/>
      </c>
      <c r="L348" s="67" t="str">
        <f t="shared" ref="L348:L356" si="96">IF(AND(K348=""),"",IF(AND((J348*0.95-1)&lt;0,(I348*0.95-1)&lt;0),"NO BET", IF(AND(K348="T1"),I348*0.95 - 1,J348*0.95 - 1)))</f>
        <v/>
      </c>
      <c r="M348" s="128"/>
      <c r="N348" s="20"/>
      <c r="O348" s="68" t="s">
        <v>93</v>
      </c>
      <c r="P348" s="54"/>
      <c r="Q348" s="69">
        <f t="shared" si="92"/>
        <v>-1</v>
      </c>
      <c r="R348" s="54"/>
      <c r="S348" s="70" t="str">
        <f t="shared" ref="S348:S356" si="97">IF(AND(O348=""),"",IF(AND(C348&gt;F348),IF(AND(O348="T1"),"a","r"),IF(AND(O348="T2"),"a","r")))</f>
        <v>a</v>
      </c>
      <c r="T348" s="54"/>
      <c r="U348" s="130"/>
      <c r="V348" s="20"/>
    </row>
    <row r="349" spans="1:22" ht="15.75" customHeight="1" x14ac:dyDescent="0.25">
      <c r="A349" s="131"/>
      <c r="B349" s="125"/>
      <c r="C349" s="245"/>
      <c r="D349" s="115" t="s">
        <v>79</v>
      </c>
      <c r="E349" s="115" t="s">
        <v>80</v>
      </c>
      <c r="F349" s="13" t="str">
        <f t="shared" si="93"/>
        <v/>
      </c>
      <c r="G349" s="13">
        <v>2.25</v>
      </c>
      <c r="H349" s="13">
        <v>1.57</v>
      </c>
      <c r="I349" s="13" t="str">
        <f t="shared" si="94"/>
        <v/>
      </c>
      <c r="J349" s="13" t="str">
        <f t="shared" si="95"/>
        <v/>
      </c>
      <c r="K349" s="13" t="str">
        <f t="shared" si="91"/>
        <v/>
      </c>
      <c r="L349" s="71" t="str">
        <f t="shared" si="96"/>
        <v/>
      </c>
      <c r="M349" s="128"/>
      <c r="N349" s="57"/>
      <c r="O349" s="68" t="s">
        <v>92</v>
      </c>
      <c r="P349" s="54"/>
      <c r="Q349" s="69">
        <f t="shared" si="92"/>
        <v>-1</v>
      </c>
      <c r="R349" s="54"/>
      <c r="S349" s="70" t="str">
        <f t="shared" si="97"/>
        <v>r</v>
      </c>
      <c r="T349" s="54"/>
      <c r="U349" s="130"/>
      <c r="V349" s="20"/>
    </row>
    <row r="350" spans="1:22" ht="15.75" customHeight="1" x14ac:dyDescent="0.25">
      <c r="A350" s="131"/>
      <c r="B350" s="125"/>
      <c r="C350" s="244"/>
      <c r="D350" s="114" t="s">
        <v>54</v>
      </c>
      <c r="E350" s="114" t="s">
        <v>46</v>
      </c>
      <c r="F350" s="66" t="str">
        <f t="shared" si="93"/>
        <v/>
      </c>
      <c r="G350" s="66">
        <v>1.33</v>
      </c>
      <c r="H350" s="66">
        <v>3.25</v>
      </c>
      <c r="I350" s="66" t="str">
        <f t="shared" si="94"/>
        <v/>
      </c>
      <c r="J350" s="66" t="str">
        <f t="shared" si="95"/>
        <v/>
      </c>
      <c r="K350" s="66" t="str">
        <f t="shared" si="91"/>
        <v/>
      </c>
      <c r="L350" s="67" t="str">
        <f t="shared" si="96"/>
        <v/>
      </c>
      <c r="M350" s="128"/>
      <c r="N350" s="72"/>
      <c r="O350" s="68" t="s">
        <v>92</v>
      </c>
      <c r="P350" s="54"/>
      <c r="Q350" s="69">
        <f t="shared" si="92"/>
        <v>-1</v>
      </c>
      <c r="R350" s="54"/>
      <c r="S350" s="70" t="str">
        <f t="shared" si="97"/>
        <v>r</v>
      </c>
      <c r="T350" s="54"/>
      <c r="U350" s="130"/>
      <c r="V350" s="20"/>
    </row>
    <row r="351" spans="1:22" ht="15.75" customHeight="1" x14ac:dyDescent="0.25">
      <c r="A351" s="131"/>
      <c r="B351" s="125"/>
      <c r="C351" s="245"/>
      <c r="D351" s="115" t="s">
        <v>45</v>
      </c>
      <c r="E351" s="115" t="s">
        <v>84</v>
      </c>
      <c r="F351" s="13" t="str">
        <f t="shared" si="93"/>
        <v/>
      </c>
      <c r="G351" s="13">
        <v>1.72</v>
      </c>
      <c r="H351" s="13">
        <v>2</v>
      </c>
      <c r="I351" s="13" t="str">
        <f t="shared" si="94"/>
        <v/>
      </c>
      <c r="J351" s="13" t="str">
        <f t="shared" si="95"/>
        <v/>
      </c>
      <c r="K351" s="13" t="str">
        <f t="shared" si="91"/>
        <v/>
      </c>
      <c r="L351" s="73" t="str">
        <f t="shared" si="96"/>
        <v/>
      </c>
      <c r="M351" s="128"/>
      <c r="N351" s="72"/>
      <c r="O351" s="68" t="s">
        <v>92</v>
      </c>
      <c r="P351" s="54"/>
      <c r="Q351" s="69">
        <f t="shared" si="92"/>
        <v>-1</v>
      </c>
      <c r="R351" s="54"/>
      <c r="S351" s="70" t="str">
        <f t="shared" si="97"/>
        <v>r</v>
      </c>
      <c r="T351" s="54"/>
      <c r="U351" s="130"/>
      <c r="V351" s="20"/>
    </row>
    <row r="352" spans="1:22" ht="15.75" customHeight="1" x14ac:dyDescent="0.25">
      <c r="A352" s="131"/>
      <c r="B352" s="125"/>
      <c r="C352" s="244"/>
      <c r="D352" s="114" t="s">
        <v>81</v>
      </c>
      <c r="E352" s="114" t="s">
        <v>85</v>
      </c>
      <c r="F352" s="66" t="str">
        <f t="shared" si="93"/>
        <v/>
      </c>
      <c r="G352" s="66">
        <v>1.66</v>
      </c>
      <c r="H352" s="66">
        <v>2.1</v>
      </c>
      <c r="I352" s="66" t="str">
        <f t="shared" si="94"/>
        <v/>
      </c>
      <c r="J352" s="66" t="str">
        <f t="shared" si="95"/>
        <v/>
      </c>
      <c r="K352" s="66" t="str">
        <f t="shared" si="91"/>
        <v/>
      </c>
      <c r="L352" s="67" t="str">
        <f t="shared" si="96"/>
        <v/>
      </c>
      <c r="M352" s="128"/>
      <c r="N352" s="72"/>
      <c r="O352" s="68" t="s">
        <v>92</v>
      </c>
      <c r="P352" s="54"/>
      <c r="Q352" s="69">
        <f t="shared" si="92"/>
        <v>-1</v>
      </c>
      <c r="R352" s="54"/>
      <c r="S352" s="70" t="str">
        <f t="shared" si="97"/>
        <v>r</v>
      </c>
      <c r="T352" s="54"/>
      <c r="U352" s="130"/>
      <c r="V352" s="20"/>
    </row>
    <row r="353" spans="1:22" ht="18.75" thickBot="1" x14ac:dyDescent="0.3">
      <c r="A353" s="131"/>
      <c r="B353" s="125"/>
      <c r="C353" s="245"/>
      <c r="D353" s="115" t="s">
        <v>82</v>
      </c>
      <c r="E353" s="115" t="s">
        <v>84</v>
      </c>
      <c r="F353" s="13" t="str">
        <f t="shared" si="93"/>
        <v/>
      </c>
      <c r="G353" s="13">
        <v>3.25</v>
      </c>
      <c r="H353" s="13">
        <v>1.33</v>
      </c>
      <c r="I353" s="13" t="str">
        <f t="shared" si="94"/>
        <v/>
      </c>
      <c r="J353" s="13" t="str">
        <f t="shared" si="95"/>
        <v/>
      </c>
      <c r="K353" s="13" t="str">
        <f t="shared" si="91"/>
        <v/>
      </c>
      <c r="L353" s="71" t="str">
        <f t="shared" si="96"/>
        <v/>
      </c>
      <c r="M353" s="128"/>
      <c r="N353" s="20"/>
      <c r="O353" s="68" t="s">
        <v>93</v>
      </c>
      <c r="P353" s="54"/>
      <c r="Q353" s="69">
        <f t="shared" si="92"/>
        <v>-1</v>
      </c>
      <c r="R353" s="54"/>
      <c r="S353" s="70" t="str">
        <f t="shared" si="97"/>
        <v>a</v>
      </c>
      <c r="T353" s="54"/>
      <c r="U353" s="74" t="s">
        <v>32</v>
      </c>
      <c r="V353" s="20"/>
    </row>
    <row r="354" spans="1:22" ht="18" x14ac:dyDescent="0.25">
      <c r="A354" s="131"/>
      <c r="B354" s="125"/>
      <c r="C354" s="244"/>
      <c r="D354" s="114" t="s">
        <v>83</v>
      </c>
      <c r="E354" s="114" t="s">
        <v>80</v>
      </c>
      <c r="F354" s="66" t="str">
        <f t="shared" si="93"/>
        <v/>
      </c>
      <c r="G354" s="66">
        <v>2.5</v>
      </c>
      <c r="H354" s="66">
        <v>1.5</v>
      </c>
      <c r="I354" s="66" t="str">
        <f t="shared" si="94"/>
        <v/>
      </c>
      <c r="J354" s="66" t="str">
        <f t="shared" si="95"/>
        <v/>
      </c>
      <c r="K354" s="66" t="str">
        <f t="shared" si="91"/>
        <v/>
      </c>
      <c r="L354" s="82" t="str">
        <f t="shared" si="96"/>
        <v/>
      </c>
      <c r="M354" s="128"/>
      <c r="N354" s="20"/>
      <c r="O354" s="68" t="s">
        <v>92</v>
      </c>
      <c r="P354" s="54"/>
      <c r="Q354" s="69">
        <f t="shared" si="92"/>
        <v>-1</v>
      </c>
      <c r="R354" s="54"/>
      <c r="S354" s="70" t="str">
        <f t="shared" si="97"/>
        <v>r</v>
      </c>
      <c r="T354" s="54"/>
      <c r="U354" s="133">
        <f>IF(AND(NOT(M347=0)),U347/M347,0)</f>
        <v>0</v>
      </c>
      <c r="V354" s="20"/>
    </row>
    <row r="355" spans="1:22" ht="18" x14ac:dyDescent="0.25">
      <c r="A355" s="131"/>
      <c r="B355" s="125"/>
      <c r="C355" s="245"/>
      <c r="D355" s="115" t="s">
        <v>54</v>
      </c>
      <c r="E355" s="115" t="s">
        <v>79</v>
      </c>
      <c r="F355" s="13" t="str">
        <f t="shared" si="93"/>
        <v/>
      </c>
      <c r="G355" s="13">
        <v>1.57</v>
      </c>
      <c r="H355" s="13">
        <v>2.25</v>
      </c>
      <c r="I355" s="13" t="str">
        <f t="shared" si="94"/>
        <v/>
      </c>
      <c r="J355" s="13" t="str">
        <f t="shared" si="95"/>
        <v/>
      </c>
      <c r="K355" s="13" t="str">
        <f t="shared" si="91"/>
        <v/>
      </c>
      <c r="L355" s="73" t="str">
        <f t="shared" si="96"/>
        <v/>
      </c>
      <c r="M355" s="128"/>
      <c r="N355" s="20"/>
      <c r="O355" s="68" t="s">
        <v>92</v>
      </c>
      <c r="P355" s="54"/>
      <c r="Q355" s="69">
        <f t="shared" si="92"/>
        <v>-1</v>
      </c>
      <c r="R355" s="54"/>
      <c r="S355" s="70" t="str">
        <f t="shared" si="97"/>
        <v>r</v>
      </c>
      <c r="T355" s="54"/>
      <c r="U355" s="134"/>
      <c r="V355" s="20"/>
    </row>
    <row r="356" spans="1:22" ht="18.75" thickBot="1" x14ac:dyDescent="0.3">
      <c r="A356" s="132"/>
      <c r="B356" s="126"/>
      <c r="C356" s="246"/>
      <c r="D356" s="116" t="s">
        <v>45</v>
      </c>
      <c r="E356" s="116" t="s">
        <v>46</v>
      </c>
      <c r="F356" s="75" t="str">
        <f t="shared" si="93"/>
        <v/>
      </c>
      <c r="G356" s="75">
        <v>1.44</v>
      </c>
      <c r="H356" s="75">
        <v>2.62</v>
      </c>
      <c r="I356" s="75" t="str">
        <f t="shared" si="94"/>
        <v/>
      </c>
      <c r="J356" s="75" t="str">
        <f t="shared" si="95"/>
        <v/>
      </c>
      <c r="K356" s="75" t="str">
        <f t="shared" si="91"/>
        <v/>
      </c>
      <c r="L356" s="85" t="str">
        <f t="shared" si="96"/>
        <v/>
      </c>
      <c r="M356" s="129"/>
      <c r="N356" s="20"/>
      <c r="O356" s="76" t="s">
        <v>92</v>
      </c>
      <c r="P356" s="20"/>
      <c r="Q356" s="77">
        <f>IF(OR(O356="",L356="NO BET"),0,IF(AND(K356=O356),IF(AND(K356="T2"),ROUNDUP(H356*0.95,2)-1,ROUNDUP(G356*0.95,2)-1),-1))</f>
        <v>-1</v>
      </c>
      <c r="R356" s="20"/>
      <c r="S356" s="78" t="str">
        <f t="shared" si="97"/>
        <v>r</v>
      </c>
      <c r="T356" s="20"/>
      <c r="U356" s="135"/>
      <c r="V356" s="20"/>
    </row>
    <row r="357" spans="1:22" x14ac:dyDescent="0.25">
      <c r="A357" s="20"/>
      <c r="B357" s="20"/>
      <c r="C357" s="22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2"/>
      <c r="R357" s="20"/>
      <c r="S357" s="20"/>
      <c r="T357" s="20"/>
      <c r="U357" s="23"/>
      <c r="V357" s="20"/>
    </row>
    <row r="358" spans="1:22" x14ac:dyDescent="0.25">
      <c r="A358" s="20"/>
      <c r="B358" s="20"/>
      <c r="C358" s="22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2"/>
      <c r="R358" s="20"/>
      <c r="S358" s="20"/>
      <c r="T358" s="20"/>
      <c r="U358" s="23"/>
      <c r="V358" s="20"/>
    </row>
    <row r="359" spans="1:22" ht="16.5" thickBot="1" x14ac:dyDescent="0.3">
      <c r="A359" s="20"/>
      <c r="B359" s="20"/>
      <c r="C359" s="22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2"/>
      <c r="R359" s="20"/>
      <c r="S359" s="20"/>
      <c r="T359" s="20"/>
      <c r="U359" s="23"/>
      <c r="V359" s="20"/>
    </row>
    <row r="360" spans="1:22" ht="19.5" customHeight="1" thickBot="1" x14ac:dyDescent="0.3">
      <c r="A360" s="100" t="s">
        <v>6</v>
      </c>
      <c r="B360" s="124" t="s">
        <v>24</v>
      </c>
      <c r="C360" s="232" t="s">
        <v>9</v>
      </c>
      <c r="D360" s="55" t="s">
        <v>10</v>
      </c>
      <c r="E360" s="55" t="s">
        <v>11</v>
      </c>
      <c r="F360" s="55" t="s">
        <v>12</v>
      </c>
      <c r="G360" s="55" t="s">
        <v>13</v>
      </c>
      <c r="H360" s="55" t="s">
        <v>14</v>
      </c>
      <c r="I360" s="55" t="s">
        <v>15</v>
      </c>
      <c r="J360" s="55" t="s">
        <v>16</v>
      </c>
      <c r="K360" s="55" t="s">
        <v>35</v>
      </c>
      <c r="L360" s="55" t="s">
        <v>17</v>
      </c>
      <c r="M360" s="56" t="s">
        <v>18</v>
      </c>
      <c r="N360" s="57"/>
      <c r="O360" s="58" t="s">
        <v>19</v>
      </c>
      <c r="P360" s="54"/>
      <c r="Q360" s="59" t="s">
        <v>36</v>
      </c>
      <c r="R360" s="54"/>
      <c r="S360" s="58" t="s">
        <v>37</v>
      </c>
      <c r="T360" s="54"/>
      <c r="U360" s="60" t="s">
        <v>30</v>
      </c>
      <c r="V360" s="20"/>
    </row>
    <row r="361" spans="1:22" ht="15.75" customHeight="1" x14ac:dyDescent="0.25">
      <c r="A361" s="101"/>
      <c r="B361" s="125"/>
      <c r="C361" s="243"/>
      <c r="D361" s="117" t="s">
        <v>85</v>
      </c>
      <c r="E361" s="117" t="s">
        <v>79</v>
      </c>
      <c r="F361" s="61" t="str">
        <f t="shared" ref="F361:F370" si="98">IF(AND(C361=""),"",1-C361)</f>
        <v/>
      </c>
      <c r="G361" s="61">
        <v>1.66</v>
      </c>
      <c r="H361" s="61">
        <v>2.1</v>
      </c>
      <c r="I361" s="61" t="str">
        <f t="shared" ref="I361:I370" si="99">IF(AND(C361=""),"",G361*C361)</f>
        <v/>
      </c>
      <c r="J361" s="61" t="str">
        <f t="shared" ref="J361:J370" si="100">IF(AND(C361=""),"",H361*F361)</f>
        <v/>
      </c>
      <c r="K361" s="61" t="str">
        <f t="shared" ref="K361:K366" si="101">IF(AND(I361=""),"",IF(AND(I361&gt;J361),"T1","T2"))</f>
        <v/>
      </c>
      <c r="L361" s="62" t="str">
        <f t="shared" ref="L361:L370" si="102">IF(AND(K361=""),"",IF(AND((J361*0.95-1)&lt;0,(I361*0.95-1)&lt;0),"NO BET", IF(AND(K361="T1"),I361*0.95 - 1,J361*0.95 - 1)))</f>
        <v/>
      </c>
      <c r="M361" s="127">
        <f>SUMIF(L361:L370,"&gt;0")</f>
        <v>0</v>
      </c>
      <c r="N361" s="57"/>
      <c r="O361" s="63" t="s">
        <v>92</v>
      </c>
      <c r="P361" s="57"/>
      <c r="Q361" s="64">
        <f t="shared" ref="Q361:Q369" si="103">IF(OR(O361="",L361="NO BET"),0,IF(AND(K361=O361),IF(AND(K361="T2"),ROUNDUP(H361*0.95,2)-1,ROUNDUP(G361*0.95,2)-1),-1))</f>
        <v>-1</v>
      </c>
      <c r="R361" s="54"/>
      <c r="S361" s="65" t="str">
        <f>IF(AND(O361=""),"",IF(AND(C361&gt;F361),IF(AND(O361="T1"),"a","r"),IF(AND(O361="T2"),"a","r")))</f>
        <v>r</v>
      </c>
      <c r="T361" s="54"/>
      <c r="U361" s="130">
        <f>SUM(Q361:Q370)</f>
        <v>-10</v>
      </c>
      <c r="V361" s="20"/>
    </row>
    <row r="362" spans="1:22" ht="15.75" customHeight="1" x14ac:dyDescent="0.25">
      <c r="A362" s="131" t="s">
        <v>6</v>
      </c>
      <c r="B362" s="125"/>
      <c r="C362" s="244"/>
      <c r="D362" s="114" t="s">
        <v>83</v>
      </c>
      <c r="E362" s="114" t="s">
        <v>82</v>
      </c>
      <c r="F362" s="66" t="str">
        <f t="shared" si="98"/>
        <v/>
      </c>
      <c r="G362" s="66">
        <v>1.28</v>
      </c>
      <c r="H362" s="66">
        <v>3.5</v>
      </c>
      <c r="I362" s="66" t="str">
        <f t="shared" si="99"/>
        <v/>
      </c>
      <c r="J362" s="66" t="str">
        <f t="shared" si="100"/>
        <v/>
      </c>
      <c r="K362" s="66" t="str">
        <f t="shared" si="101"/>
        <v/>
      </c>
      <c r="L362" s="67" t="str">
        <f t="shared" si="102"/>
        <v/>
      </c>
      <c r="M362" s="128"/>
      <c r="N362" s="20"/>
      <c r="O362" s="68" t="s">
        <v>93</v>
      </c>
      <c r="P362" s="54"/>
      <c r="Q362" s="69">
        <f t="shared" si="103"/>
        <v>-1</v>
      </c>
      <c r="R362" s="54"/>
      <c r="S362" s="70" t="str">
        <f t="shared" ref="S362:S370" si="104">IF(AND(O362=""),"",IF(AND(C362&gt;F362),IF(AND(O362="T1"),"a","r"),IF(AND(O362="T2"),"a","r")))</f>
        <v>a</v>
      </c>
      <c r="T362" s="54"/>
      <c r="U362" s="130"/>
      <c r="V362" s="20"/>
    </row>
    <row r="363" spans="1:22" ht="15.75" customHeight="1" x14ac:dyDescent="0.25">
      <c r="A363" s="131"/>
      <c r="B363" s="125"/>
      <c r="C363" s="245"/>
      <c r="D363" s="115" t="s">
        <v>81</v>
      </c>
      <c r="E363" s="115" t="s">
        <v>45</v>
      </c>
      <c r="F363" s="13" t="str">
        <f t="shared" si="98"/>
        <v/>
      </c>
      <c r="G363" s="13">
        <v>1.83</v>
      </c>
      <c r="H363" s="13">
        <v>1.83</v>
      </c>
      <c r="I363" s="13" t="str">
        <f t="shared" si="99"/>
        <v/>
      </c>
      <c r="J363" s="13" t="str">
        <f t="shared" si="100"/>
        <v/>
      </c>
      <c r="K363" s="13" t="str">
        <f t="shared" si="101"/>
        <v/>
      </c>
      <c r="L363" s="71" t="str">
        <f t="shared" si="102"/>
        <v/>
      </c>
      <c r="M363" s="128"/>
      <c r="N363" s="57"/>
      <c r="O363" s="68" t="s">
        <v>93</v>
      </c>
      <c r="P363" s="54"/>
      <c r="Q363" s="69">
        <f t="shared" si="103"/>
        <v>-1</v>
      </c>
      <c r="R363" s="54"/>
      <c r="S363" s="70" t="str">
        <f t="shared" si="104"/>
        <v>a</v>
      </c>
      <c r="T363" s="54"/>
      <c r="U363" s="130"/>
      <c r="V363" s="20"/>
    </row>
    <row r="364" spans="1:22" ht="15.75" customHeight="1" x14ac:dyDescent="0.25">
      <c r="A364" s="131"/>
      <c r="B364" s="125"/>
      <c r="C364" s="244"/>
      <c r="D364" s="114" t="s">
        <v>80</v>
      </c>
      <c r="E364" s="114" t="s">
        <v>46</v>
      </c>
      <c r="F364" s="66" t="str">
        <f t="shared" si="98"/>
        <v/>
      </c>
      <c r="G364" s="66">
        <v>1.28</v>
      </c>
      <c r="H364" s="66">
        <v>3.5</v>
      </c>
      <c r="I364" s="66" t="str">
        <f t="shared" si="99"/>
        <v/>
      </c>
      <c r="J364" s="66" t="str">
        <f t="shared" si="100"/>
        <v/>
      </c>
      <c r="K364" s="66" t="str">
        <f t="shared" si="101"/>
        <v/>
      </c>
      <c r="L364" s="67" t="str">
        <f t="shared" si="102"/>
        <v/>
      </c>
      <c r="M364" s="128"/>
      <c r="N364" s="72"/>
      <c r="O364" s="68" t="s">
        <v>92</v>
      </c>
      <c r="P364" s="54"/>
      <c r="Q364" s="69">
        <f t="shared" si="103"/>
        <v>-1</v>
      </c>
      <c r="R364" s="54"/>
      <c r="S364" s="70" t="str">
        <f t="shared" si="104"/>
        <v>r</v>
      </c>
      <c r="T364" s="54"/>
      <c r="U364" s="130"/>
      <c r="V364" s="20"/>
    </row>
    <row r="365" spans="1:22" ht="15.75" customHeight="1" x14ac:dyDescent="0.25">
      <c r="A365" s="131"/>
      <c r="B365" s="125"/>
      <c r="C365" s="245"/>
      <c r="D365" s="115" t="s">
        <v>84</v>
      </c>
      <c r="E365" s="115" t="s">
        <v>54</v>
      </c>
      <c r="F365" s="13" t="str">
        <f t="shared" si="98"/>
        <v/>
      </c>
      <c r="G365" s="13">
        <v>2.25</v>
      </c>
      <c r="H365" s="13">
        <v>1.57</v>
      </c>
      <c r="I365" s="13" t="str">
        <f t="shared" si="99"/>
        <v/>
      </c>
      <c r="J365" s="13" t="str">
        <f t="shared" si="100"/>
        <v/>
      </c>
      <c r="K365" s="13" t="str">
        <f t="shared" si="101"/>
        <v/>
      </c>
      <c r="L365" s="73" t="str">
        <f t="shared" si="102"/>
        <v/>
      </c>
      <c r="M365" s="128"/>
      <c r="N365" s="72"/>
      <c r="O365" s="68" t="s">
        <v>93</v>
      </c>
      <c r="P365" s="54"/>
      <c r="Q365" s="69">
        <f t="shared" si="103"/>
        <v>-1</v>
      </c>
      <c r="R365" s="54"/>
      <c r="S365" s="70" t="str">
        <f t="shared" si="104"/>
        <v>a</v>
      </c>
      <c r="T365" s="54"/>
      <c r="U365" s="130"/>
      <c r="V365" s="20"/>
    </row>
    <row r="366" spans="1:22" ht="15.75" customHeight="1" x14ac:dyDescent="0.25">
      <c r="A366" s="131"/>
      <c r="B366" s="125"/>
      <c r="C366" s="244"/>
      <c r="D366" s="114" t="s">
        <v>82</v>
      </c>
      <c r="E366" s="114" t="s">
        <v>81</v>
      </c>
      <c r="F366" s="66" t="str">
        <f t="shared" si="98"/>
        <v/>
      </c>
      <c r="G366" s="66">
        <v>4.33</v>
      </c>
      <c r="H366" s="66">
        <v>1.2</v>
      </c>
      <c r="I366" s="66" t="str">
        <f t="shared" si="99"/>
        <v/>
      </c>
      <c r="J366" s="66" t="str">
        <f t="shared" si="100"/>
        <v/>
      </c>
      <c r="K366" s="66" t="str">
        <f t="shared" si="101"/>
        <v/>
      </c>
      <c r="L366" s="67" t="str">
        <f t="shared" si="102"/>
        <v/>
      </c>
      <c r="M366" s="128"/>
      <c r="N366" s="72"/>
      <c r="O366" s="68" t="s">
        <v>92</v>
      </c>
      <c r="P366" s="54"/>
      <c r="Q366" s="69">
        <f t="shared" si="103"/>
        <v>-1</v>
      </c>
      <c r="R366" s="54"/>
      <c r="S366" s="70" t="str">
        <f t="shared" si="104"/>
        <v>r</v>
      </c>
      <c r="T366" s="54"/>
      <c r="U366" s="130"/>
      <c r="V366" s="20"/>
    </row>
    <row r="367" spans="1:22" ht="18.75" thickBot="1" x14ac:dyDescent="0.3">
      <c r="A367" s="131"/>
      <c r="B367" s="125"/>
      <c r="C367" s="245"/>
      <c r="D367" s="115" t="s">
        <v>79</v>
      </c>
      <c r="E367" s="115" t="s">
        <v>46</v>
      </c>
      <c r="F367" s="13" t="str">
        <f t="shared" si="98"/>
        <v/>
      </c>
      <c r="G367" s="13">
        <v>1.4</v>
      </c>
      <c r="H367" s="13">
        <v>2.75</v>
      </c>
      <c r="I367" s="13" t="str">
        <f t="shared" si="99"/>
        <v/>
      </c>
      <c r="J367" s="13" t="str">
        <f t="shared" si="100"/>
        <v/>
      </c>
      <c r="K367" s="13" t="str">
        <f>IF(AND(I367=""),"",IF(AND(I367&gt;J367),"T1","T2"))</f>
        <v/>
      </c>
      <c r="L367" s="71" t="str">
        <f t="shared" si="102"/>
        <v/>
      </c>
      <c r="M367" s="128"/>
      <c r="N367" s="20"/>
      <c r="O367" s="68" t="s">
        <v>93</v>
      </c>
      <c r="P367" s="54"/>
      <c r="Q367" s="69">
        <f t="shared" si="103"/>
        <v>-1</v>
      </c>
      <c r="R367" s="54"/>
      <c r="S367" s="70" t="str">
        <f t="shared" si="104"/>
        <v>a</v>
      </c>
      <c r="T367" s="54"/>
      <c r="U367" s="74" t="s">
        <v>32</v>
      </c>
      <c r="V367" s="20"/>
    </row>
    <row r="368" spans="1:22" ht="18" x14ac:dyDescent="0.25">
      <c r="A368" s="131"/>
      <c r="B368" s="125"/>
      <c r="C368" s="244"/>
      <c r="D368" s="114" t="s">
        <v>84</v>
      </c>
      <c r="E368" s="114" t="s">
        <v>83</v>
      </c>
      <c r="F368" s="66" t="str">
        <f t="shared" si="98"/>
        <v/>
      </c>
      <c r="G368" s="66">
        <v>1.72</v>
      </c>
      <c r="H368" s="66">
        <v>2</v>
      </c>
      <c r="I368" s="66" t="str">
        <f t="shared" si="99"/>
        <v/>
      </c>
      <c r="J368" s="66" t="str">
        <f t="shared" si="100"/>
        <v/>
      </c>
      <c r="K368" s="66" t="str">
        <f>IF(AND(I368=""),"",IF(AND(I368&gt;J368),"T1","T2"))</f>
        <v/>
      </c>
      <c r="L368" s="82" t="str">
        <f t="shared" si="102"/>
        <v/>
      </c>
      <c r="M368" s="128"/>
      <c r="N368" s="20"/>
      <c r="O368" s="68" t="s">
        <v>93</v>
      </c>
      <c r="P368" s="54"/>
      <c r="Q368" s="69">
        <f t="shared" si="103"/>
        <v>-1</v>
      </c>
      <c r="R368" s="54"/>
      <c r="S368" s="70" t="str">
        <f t="shared" si="104"/>
        <v>a</v>
      </c>
      <c r="T368" s="54"/>
      <c r="U368" s="133">
        <f>IF(AND(NOT(M361=0)),U361/M361,0)</f>
        <v>0</v>
      </c>
      <c r="V368" s="20"/>
    </row>
    <row r="369" spans="1:22" ht="18" x14ac:dyDescent="0.25">
      <c r="A369" s="131"/>
      <c r="B369" s="125"/>
      <c r="C369" s="245"/>
      <c r="D369" s="115" t="s">
        <v>85</v>
      </c>
      <c r="E369" s="115" t="s">
        <v>54</v>
      </c>
      <c r="F369" s="13" t="str">
        <f t="shared" si="98"/>
        <v/>
      </c>
      <c r="G369" s="13">
        <v>2.25</v>
      </c>
      <c r="H369" s="13">
        <v>1.57</v>
      </c>
      <c r="I369" s="13" t="str">
        <f t="shared" si="99"/>
        <v/>
      </c>
      <c r="J369" s="13" t="str">
        <f t="shared" si="100"/>
        <v/>
      </c>
      <c r="K369" s="13" t="str">
        <f>IF(AND(I369=""),"",IF(AND(I369&gt;J369),"T1","T2"))</f>
        <v/>
      </c>
      <c r="L369" s="73" t="str">
        <f t="shared" si="102"/>
        <v/>
      </c>
      <c r="M369" s="128"/>
      <c r="N369" s="20"/>
      <c r="O369" s="68" t="s">
        <v>93</v>
      </c>
      <c r="P369" s="54"/>
      <c r="Q369" s="69">
        <f t="shared" si="103"/>
        <v>-1</v>
      </c>
      <c r="R369" s="54"/>
      <c r="S369" s="70" t="str">
        <f t="shared" si="104"/>
        <v>a</v>
      </c>
      <c r="T369" s="54"/>
      <c r="U369" s="134"/>
      <c r="V369" s="20"/>
    </row>
    <row r="370" spans="1:22" ht="18.75" thickBot="1" x14ac:dyDescent="0.3">
      <c r="A370" s="132"/>
      <c r="B370" s="126"/>
      <c r="C370" s="246"/>
      <c r="D370" s="116" t="s">
        <v>80</v>
      </c>
      <c r="E370" s="116" t="s">
        <v>45</v>
      </c>
      <c r="F370" s="75" t="str">
        <f t="shared" si="98"/>
        <v/>
      </c>
      <c r="G370" s="75">
        <v>1.9</v>
      </c>
      <c r="H370" s="75">
        <v>1.8</v>
      </c>
      <c r="I370" s="75" t="str">
        <f t="shared" si="99"/>
        <v/>
      </c>
      <c r="J370" s="75" t="str">
        <f t="shared" si="100"/>
        <v/>
      </c>
      <c r="K370" s="75" t="str">
        <f>IF(AND(I370=""),"",IF(AND(I370&gt;J370),"T1","T2"))</f>
        <v/>
      </c>
      <c r="L370" s="85" t="str">
        <f t="shared" si="102"/>
        <v/>
      </c>
      <c r="M370" s="129"/>
      <c r="N370" s="20"/>
      <c r="O370" s="76" t="s">
        <v>93</v>
      </c>
      <c r="P370" s="20"/>
      <c r="Q370" s="77">
        <f>IF(OR(O370="",L370="NO BET"),0,IF(AND(K370=O370),IF(AND(K370="T2"),ROUNDUP(H370*0.95,2)-1,ROUNDUP(G370*0.95,2)-1),-1))</f>
        <v>-1</v>
      </c>
      <c r="R370" s="20"/>
      <c r="S370" s="78" t="str">
        <f t="shared" si="104"/>
        <v>a</v>
      </c>
      <c r="T370" s="20"/>
      <c r="U370" s="135"/>
      <c r="V370" s="20"/>
    </row>
    <row r="371" spans="1:22" x14ac:dyDescent="0.25">
      <c r="A371" s="20"/>
      <c r="B371" s="20"/>
      <c r="C371" s="22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2"/>
      <c r="R371" s="20"/>
      <c r="S371" s="20"/>
      <c r="T371" s="20"/>
      <c r="U371" s="23"/>
      <c r="V371" s="20"/>
    </row>
    <row r="372" spans="1:22" x14ac:dyDescent="0.25">
      <c r="A372" s="20"/>
      <c r="B372" s="20"/>
      <c r="C372" s="22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2"/>
      <c r="R372" s="20"/>
      <c r="S372" s="20"/>
      <c r="T372" s="20"/>
      <c r="U372" s="23"/>
      <c r="V372" s="20"/>
    </row>
    <row r="373" spans="1:22" ht="16.5" thickBot="1" x14ac:dyDescent="0.3">
      <c r="A373" s="20"/>
      <c r="B373" s="20"/>
      <c r="C373" s="22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2"/>
      <c r="R373" s="20"/>
      <c r="S373" s="20"/>
      <c r="T373" s="20"/>
      <c r="U373" s="23"/>
      <c r="V373" s="20"/>
    </row>
    <row r="374" spans="1:22" ht="19.5" customHeight="1" thickBot="1" x14ac:dyDescent="0.3">
      <c r="A374" s="100" t="s">
        <v>6</v>
      </c>
      <c r="B374" s="124" t="s">
        <v>25</v>
      </c>
      <c r="C374" s="232" t="s">
        <v>9</v>
      </c>
      <c r="D374" s="55" t="s">
        <v>10</v>
      </c>
      <c r="E374" s="55" t="s">
        <v>11</v>
      </c>
      <c r="F374" s="55" t="s">
        <v>12</v>
      </c>
      <c r="G374" s="55" t="s">
        <v>13</v>
      </c>
      <c r="H374" s="55" t="s">
        <v>14</v>
      </c>
      <c r="I374" s="55" t="s">
        <v>15</v>
      </c>
      <c r="J374" s="55" t="s">
        <v>16</v>
      </c>
      <c r="K374" s="55" t="s">
        <v>35</v>
      </c>
      <c r="L374" s="55" t="s">
        <v>17</v>
      </c>
      <c r="M374" s="56" t="s">
        <v>18</v>
      </c>
      <c r="N374" s="57"/>
      <c r="O374" s="58" t="s">
        <v>19</v>
      </c>
      <c r="P374" s="54"/>
      <c r="Q374" s="59" t="s">
        <v>36</v>
      </c>
      <c r="R374" s="54"/>
      <c r="S374" s="58" t="s">
        <v>37</v>
      </c>
      <c r="T374" s="54"/>
      <c r="U374" s="60" t="s">
        <v>30</v>
      </c>
      <c r="V374" s="20"/>
    </row>
    <row r="375" spans="1:22" ht="15.75" customHeight="1" x14ac:dyDescent="0.25">
      <c r="A375" s="101"/>
      <c r="B375" s="125"/>
      <c r="C375" s="243"/>
      <c r="D375" s="117" t="s">
        <v>46</v>
      </c>
      <c r="E375" s="117" t="s">
        <v>85</v>
      </c>
      <c r="F375" s="61" t="str">
        <f>IF(AND(C375=""),"",1-C375)</f>
        <v/>
      </c>
      <c r="G375" s="61">
        <v>1.66</v>
      </c>
      <c r="H375" s="61">
        <v>2.1</v>
      </c>
      <c r="I375" s="61" t="str">
        <f>IF(AND(C375=""),"",G375*C375)</f>
        <v/>
      </c>
      <c r="J375" s="61" t="str">
        <f>IF(AND(C375=""),"",H375*F375)</f>
        <v/>
      </c>
      <c r="K375" s="61" t="str">
        <f t="shared" ref="K375:K384" si="105">IF(AND(I375=""),"",IF(AND(I375&gt;J375),"T1","T2"))</f>
        <v/>
      </c>
      <c r="L375" s="62" t="str">
        <f>IF(AND(K375=""),"",IF(AND((J375*0.95-1)&lt;0,(I375*0.95-1)&lt;0),"NO BET", IF(AND(K375="T1"),I375*0.95 - 1,J375*0.95 - 1)))</f>
        <v/>
      </c>
      <c r="M375" s="127">
        <f>SUMIF(L375:L384,"&gt;0")</f>
        <v>0</v>
      </c>
      <c r="N375" s="57"/>
      <c r="O375" s="63" t="s">
        <v>92</v>
      </c>
      <c r="P375" s="57"/>
      <c r="Q375" s="64">
        <f t="shared" ref="Q375:Q383" si="106">IF(OR(O375="",L375="NO BET"),0,IF(AND(K375=O375),IF(AND(K375="T2"),ROUNDUP(H375*0.95,2)-1,ROUNDUP(G375*0.95,2)-1),-1))</f>
        <v>-1</v>
      </c>
      <c r="R375" s="54"/>
      <c r="S375" s="65" t="str">
        <f>IF(AND(O375=""),"",IF(AND(C375&gt;F375),IF(AND(O375="T1"),"a","r"),IF(AND(O375="T2"),"a","r")))</f>
        <v>r</v>
      </c>
      <c r="T375" s="54"/>
      <c r="U375" s="130">
        <f>SUM(Q375:Q384)</f>
        <v>-10</v>
      </c>
      <c r="V375" s="20"/>
    </row>
    <row r="376" spans="1:22" ht="15.75" customHeight="1" x14ac:dyDescent="0.25">
      <c r="A376" s="131" t="s">
        <v>6</v>
      </c>
      <c r="B376" s="125"/>
      <c r="C376" s="244"/>
      <c r="D376" s="114" t="s">
        <v>83</v>
      </c>
      <c r="E376" s="114" t="s">
        <v>45</v>
      </c>
      <c r="F376" s="66" t="str">
        <f t="shared" ref="F376:F384" si="107">IF(AND(C376=""),"",1-C376)</f>
        <v/>
      </c>
      <c r="G376" s="66">
        <v>2.75</v>
      </c>
      <c r="H376" s="66">
        <v>1.4</v>
      </c>
      <c r="I376" s="66" t="str">
        <f t="shared" ref="I376:I384" si="108">IF(AND(C376=""),"",G376*C376)</f>
        <v/>
      </c>
      <c r="J376" s="66" t="str">
        <f t="shared" ref="J376:J384" si="109">IF(AND(C376=""),"",H376*F376)</f>
        <v/>
      </c>
      <c r="K376" s="66" t="str">
        <f t="shared" si="105"/>
        <v/>
      </c>
      <c r="L376" s="67" t="str">
        <f t="shared" ref="L376:L384" si="110">IF(AND(K376=""),"",IF(AND((J376*0.95-1)&lt;0,(I376*0.95-1)&lt;0),"NO BET", IF(AND(K376="T1"),I376*0.95 - 1,J376*0.95 - 1)))</f>
        <v/>
      </c>
      <c r="M376" s="128"/>
      <c r="N376" s="20"/>
      <c r="O376" s="68" t="s">
        <v>93</v>
      </c>
      <c r="P376" s="54"/>
      <c r="Q376" s="69">
        <f t="shared" si="106"/>
        <v>-1</v>
      </c>
      <c r="R376" s="54"/>
      <c r="S376" s="70" t="str">
        <f t="shared" ref="S376:S384" si="111">IF(AND(O376=""),"",IF(AND(C376&gt;F376),IF(AND(O376="T1"),"a","r"),IF(AND(O376="T2"),"a","r")))</f>
        <v>a</v>
      </c>
      <c r="T376" s="54"/>
      <c r="U376" s="130"/>
      <c r="V376" s="20"/>
    </row>
    <row r="377" spans="1:22" ht="15.75" customHeight="1" x14ac:dyDescent="0.25">
      <c r="A377" s="131"/>
      <c r="B377" s="125"/>
      <c r="C377" s="245"/>
      <c r="D377" s="115" t="s">
        <v>54</v>
      </c>
      <c r="E377" s="115" t="s">
        <v>82</v>
      </c>
      <c r="F377" s="13" t="str">
        <f t="shared" si="107"/>
        <v/>
      </c>
      <c r="G377" s="13">
        <v>1.3</v>
      </c>
      <c r="H377" s="13">
        <v>3.4</v>
      </c>
      <c r="I377" s="13" t="str">
        <f t="shared" si="108"/>
        <v/>
      </c>
      <c r="J377" s="13" t="str">
        <f t="shared" si="109"/>
        <v/>
      </c>
      <c r="K377" s="13" t="str">
        <f t="shared" si="105"/>
        <v/>
      </c>
      <c r="L377" s="71" t="str">
        <f t="shared" si="110"/>
        <v/>
      </c>
      <c r="M377" s="128"/>
      <c r="N377" s="57"/>
      <c r="O377" s="68" t="s">
        <v>92</v>
      </c>
      <c r="P377" s="54"/>
      <c r="Q377" s="69">
        <f t="shared" si="106"/>
        <v>-1</v>
      </c>
      <c r="R377" s="54"/>
      <c r="S377" s="70" t="str">
        <f t="shared" si="111"/>
        <v>r</v>
      </c>
      <c r="T377" s="54"/>
      <c r="U377" s="130"/>
      <c r="V377" s="20"/>
    </row>
    <row r="378" spans="1:22" ht="15.75" customHeight="1" x14ac:dyDescent="0.25">
      <c r="A378" s="131"/>
      <c r="B378" s="125"/>
      <c r="C378" s="244"/>
      <c r="D378" s="114" t="s">
        <v>81</v>
      </c>
      <c r="E378" s="114" t="s">
        <v>79</v>
      </c>
      <c r="F378" s="66" t="str">
        <f t="shared" si="107"/>
        <v/>
      </c>
      <c r="G378" s="66">
        <v>1.53</v>
      </c>
      <c r="H378" s="66">
        <v>2.37</v>
      </c>
      <c r="I378" s="66" t="str">
        <f t="shared" si="108"/>
        <v/>
      </c>
      <c r="J378" s="66" t="str">
        <f t="shared" si="109"/>
        <v/>
      </c>
      <c r="K378" s="66" t="str">
        <f t="shared" si="105"/>
        <v/>
      </c>
      <c r="L378" s="67" t="str">
        <f t="shared" si="110"/>
        <v/>
      </c>
      <c r="M378" s="128"/>
      <c r="N378" s="72"/>
      <c r="O378" s="68" t="s">
        <v>93</v>
      </c>
      <c r="P378" s="54"/>
      <c r="Q378" s="69">
        <f t="shared" si="106"/>
        <v>-1</v>
      </c>
      <c r="R378" s="54"/>
      <c r="S378" s="70" t="str">
        <f t="shared" si="111"/>
        <v>a</v>
      </c>
      <c r="T378" s="54"/>
      <c r="U378" s="130"/>
      <c r="V378" s="20"/>
    </row>
    <row r="379" spans="1:22" ht="15.75" customHeight="1" x14ac:dyDescent="0.25">
      <c r="A379" s="131"/>
      <c r="B379" s="125"/>
      <c r="C379" s="245"/>
      <c r="D379" s="115" t="s">
        <v>84</v>
      </c>
      <c r="E379" s="115" t="s">
        <v>80</v>
      </c>
      <c r="F379" s="13" t="str">
        <f t="shared" si="107"/>
        <v/>
      </c>
      <c r="G379" s="13">
        <v>2.2000000000000002</v>
      </c>
      <c r="H379" s="13">
        <v>1.61</v>
      </c>
      <c r="I379" s="13" t="str">
        <f t="shared" si="108"/>
        <v/>
      </c>
      <c r="J379" s="13" t="str">
        <f t="shared" si="109"/>
        <v/>
      </c>
      <c r="K379" s="13" t="str">
        <f t="shared" si="105"/>
        <v/>
      </c>
      <c r="L379" s="73" t="str">
        <f t="shared" si="110"/>
        <v/>
      </c>
      <c r="M379" s="128"/>
      <c r="N379" s="72"/>
      <c r="O379" s="68" t="s">
        <v>92</v>
      </c>
      <c r="P379" s="54"/>
      <c r="Q379" s="69">
        <f t="shared" si="106"/>
        <v>-1</v>
      </c>
      <c r="R379" s="54"/>
      <c r="S379" s="70" t="str">
        <f t="shared" si="111"/>
        <v>r</v>
      </c>
      <c r="T379" s="54"/>
      <c r="U379" s="130"/>
      <c r="V379" s="20"/>
    </row>
    <row r="380" spans="1:22" ht="15.75" customHeight="1" x14ac:dyDescent="0.25">
      <c r="A380" s="131"/>
      <c r="B380" s="125"/>
      <c r="C380" s="244"/>
      <c r="D380" s="114" t="s">
        <v>83</v>
      </c>
      <c r="E380" s="114" t="s">
        <v>46</v>
      </c>
      <c r="F380" s="66" t="str">
        <f t="shared" si="107"/>
        <v/>
      </c>
      <c r="G380" s="66">
        <v>1.5</v>
      </c>
      <c r="H380" s="66">
        <v>2.5</v>
      </c>
      <c r="I380" s="66" t="str">
        <f t="shared" si="108"/>
        <v/>
      </c>
      <c r="J380" s="66" t="str">
        <f t="shared" si="109"/>
        <v/>
      </c>
      <c r="K380" s="66" t="str">
        <f t="shared" si="105"/>
        <v/>
      </c>
      <c r="L380" s="67" t="str">
        <f t="shared" si="110"/>
        <v/>
      </c>
      <c r="M380" s="128"/>
      <c r="N380" s="72"/>
      <c r="O380" s="68" t="s">
        <v>93</v>
      </c>
      <c r="P380" s="54"/>
      <c r="Q380" s="69">
        <f t="shared" si="106"/>
        <v>-1</v>
      </c>
      <c r="R380" s="54"/>
      <c r="S380" s="70" t="str">
        <f t="shared" si="111"/>
        <v>a</v>
      </c>
      <c r="T380" s="54"/>
      <c r="U380" s="130"/>
      <c r="V380" s="20"/>
    </row>
    <row r="381" spans="1:22" ht="18.75" thickBot="1" x14ac:dyDescent="0.3">
      <c r="A381" s="131"/>
      <c r="B381" s="125"/>
      <c r="C381" s="245"/>
      <c r="D381" s="115" t="s">
        <v>79</v>
      </c>
      <c r="E381" s="115" t="s">
        <v>82</v>
      </c>
      <c r="F381" s="13" t="str">
        <f t="shared" si="107"/>
        <v/>
      </c>
      <c r="G381" s="13">
        <v>1.57</v>
      </c>
      <c r="H381" s="13">
        <v>2.25</v>
      </c>
      <c r="I381" s="13" t="str">
        <f t="shared" si="108"/>
        <v/>
      </c>
      <c r="J381" s="13" t="str">
        <f t="shared" si="109"/>
        <v/>
      </c>
      <c r="K381" s="13" t="str">
        <f t="shared" si="105"/>
        <v/>
      </c>
      <c r="L381" s="71" t="str">
        <f t="shared" si="110"/>
        <v/>
      </c>
      <c r="M381" s="128"/>
      <c r="N381" s="20"/>
      <c r="O381" s="68" t="s">
        <v>93</v>
      </c>
      <c r="P381" s="54"/>
      <c r="Q381" s="69">
        <f t="shared" si="106"/>
        <v>-1</v>
      </c>
      <c r="R381" s="54"/>
      <c r="S381" s="70" t="str">
        <f t="shared" si="111"/>
        <v>a</v>
      </c>
      <c r="T381" s="54"/>
      <c r="U381" s="74" t="s">
        <v>32</v>
      </c>
      <c r="V381" s="20"/>
    </row>
    <row r="382" spans="1:22" ht="18" x14ac:dyDescent="0.25">
      <c r="A382" s="131"/>
      <c r="B382" s="125"/>
      <c r="C382" s="244"/>
      <c r="D382" s="114" t="s">
        <v>84</v>
      </c>
      <c r="E382" s="114" t="s">
        <v>85</v>
      </c>
      <c r="F382" s="66" t="str">
        <f t="shared" si="107"/>
        <v/>
      </c>
      <c r="G382" s="66">
        <v>1.9</v>
      </c>
      <c r="H382" s="66">
        <v>1.8</v>
      </c>
      <c r="I382" s="66" t="str">
        <f t="shared" si="108"/>
        <v/>
      </c>
      <c r="J382" s="66" t="str">
        <f t="shared" si="109"/>
        <v/>
      </c>
      <c r="K382" s="66" t="str">
        <f t="shared" si="105"/>
        <v/>
      </c>
      <c r="L382" s="82" t="str">
        <f t="shared" si="110"/>
        <v/>
      </c>
      <c r="M382" s="128"/>
      <c r="N382" s="20"/>
      <c r="O382" s="68" t="s">
        <v>93</v>
      </c>
      <c r="P382" s="54"/>
      <c r="Q382" s="69">
        <f t="shared" si="106"/>
        <v>-1</v>
      </c>
      <c r="R382" s="54"/>
      <c r="S382" s="70" t="str">
        <f t="shared" si="111"/>
        <v>a</v>
      </c>
      <c r="T382" s="54"/>
      <c r="U382" s="133">
        <f>IF(AND(NOT(M375=0)),U375/M375,0)</f>
        <v>0</v>
      </c>
      <c r="V382" s="20"/>
    </row>
    <row r="383" spans="1:22" ht="18" x14ac:dyDescent="0.25">
      <c r="A383" s="131"/>
      <c r="B383" s="125"/>
      <c r="C383" s="245"/>
      <c r="D383" s="115" t="s">
        <v>45</v>
      </c>
      <c r="E383" s="115" t="s">
        <v>54</v>
      </c>
      <c r="F383" s="13" t="str">
        <f t="shared" si="107"/>
        <v/>
      </c>
      <c r="G383" s="13">
        <v>1.83</v>
      </c>
      <c r="H383" s="13">
        <v>1.83</v>
      </c>
      <c r="I383" s="13" t="str">
        <f t="shared" si="108"/>
        <v/>
      </c>
      <c r="J383" s="13" t="str">
        <f t="shared" si="109"/>
        <v/>
      </c>
      <c r="K383" s="13" t="str">
        <f t="shared" si="105"/>
        <v/>
      </c>
      <c r="L383" s="73" t="str">
        <f t="shared" si="110"/>
        <v/>
      </c>
      <c r="M383" s="128"/>
      <c r="N383" s="20"/>
      <c r="O383" s="68" t="s">
        <v>93</v>
      </c>
      <c r="P383" s="54"/>
      <c r="Q383" s="69">
        <f t="shared" si="106"/>
        <v>-1</v>
      </c>
      <c r="R383" s="54"/>
      <c r="S383" s="70" t="str">
        <f t="shared" si="111"/>
        <v>a</v>
      </c>
      <c r="T383" s="54"/>
      <c r="U383" s="134"/>
      <c r="V383" s="20"/>
    </row>
    <row r="384" spans="1:22" ht="18.75" thickBot="1" x14ac:dyDescent="0.3">
      <c r="A384" s="132"/>
      <c r="B384" s="126"/>
      <c r="C384" s="246"/>
      <c r="D384" s="116" t="s">
        <v>80</v>
      </c>
      <c r="E384" s="116" t="s">
        <v>81</v>
      </c>
      <c r="F384" s="75" t="str">
        <f t="shared" si="107"/>
        <v/>
      </c>
      <c r="G384" s="75">
        <v>1.72</v>
      </c>
      <c r="H384" s="75">
        <v>2</v>
      </c>
      <c r="I384" s="75" t="str">
        <f t="shared" si="108"/>
        <v/>
      </c>
      <c r="J384" s="75" t="str">
        <f t="shared" si="109"/>
        <v/>
      </c>
      <c r="K384" s="75" t="str">
        <f t="shared" si="105"/>
        <v/>
      </c>
      <c r="L384" s="85" t="str">
        <f t="shared" si="110"/>
        <v/>
      </c>
      <c r="M384" s="129"/>
      <c r="N384" s="20"/>
      <c r="O384" s="76" t="s">
        <v>92</v>
      </c>
      <c r="P384" s="20"/>
      <c r="Q384" s="77">
        <f>IF(OR(O384="",L384="NO BET"),0,IF(AND(K384=O384),IF(AND(K384="T2"),ROUNDUP(H384*0.95,2)-1,ROUNDUP(G384*0.95,2)-1),-1))</f>
        <v>-1</v>
      </c>
      <c r="R384" s="20"/>
      <c r="S384" s="78" t="str">
        <f t="shared" si="111"/>
        <v>r</v>
      </c>
      <c r="T384" s="20"/>
      <c r="U384" s="135"/>
      <c r="V384" s="20"/>
    </row>
    <row r="385" spans="1:22" x14ac:dyDescent="0.25">
      <c r="A385" s="20"/>
      <c r="B385" s="20"/>
      <c r="C385" s="22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2"/>
      <c r="R385" s="20"/>
      <c r="S385" s="20"/>
      <c r="T385" s="20"/>
      <c r="U385" s="23"/>
      <c r="V385" s="20"/>
    </row>
    <row r="386" spans="1:22" x14ac:dyDescent="0.25">
      <c r="A386" s="20"/>
      <c r="B386" s="20"/>
      <c r="C386" s="22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2"/>
      <c r="R386" s="20"/>
      <c r="S386" s="20"/>
      <c r="T386" s="20"/>
      <c r="U386" s="23"/>
      <c r="V386" s="20"/>
    </row>
    <row r="387" spans="1:22" ht="16.5" thickBot="1" x14ac:dyDescent="0.3">
      <c r="A387" s="20"/>
      <c r="B387" s="20"/>
      <c r="C387" s="22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2"/>
      <c r="R387" s="20"/>
      <c r="S387" s="20"/>
      <c r="T387" s="20"/>
      <c r="U387" s="23"/>
      <c r="V387" s="20"/>
    </row>
    <row r="388" spans="1:22" ht="19.5" customHeight="1" thickBot="1" x14ac:dyDescent="0.3">
      <c r="A388" s="100" t="s">
        <v>6</v>
      </c>
      <c r="B388" s="159" t="s">
        <v>26</v>
      </c>
      <c r="C388" s="232" t="s">
        <v>9</v>
      </c>
      <c r="D388" s="55" t="s">
        <v>10</v>
      </c>
      <c r="E388" s="55" t="s">
        <v>11</v>
      </c>
      <c r="F388" s="55" t="s">
        <v>12</v>
      </c>
      <c r="G388" s="55" t="s">
        <v>13</v>
      </c>
      <c r="H388" s="55" t="s">
        <v>14</v>
      </c>
      <c r="I388" s="55" t="s">
        <v>15</v>
      </c>
      <c r="J388" s="55" t="s">
        <v>16</v>
      </c>
      <c r="K388" s="55" t="s">
        <v>35</v>
      </c>
      <c r="L388" s="55" t="s">
        <v>17</v>
      </c>
      <c r="M388" s="56" t="s">
        <v>18</v>
      </c>
      <c r="N388" s="57"/>
      <c r="O388" s="58" t="s">
        <v>19</v>
      </c>
      <c r="P388" s="54"/>
      <c r="Q388" s="59" t="s">
        <v>36</v>
      </c>
      <c r="R388" s="54"/>
      <c r="S388" s="58" t="s">
        <v>37</v>
      </c>
      <c r="T388" s="54"/>
      <c r="U388" s="60" t="s">
        <v>30</v>
      </c>
      <c r="V388" s="20"/>
    </row>
    <row r="389" spans="1:22" ht="15.75" customHeight="1" x14ac:dyDescent="0.25">
      <c r="A389" s="101"/>
      <c r="B389" s="160"/>
      <c r="C389" s="243"/>
      <c r="D389" s="117" t="s">
        <v>83</v>
      </c>
      <c r="E389" s="117" t="s">
        <v>79</v>
      </c>
      <c r="F389" s="61" t="str">
        <f>IF(AND(C389=""),"",1-C389)</f>
        <v/>
      </c>
      <c r="G389" s="61">
        <v>2</v>
      </c>
      <c r="H389" s="61">
        <v>1.72</v>
      </c>
      <c r="I389" s="61" t="str">
        <f>IF(AND(C389=""),"",G389*C389)</f>
        <v/>
      </c>
      <c r="J389" s="61" t="str">
        <f>IF(AND(C389=""),"",H389*F389)</f>
        <v/>
      </c>
      <c r="K389" s="61" t="str">
        <f t="shared" ref="K389:K394" si="112">IF(AND(I389=""),"",IF(AND(I389&gt;J389),"T1","T2"))</f>
        <v/>
      </c>
      <c r="L389" s="62" t="str">
        <f>IF(AND(K389=""),"",IF(AND((J389*0.95-1)&lt;0,(I389*0.95-1)&lt;0),"NO BET", IF(AND(K389="T1"),I389*0.95 - 1,J389*0.95 - 1)))</f>
        <v/>
      </c>
      <c r="M389" s="127">
        <f>SUMIF(L389:L398,"&gt;0")</f>
        <v>0</v>
      </c>
      <c r="N389" s="57"/>
      <c r="O389" s="63" t="s">
        <v>92</v>
      </c>
      <c r="P389" s="57"/>
      <c r="Q389" s="64">
        <f t="shared" ref="Q389:Q397" si="113">IF(OR(O389="",L389="NO BET"),0,IF(AND(K389=O389),IF(AND(K389="T2"),ROUNDUP(H389*0.95,2)-1,ROUNDUP(G389*0.95,2)-1),-1))</f>
        <v>-1</v>
      </c>
      <c r="R389" s="54"/>
      <c r="S389" s="65" t="str">
        <f>IF(AND(O389=""),"",IF(AND(C389&gt;F389),IF(AND(O389="T1"),"a","r"),IF(AND(O389="T2"),"a","r")))</f>
        <v>r</v>
      </c>
      <c r="T389" s="54"/>
      <c r="U389" s="130">
        <f>SUM(Q389:Q398)</f>
        <v>-10</v>
      </c>
      <c r="V389" s="20"/>
    </row>
    <row r="390" spans="1:22" ht="15.75" customHeight="1" x14ac:dyDescent="0.25">
      <c r="A390" s="131" t="s">
        <v>6</v>
      </c>
      <c r="B390" s="160"/>
      <c r="C390" s="244"/>
      <c r="D390" s="114" t="s">
        <v>82</v>
      </c>
      <c r="E390" s="114" t="s">
        <v>46</v>
      </c>
      <c r="F390" s="66" t="str">
        <f t="shared" ref="F390:F398" si="114">IF(AND(C390=""),"",1-C390)</f>
        <v/>
      </c>
      <c r="G390" s="66">
        <v>1.83</v>
      </c>
      <c r="H390" s="66">
        <v>1.83</v>
      </c>
      <c r="I390" s="66" t="str">
        <f t="shared" ref="I390:I394" si="115">IF(AND(C390=""),"",G390*C390)</f>
        <v/>
      </c>
      <c r="J390" s="66" t="str">
        <f t="shared" ref="J390:J394" si="116">IF(AND(C390=""),"",H390*F390)</f>
        <v/>
      </c>
      <c r="K390" s="66" t="str">
        <f t="shared" si="112"/>
        <v/>
      </c>
      <c r="L390" s="67" t="str">
        <f t="shared" ref="L390:L394" si="117">IF(AND(K390=""),"",IF(AND((J390*0.95-1)&lt;0,(I390*0.95-1)&lt;0),"NO BET", IF(AND(K390="T1"),I390*0.95 - 1,J390*0.95 - 1)))</f>
        <v/>
      </c>
      <c r="M390" s="128"/>
      <c r="N390" s="20"/>
      <c r="O390" s="68" t="s">
        <v>93</v>
      </c>
      <c r="P390" s="54"/>
      <c r="Q390" s="69">
        <f t="shared" si="113"/>
        <v>-1</v>
      </c>
      <c r="R390" s="54"/>
      <c r="S390" s="70" t="str">
        <f t="shared" ref="S390:S398" si="118">IF(AND(O390=""),"",IF(AND(C390&gt;F390),IF(AND(O390="T1"),"a","r"),IF(AND(O390="T2"),"a","r")))</f>
        <v>a</v>
      </c>
      <c r="T390" s="54"/>
      <c r="U390" s="130"/>
      <c r="V390" s="20"/>
    </row>
    <row r="391" spans="1:22" ht="15.75" customHeight="1" x14ac:dyDescent="0.25">
      <c r="A391" s="131"/>
      <c r="B391" s="160"/>
      <c r="C391" s="245"/>
      <c r="D391" s="115" t="s">
        <v>85</v>
      </c>
      <c r="E391" s="115" t="s">
        <v>45</v>
      </c>
      <c r="F391" s="13" t="str">
        <f t="shared" si="114"/>
        <v/>
      </c>
      <c r="G391" s="13">
        <v>2.62</v>
      </c>
      <c r="H391" s="13">
        <v>1.44</v>
      </c>
      <c r="I391" s="13" t="str">
        <f t="shared" si="115"/>
        <v/>
      </c>
      <c r="J391" s="13" t="str">
        <f t="shared" si="116"/>
        <v/>
      </c>
      <c r="K391" s="13" t="str">
        <f t="shared" si="112"/>
        <v/>
      </c>
      <c r="L391" s="71" t="str">
        <f t="shared" si="117"/>
        <v/>
      </c>
      <c r="M391" s="128"/>
      <c r="N391" s="57"/>
      <c r="O391" s="68" t="s">
        <v>92</v>
      </c>
      <c r="P391" s="54"/>
      <c r="Q391" s="69">
        <f t="shared" si="113"/>
        <v>-1</v>
      </c>
      <c r="R391" s="54"/>
      <c r="S391" s="70" t="str">
        <f t="shared" si="118"/>
        <v>r</v>
      </c>
      <c r="T391" s="54"/>
      <c r="U391" s="130"/>
      <c r="V391" s="20"/>
    </row>
    <row r="392" spans="1:22" ht="15.75" customHeight="1" x14ac:dyDescent="0.25">
      <c r="A392" s="131"/>
      <c r="B392" s="160"/>
      <c r="C392" s="244"/>
      <c r="D392" s="114" t="s">
        <v>81</v>
      </c>
      <c r="E392" s="114" t="s">
        <v>84</v>
      </c>
      <c r="F392" s="66" t="str">
        <f t="shared" si="114"/>
        <v/>
      </c>
      <c r="G392" s="66">
        <v>1.66</v>
      </c>
      <c r="H392" s="66">
        <v>2.1</v>
      </c>
      <c r="I392" s="66" t="str">
        <f t="shared" si="115"/>
        <v/>
      </c>
      <c r="J392" s="66" t="str">
        <f t="shared" si="116"/>
        <v/>
      </c>
      <c r="K392" s="66" t="str">
        <f t="shared" si="112"/>
        <v/>
      </c>
      <c r="L392" s="67" t="str">
        <f t="shared" si="117"/>
        <v/>
      </c>
      <c r="M392" s="128"/>
      <c r="N392" s="72"/>
      <c r="O392" s="68" t="s">
        <v>92</v>
      </c>
      <c r="P392" s="54"/>
      <c r="Q392" s="69">
        <f t="shared" si="113"/>
        <v>-1</v>
      </c>
      <c r="R392" s="54"/>
      <c r="S392" s="70" t="str">
        <f t="shared" si="118"/>
        <v>r</v>
      </c>
      <c r="T392" s="54"/>
      <c r="U392" s="130"/>
      <c r="V392" s="20"/>
    </row>
    <row r="393" spans="1:22" ht="15.75" customHeight="1" x14ac:dyDescent="0.25">
      <c r="A393" s="131"/>
      <c r="B393" s="160"/>
      <c r="C393" s="245"/>
      <c r="D393" s="115" t="s">
        <v>80</v>
      </c>
      <c r="E393" s="115" t="s">
        <v>54</v>
      </c>
      <c r="F393" s="13" t="str">
        <f t="shared" si="114"/>
        <v/>
      </c>
      <c r="G393" s="13">
        <v>2.1</v>
      </c>
      <c r="H393" s="13">
        <v>1.66</v>
      </c>
      <c r="I393" s="13" t="str">
        <f t="shared" si="115"/>
        <v/>
      </c>
      <c r="J393" s="13" t="str">
        <f t="shared" si="116"/>
        <v/>
      </c>
      <c r="K393" s="13" t="str">
        <f t="shared" si="112"/>
        <v/>
      </c>
      <c r="L393" s="73" t="str">
        <f t="shared" si="117"/>
        <v/>
      </c>
      <c r="M393" s="128"/>
      <c r="N393" s="72"/>
      <c r="O393" s="68" t="s">
        <v>92</v>
      </c>
      <c r="P393" s="54"/>
      <c r="Q393" s="69">
        <f t="shared" si="113"/>
        <v>-1</v>
      </c>
      <c r="R393" s="54"/>
      <c r="S393" s="70" t="str">
        <f t="shared" si="118"/>
        <v>r</v>
      </c>
      <c r="T393" s="54"/>
      <c r="U393" s="130"/>
      <c r="V393" s="20"/>
    </row>
    <row r="394" spans="1:22" ht="15.75" customHeight="1" x14ac:dyDescent="0.25">
      <c r="A394" s="131"/>
      <c r="B394" s="160"/>
      <c r="C394" s="244"/>
      <c r="D394" s="114" t="s">
        <v>83</v>
      </c>
      <c r="E394" s="114" t="s">
        <v>85</v>
      </c>
      <c r="F394" s="66" t="str">
        <f t="shared" si="114"/>
        <v/>
      </c>
      <c r="G394" s="66">
        <v>2.1</v>
      </c>
      <c r="H394" s="66">
        <v>1.66</v>
      </c>
      <c r="I394" s="66" t="str">
        <f t="shared" si="115"/>
        <v/>
      </c>
      <c r="J394" s="66" t="str">
        <f t="shared" si="116"/>
        <v/>
      </c>
      <c r="K394" s="66" t="str">
        <f t="shared" si="112"/>
        <v/>
      </c>
      <c r="L394" s="67" t="str">
        <f t="shared" si="117"/>
        <v/>
      </c>
      <c r="M394" s="128"/>
      <c r="N394" s="72"/>
      <c r="O394" s="68" t="s">
        <v>93</v>
      </c>
      <c r="P394" s="54"/>
      <c r="Q394" s="69">
        <f t="shared" si="113"/>
        <v>-1</v>
      </c>
      <c r="R394" s="54"/>
      <c r="S394" s="70" t="str">
        <f t="shared" si="118"/>
        <v>a</v>
      </c>
      <c r="T394" s="54"/>
      <c r="U394" s="130"/>
      <c r="V394" s="20"/>
    </row>
    <row r="395" spans="1:22" ht="18.75" thickBot="1" x14ac:dyDescent="0.3">
      <c r="A395" s="131"/>
      <c r="B395" s="160"/>
      <c r="C395" s="245"/>
      <c r="D395" s="115" t="s">
        <v>46</v>
      </c>
      <c r="E395" s="115" t="s">
        <v>84</v>
      </c>
      <c r="F395" s="13" t="str">
        <f t="shared" si="114"/>
        <v/>
      </c>
      <c r="G395" s="13">
        <v>2.5</v>
      </c>
      <c r="H395" s="13">
        <v>1.5</v>
      </c>
      <c r="I395" s="13" t="str">
        <f t="shared" ref="I395" si="119">IF(AND(C395=""),"",G395*C395)</f>
        <v/>
      </c>
      <c r="J395" s="13" t="str">
        <f t="shared" ref="J395" si="120">IF(AND(C395=""),"",H395*F395)</f>
        <v/>
      </c>
      <c r="K395" s="13" t="str">
        <f t="shared" ref="K395" si="121">IF(AND(I395=""),"",IF(AND(I395&gt;J395),"T1","T2"))</f>
        <v/>
      </c>
      <c r="L395" s="73" t="str">
        <f t="shared" ref="L395" si="122">IF(AND(K395=""),"",IF(AND((J395*0.95-1)&lt;0,(I395*0.95-1)&lt;0),"NO BET", IF(AND(K395="T1"),I395*0.95 - 1,J395*0.95 - 1)))</f>
        <v/>
      </c>
      <c r="M395" s="128"/>
      <c r="N395" s="20"/>
      <c r="O395" s="68" t="s">
        <v>92</v>
      </c>
      <c r="P395" s="54"/>
      <c r="Q395" s="69">
        <f t="shared" si="113"/>
        <v>-1</v>
      </c>
      <c r="R395" s="54"/>
      <c r="S395" s="70" t="str">
        <f t="shared" si="118"/>
        <v>r</v>
      </c>
      <c r="T395" s="54"/>
      <c r="U395" s="74" t="s">
        <v>32</v>
      </c>
      <c r="V395" s="20"/>
    </row>
    <row r="396" spans="1:22" ht="18" x14ac:dyDescent="0.25">
      <c r="A396" s="131"/>
      <c r="B396" s="160"/>
      <c r="C396" s="244"/>
      <c r="D396" s="114" t="s">
        <v>82</v>
      </c>
      <c r="E396" s="114" t="s">
        <v>80</v>
      </c>
      <c r="F396" s="66" t="str">
        <f t="shared" si="114"/>
        <v/>
      </c>
      <c r="G396" s="66">
        <v>3</v>
      </c>
      <c r="H396" s="66">
        <v>1.36</v>
      </c>
      <c r="I396" s="66" t="str">
        <f t="shared" ref="I396:I398" si="123">IF(AND(C396=""),"",G396*C396)</f>
        <v/>
      </c>
      <c r="J396" s="66" t="str">
        <f t="shared" ref="J396:J398" si="124">IF(AND(C396=""),"",H396*F396)</f>
        <v/>
      </c>
      <c r="K396" s="66" t="str">
        <f t="shared" ref="K396:K398" si="125">IF(AND(I396=""),"",IF(AND(I396&gt;J396),"T1","T2"))</f>
        <v/>
      </c>
      <c r="L396" s="82" t="str">
        <f t="shared" ref="L396:L398" si="126">IF(AND(K396=""),"",IF(AND((J396*0.95-1)&lt;0,(I396*0.95-1)&lt;0),"NO BET", IF(AND(K396="T1"),I396*0.95 - 1,J396*0.95 - 1)))</f>
        <v/>
      </c>
      <c r="M396" s="128"/>
      <c r="N396" s="20"/>
      <c r="O396" s="68" t="s">
        <v>92</v>
      </c>
      <c r="P396" s="54"/>
      <c r="Q396" s="69">
        <f t="shared" si="113"/>
        <v>-1</v>
      </c>
      <c r="R396" s="54"/>
      <c r="S396" s="70" t="str">
        <f t="shared" si="118"/>
        <v>r</v>
      </c>
      <c r="T396" s="54"/>
      <c r="U396" s="133">
        <f>IF(AND(NOT(M389=0)),U389/M389,0)</f>
        <v>0</v>
      </c>
      <c r="V396" s="20"/>
    </row>
    <row r="397" spans="1:22" ht="18" x14ac:dyDescent="0.25">
      <c r="A397" s="131"/>
      <c r="B397" s="160"/>
      <c r="C397" s="245"/>
      <c r="D397" s="115" t="s">
        <v>54</v>
      </c>
      <c r="E397" s="115" t="s">
        <v>81</v>
      </c>
      <c r="F397" s="13" t="str">
        <f t="shared" si="114"/>
        <v/>
      </c>
      <c r="G397" s="13">
        <v>1.57</v>
      </c>
      <c r="H397" s="13">
        <v>2.25</v>
      </c>
      <c r="I397" s="13" t="str">
        <f t="shared" si="123"/>
        <v/>
      </c>
      <c r="J397" s="13" t="str">
        <f t="shared" si="124"/>
        <v/>
      </c>
      <c r="K397" s="13" t="str">
        <f t="shared" si="125"/>
        <v/>
      </c>
      <c r="L397" s="73" t="str">
        <f t="shared" si="126"/>
        <v/>
      </c>
      <c r="M397" s="128"/>
      <c r="N397" s="20"/>
      <c r="O397" s="68" t="s">
        <v>92</v>
      </c>
      <c r="P397" s="54"/>
      <c r="Q397" s="69">
        <f t="shared" si="113"/>
        <v>-1</v>
      </c>
      <c r="R397" s="54"/>
      <c r="S397" s="70" t="str">
        <f t="shared" si="118"/>
        <v>r</v>
      </c>
      <c r="T397" s="54"/>
      <c r="U397" s="134"/>
      <c r="V397" s="20"/>
    </row>
    <row r="398" spans="1:22" ht="18.75" thickBot="1" x14ac:dyDescent="0.3">
      <c r="A398" s="132"/>
      <c r="B398" s="161"/>
      <c r="C398" s="246"/>
      <c r="D398" s="116" t="s">
        <v>45</v>
      </c>
      <c r="E398" s="116" t="s">
        <v>79</v>
      </c>
      <c r="F398" s="75" t="str">
        <f t="shared" si="114"/>
        <v/>
      </c>
      <c r="G398" s="75">
        <v>1.4</v>
      </c>
      <c r="H398" s="75">
        <v>2.75</v>
      </c>
      <c r="I398" s="75" t="str">
        <f t="shared" si="123"/>
        <v/>
      </c>
      <c r="J398" s="75" t="str">
        <f t="shared" si="124"/>
        <v/>
      </c>
      <c r="K398" s="75" t="str">
        <f t="shared" si="125"/>
        <v/>
      </c>
      <c r="L398" s="85" t="str">
        <f t="shared" si="126"/>
        <v/>
      </c>
      <c r="M398" s="129"/>
      <c r="N398" s="20"/>
      <c r="O398" s="76" t="s">
        <v>92</v>
      </c>
      <c r="P398" s="20"/>
      <c r="Q398" s="77">
        <f>IF(OR(O398="",L398="NO BET"),0,IF(AND(K398=O398),IF(AND(K398="T2"),ROUNDUP(H398*0.95,2)-1,ROUNDUP(G398*0.95,2)-1),-1))</f>
        <v>-1</v>
      </c>
      <c r="R398" s="20"/>
      <c r="S398" s="78" t="str">
        <f t="shared" si="118"/>
        <v>r</v>
      </c>
      <c r="T398" s="20"/>
      <c r="U398" s="135"/>
      <c r="V398" s="20"/>
    </row>
    <row r="399" spans="1:22" x14ac:dyDescent="0.25">
      <c r="A399" s="20"/>
      <c r="B399" s="20"/>
      <c r="C399" s="22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2"/>
      <c r="R399" s="20"/>
      <c r="S399" s="20"/>
      <c r="T399" s="20"/>
      <c r="U399" s="23"/>
      <c r="V399" s="20"/>
    </row>
    <row r="400" spans="1:22" x14ac:dyDescent="0.25">
      <c r="A400" s="20"/>
      <c r="B400" s="20"/>
      <c r="C400" s="22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2"/>
      <c r="R400" s="20"/>
      <c r="S400" s="20"/>
      <c r="T400" s="20"/>
      <c r="U400" s="23"/>
      <c r="V400" s="20"/>
    </row>
    <row r="401" spans="1:22" ht="16.5" thickBot="1" x14ac:dyDescent="0.3">
      <c r="A401" s="20"/>
      <c r="B401" s="20"/>
      <c r="C401" s="22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2"/>
      <c r="R401" s="20"/>
      <c r="S401" s="20"/>
      <c r="T401" s="20"/>
      <c r="U401" s="23"/>
      <c r="V401" s="20"/>
    </row>
    <row r="402" spans="1:22" ht="19.5" customHeight="1" thickBot="1" x14ac:dyDescent="0.3">
      <c r="A402" s="100" t="s">
        <v>6</v>
      </c>
      <c r="B402" s="124" t="s">
        <v>27</v>
      </c>
      <c r="C402" s="237" t="s">
        <v>9</v>
      </c>
      <c r="D402" s="103" t="s">
        <v>10</v>
      </c>
      <c r="E402" s="103" t="s">
        <v>11</v>
      </c>
      <c r="F402" s="103" t="s">
        <v>12</v>
      </c>
      <c r="G402" s="103" t="s">
        <v>13</v>
      </c>
      <c r="H402" s="103" t="s">
        <v>14</v>
      </c>
      <c r="I402" s="103" t="s">
        <v>15</v>
      </c>
      <c r="J402" s="103" t="s">
        <v>16</v>
      </c>
      <c r="K402" s="103" t="s">
        <v>35</v>
      </c>
      <c r="L402" s="103" t="s">
        <v>17</v>
      </c>
      <c r="M402" s="103" t="s">
        <v>18</v>
      </c>
      <c r="N402" s="57"/>
      <c r="O402" s="58" t="s">
        <v>19</v>
      </c>
      <c r="P402" s="54"/>
      <c r="Q402" s="59" t="s">
        <v>36</v>
      </c>
      <c r="R402" s="54"/>
      <c r="S402" s="58" t="s">
        <v>37</v>
      </c>
      <c r="T402" s="54"/>
      <c r="U402" s="60" t="s">
        <v>30</v>
      </c>
      <c r="V402" s="20"/>
    </row>
    <row r="403" spans="1:22" ht="15.75" customHeight="1" x14ac:dyDescent="0.25">
      <c r="A403" s="101"/>
      <c r="B403" s="125"/>
      <c r="C403" s="243"/>
      <c r="D403" s="117" t="s">
        <v>79</v>
      </c>
      <c r="E403" s="117" t="s">
        <v>84</v>
      </c>
      <c r="F403" s="61" t="str">
        <f>IF(AND(C403=""),"",1-C403)</f>
        <v/>
      </c>
      <c r="G403" s="61">
        <v>1.9</v>
      </c>
      <c r="H403" s="61">
        <v>1.8</v>
      </c>
      <c r="I403" s="61" t="str">
        <f>IF(AND(C403=""),"",G403*C403)</f>
        <v/>
      </c>
      <c r="J403" s="61" t="str">
        <f>IF(AND(C403=""),"",H403*F403)</f>
        <v/>
      </c>
      <c r="K403" s="61" t="str">
        <f t="shared" ref="K403:K412" si="127">IF(AND(I403=""),"",IF(AND(I403&gt;J403),"T1","T2"))</f>
        <v/>
      </c>
      <c r="L403" s="62" t="str">
        <f>IF(AND(K403=""),"",IF(AND((J403*0.95-1)&lt;0,(I403*0.95-1)&lt;0),"NO BET", IF(AND(K403="T1"),I403*0.95 - 1,J403*0.95 - 1)))</f>
        <v/>
      </c>
      <c r="M403" s="127">
        <f>SUMIF(L403:L412,"&gt;0")</f>
        <v>0</v>
      </c>
      <c r="N403" s="57"/>
      <c r="O403" s="63" t="s">
        <v>93</v>
      </c>
      <c r="P403" s="57"/>
      <c r="Q403" s="64">
        <f t="shared" ref="Q403:Q411" si="128">IF(OR(O403="",L403="NO BET"),0,IF(AND(K403=O403),IF(AND(K403="T2"),ROUNDUP(H403*0.95,2)-1,ROUNDUP(G403*0.95,2)-1),-1))</f>
        <v>-1</v>
      </c>
      <c r="R403" s="54"/>
      <c r="S403" s="65" t="str">
        <f>IF(AND(O403=""),"",IF(AND(C403&gt;F403),IF(AND(O403="T1"),"a","r"),IF(AND(O403="T2"),"a","r")))</f>
        <v>a</v>
      </c>
      <c r="T403" s="54"/>
      <c r="U403" s="130">
        <f>SUM(Q403:Q412)</f>
        <v>-10</v>
      </c>
      <c r="V403" s="20"/>
    </row>
    <row r="404" spans="1:22" ht="15.75" customHeight="1" x14ac:dyDescent="0.25">
      <c r="A404" s="131" t="s">
        <v>6</v>
      </c>
      <c r="B404" s="125"/>
      <c r="C404" s="244"/>
      <c r="D404" s="114" t="s">
        <v>81</v>
      </c>
      <c r="E404" s="114" t="s">
        <v>46</v>
      </c>
      <c r="F404" s="66" t="str">
        <f t="shared" ref="F404:F412" si="129">IF(AND(C404=""),"",1-C404)</f>
        <v/>
      </c>
      <c r="G404" s="66">
        <v>1.53</v>
      </c>
      <c r="H404" s="66">
        <v>2.37</v>
      </c>
      <c r="I404" s="66" t="str">
        <f t="shared" ref="I404:I412" si="130">IF(AND(C404=""),"",G404*C404)</f>
        <v/>
      </c>
      <c r="J404" s="66" t="str">
        <f t="shared" ref="J404:J412" si="131">IF(AND(C404=""),"",H404*F404)</f>
        <v/>
      </c>
      <c r="K404" s="66" t="str">
        <f t="shared" si="127"/>
        <v/>
      </c>
      <c r="L404" s="67" t="str">
        <f t="shared" ref="L404:L412" si="132">IF(AND(K404=""),"",IF(AND((J404*0.95-1)&lt;0,(I404*0.95-1)&lt;0),"NO BET", IF(AND(K404="T1"),I404*0.95 - 1,J404*0.95 - 1)))</f>
        <v/>
      </c>
      <c r="M404" s="128"/>
      <c r="N404" s="20"/>
      <c r="O404" s="68" t="s">
        <v>92</v>
      </c>
      <c r="P404" s="54"/>
      <c r="Q404" s="69">
        <f t="shared" si="128"/>
        <v>-1</v>
      </c>
      <c r="R404" s="54"/>
      <c r="S404" s="70" t="str">
        <f t="shared" ref="S404:S412" si="133">IF(AND(O404=""),"",IF(AND(C404&gt;F404),IF(AND(O404="T1"),"a","r"),IF(AND(O404="T2"),"a","r")))</f>
        <v>r</v>
      </c>
      <c r="T404" s="54"/>
      <c r="U404" s="130"/>
      <c r="V404" s="20"/>
    </row>
    <row r="405" spans="1:22" ht="15.75" customHeight="1" x14ac:dyDescent="0.25">
      <c r="A405" s="131"/>
      <c r="B405" s="125"/>
      <c r="C405" s="245"/>
      <c r="D405" s="115" t="s">
        <v>45</v>
      </c>
      <c r="E405" s="115" t="s">
        <v>82</v>
      </c>
      <c r="F405" s="13" t="str">
        <f t="shared" si="129"/>
        <v/>
      </c>
      <c r="G405" s="13">
        <v>1.33</v>
      </c>
      <c r="H405" s="13">
        <v>3.25</v>
      </c>
      <c r="I405" s="13" t="str">
        <f t="shared" si="130"/>
        <v/>
      </c>
      <c r="J405" s="13" t="str">
        <f t="shared" si="131"/>
        <v/>
      </c>
      <c r="K405" s="13" t="str">
        <f t="shared" si="127"/>
        <v/>
      </c>
      <c r="L405" s="71" t="str">
        <f t="shared" si="132"/>
        <v/>
      </c>
      <c r="M405" s="128"/>
      <c r="N405" s="57"/>
      <c r="O405" s="68" t="s">
        <v>93</v>
      </c>
      <c r="P405" s="54"/>
      <c r="Q405" s="69">
        <f t="shared" si="128"/>
        <v>-1</v>
      </c>
      <c r="R405" s="54"/>
      <c r="S405" s="70" t="str">
        <f t="shared" si="133"/>
        <v>a</v>
      </c>
      <c r="T405" s="54"/>
      <c r="U405" s="130"/>
      <c r="V405" s="20"/>
    </row>
    <row r="406" spans="1:22" ht="15.75" customHeight="1" x14ac:dyDescent="0.25">
      <c r="A406" s="131"/>
      <c r="B406" s="125"/>
      <c r="C406" s="244"/>
      <c r="D406" s="114" t="s">
        <v>54</v>
      </c>
      <c r="E406" s="114" t="s">
        <v>83</v>
      </c>
      <c r="F406" s="66" t="str">
        <f t="shared" si="129"/>
        <v/>
      </c>
      <c r="G406" s="66">
        <v>1.44</v>
      </c>
      <c r="H406" s="66">
        <v>2.62</v>
      </c>
      <c r="I406" s="66" t="str">
        <f t="shared" si="130"/>
        <v/>
      </c>
      <c r="J406" s="66" t="str">
        <f t="shared" si="131"/>
        <v/>
      </c>
      <c r="K406" s="66" t="str">
        <f t="shared" si="127"/>
        <v/>
      </c>
      <c r="L406" s="67" t="str">
        <f t="shared" si="132"/>
        <v/>
      </c>
      <c r="M406" s="128"/>
      <c r="N406" s="72"/>
      <c r="O406" s="68" t="s">
        <v>92</v>
      </c>
      <c r="P406" s="54"/>
      <c r="Q406" s="69">
        <f t="shared" si="128"/>
        <v>-1</v>
      </c>
      <c r="R406" s="54"/>
      <c r="S406" s="70" t="str">
        <f t="shared" si="133"/>
        <v>r</v>
      </c>
      <c r="T406" s="54"/>
      <c r="U406" s="130"/>
      <c r="V406" s="20"/>
    </row>
    <row r="407" spans="1:22" ht="15.75" customHeight="1" x14ac:dyDescent="0.25">
      <c r="A407" s="131"/>
      <c r="B407" s="125"/>
      <c r="C407" s="245"/>
      <c r="D407" s="115" t="s">
        <v>85</v>
      </c>
      <c r="E407" s="115" t="s">
        <v>80</v>
      </c>
      <c r="F407" s="13" t="str">
        <f t="shared" si="129"/>
        <v/>
      </c>
      <c r="G407" s="13">
        <v>1.9</v>
      </c>
      <c r="H407" s="13">
        <v>1.8</v>
      </c>
      <c r="I407" s="13" t="str">
        <f>IF(AND(C407=""),"",G407*C407)</f>
        <v/>
      </c>
      <c r="J407" s="13" t="str">
        <f>IF(AND(C407=""),"",H407*F407)</f>
        <v/>
      </c>
      <c r="K407" s="13" t="str">
        <f t="shared" si="127"/>
        <v/>
      </c>
      <c r="L407" s="73" t="str">
        <f t="shared" si="132"/>
        <v/>
      </c>
      <c r="M407" s="128"/>
      <c r="N407" s="72"/>
      <c r="O407" s="68" t="s">
        <v>92</v>
      </c>
      <c r="P407" s="54"/>
      <c r="Q407" s="69">
        <f>IF(OR(O407="",L407="NO BET"),0,IF(AND(K407=O407),IF(AND(K407="T2"),ROUNDUP(H407*0.95,2)-1,ROUNDUP(G407*0.95,2)-1),-1))</f>
        <v>-1</v>
      </c>
      <c r="R407" s="54"/>
      <c r="S407" s="70" t="str">
        <f t="shared" si="133"/>
        <v>r</v>
      </c>
      <c r="T407" s="54"/>
      <c r="U407" s="130"/>
      <c r="V407" s="20"/>
    </row>
    <row r="408" spans="1:22" ht="15.75" customHeight="1" x14ac:dyDescent="0.25">
      <c r="A408" s="131"/>
      <c r="B408" s="125"/>
      <c r="C408" s="244"/>
      <c r="D408" s="114" t="s">
        <v>81</v>
      </c>
      <c r="E408" s="114" t="s">
        <v>83</v>
      </c>
      <c r="F408" s="66" t="str">
        <f t="shared" si="129"/>
        <v/>
      </c>
      <c r="G408" s="66">
        <v>1.66</v>
      </c>
      <c r="H408" s="66">
        <v>2.1</v>
      </c>
      <c r="I408" s="66" t="str">
        <f t="shared" si="130"/>
        <v/>
      </c>
      <c r="J408" s="66" t="str">
        <f t="shared" si="131"/>
        <v/>
      </c>
      <c r="K408" s="66" t="str">
        <f t="shared" si="127"/>
        <v/>
      </c>
      <c r="L408" s="67" t="str">
        <f t="shared" si="132"/>
        <v/>
      </c>
      <c r="M408" s="128"/>
      <c r="N408" s="72"/>
      <c r="O408" s="68" t="s">
        <v>93</v>
      </c>
      <c r="P408" s="54"/>
      <c r="Q408" s="69">
        <f t="shared" si="128"/>
        <v>-1</v>
      </c>
      <c r="R408" s="54"/>
      <c r="S408" s="70" t="str">
        <f t="shared" si="133"/>
        <v>a</v>
      </c>
      <c r="T408" s="54"/>
      <c r="U408" s="130"/>
      <c r="V408" s="20"/>
    </row>
    <row r="409" spans="1:22" ht="18.75" thickBot="1" x14ac:dyDescent="0.3">
      <c r="A409" s="131"/>
      <c r="B409" s="125"/>
      <c r="C409" s="245"/>
      <c r="D409" s="115" t="s">
        <v>85</v>
      </c>
      <c r="E409" s="115" t="s">
        <v>82</v>
      </c>
      <c r="F409" s="13" t="str">
        <f t="shared" si="129"/>
        <v/>
      </c>
      <c r="G409" s="13">
        <v>1.4</v>
      </c>
      <c r="H409" s="13">
        <v>2.75</v>
      </c>
      <c r="I409" s="13" t="str">
        <f t="shared" si="130"/>
        <v/>
      </c>
      <c r="J409" s="13" t="str">
        <f t="shared" si="131"/>
        <v/>
      </c>
      <c r="K409" s="13" t="str">
        <f t="shared" si="127"/>
        <v/>
      </c>
      <c r="L409" s="71" t="str">
        <f t="shared" si="132"/>
        <v/>
      </c>
      <c r="M409" s="128"/>
      <c r="N409" s="20"/>
      <c r="O409" s="68" t="s">
        <v>92</v>
      </c>
      <c r="P409" s="54"/>
      <c r="Q409" s="69">
        <f t="shared" si="128"/>
        <v>-1</v>
      </c>
      <c r="R409" s="54"/>
      <c r="S409" s="70" t="str">
        <f t="shared" si="133"/>
        <v>r</v>
      </c>
      <c r="T409" s="54"/>
      <c r="U409" s="74" t="s">
        <v>32</v>
      </c>
      <c r="V409" s="20"/>
    </row>
    <row r="410" spans="1:22" ht="18" x14ac:dyDescent="0.25">
      <c r="A410" s="131"/>
      <c r="B410" s="125"/>
      <c r="C410" s="244"/>
      <c r="D410" s="114" t="s">
        <v>80</v>
      </c>
      <c r="E410" s="114" t="s">
        <v>79</v>
      </c>
      <c r="F410" s="66" t="str">
        <f t="shared" si="129"/>
        <v/>
      </c>
      <c r="G410" s="66">
        <v>1.53</v>
      </c>
      <c r="H410" s="66">
        <v>2.37</v>
      </c>
      <c r="I410" s="66" t="str">
        <f t="shared" si="130"/>
        <v/>
      </c>
      <c r="J410" s="66" t="str">
        <f t="shared" si="131"/>
        <v/>
      </c>
      <c r="K410" s="66" t="str">
        <f t="shared" si="127"/>
        <v/>
      </c>
      <c r="L410" s="82" t="str">
        <f t="shared" si="132"/>
        <v/>
      </c>
      <c r="M410" s="128"/>
      <c r="N410" s="20"/>
      <c r="O410" s="68" t="s">
        <v>93</v>
      </c>
      <c r="P410" s="54"/>
      <c r="Q410" s="69">
        <f t="shared" si="128"/>
        <v>-1</v>
      </c>
      <c r="R410" s="54"/>
      <c r="S410" s="70" t="str">
        <f t="shared" si="133"/>
        <v>a</v>
      </c>
      <c r="T410" s="54"/>
      <c r="U410" s="133">
        <f>IF(AND(NOT(M403=0)),U403/M403,0)</f>
        <v>0</v>
      </c>
      <c r="V410" s="20"/>
    </row>
    <row r="411" spans="1:22" ht="18" x14ac:dyDescent="0.25">
      <c r="A411" s="131"/>
      <c r="B411" s="125"/>
      <c r="C411" s="245"/>
      <c r="D411" s="115" t="s">
        <v>46</v>
      </c>
      <c r="E411" s="115" t="s">
        <v>54</v>
      </c>
      <c r="F411" s="13" t="str">
        <f t="shared" si="129"/>
        <v/>
      </c>
      <c r="G411" s="13">
        <v>3</v>
      </c>
      <c r="H411" s="13">
        <v>1.36</v>
      </c>
      <c r="I411" s="13" t="str">
        <f t="shared" si="130"/>
        <v/>
      </c>
      <c r="J411" s="13" t="str">
        <f t="shared" si="131"/>
        <v/>
      </c>
      <c r="K411" s="13" t="str">
        <f t="shared" si="127"/>
        <v/>
      </c>
      <c r="L411" s="73" t="str">
        <f t="shared" si="132"/>
        <v/>
      </c>
      <c r="M411" s="128"/>
      <c r="N411" s="20"/>
      <c r="O411" s="68" t="s">
        <v>93</v>
      </c>
      <c r="P411" s="54"/>
      <c r="Q411" s="69">
        <f t="shared" si="128"/>
        <v>-1</v>
      </c>
      <c r="R411" s="54"/>
      <c r="S411" s="70" t="str">
        <f t="shared" si="133"/>
        <v>a</v>
      </c>
      <c r="T411" s="54"/>
      <c r="U411" s="134"/>
      <c r="V411" s="20"/>
    </row>
    <row r="412" spans="1:22" ht="18.75" thickBot="1" x14ac:dyDescent="0.3">
      <c r="A412" s="132"/>
      <c r="B412" s="126"/>
      <c r="C412" s="246"/>
      <c r="D412" s="116" t="s">
        <v>84</v>
      </c>
      <c r="E412" s="116" t="s">
        <v>45</v>
      </c>
      <c r="F412" s="75" t="str">
        <f t="shared" si="129"/>
        <v/>
      </c>
      <c r="G412" s="75">
        <v>2.75</v>
      </c>
      <c r="H412" s="75">
        <v>1.4</v>
      </c>
      <c r="I412" s="75" t="str">
        <f t="shared" si="130"/>
        <v/>
      </c>
      <c r="J412" s="75" t="str">
        <f t="shared" si="131"/>
        <v/>
      </c>
      <c r="K412" s="75" t="str">
        <f t="shared" si="127"/>
        <v/>
      </c>
      <c r="L412" s="85" t="str">
        <f t="shared" si="132"/>
        <v/>
      </c>
      <c r="M412" s="129"/>
      <c r="N412" s="20"/>
      <c r="O412" s="76" t="s">
        <v>92</v>
      </c>
      <c r="P412" s="20"/>
      <c r="Q412" s="77">
        <f>IF(OR(O412="",L412="NO BET"),0,IF(AND(K412=O412),IF(AND(K412="T2"),ROUNDUP(H412*0.95,2)-1,ROUNDUP(G412*0.95,2)-1),-1))</f>
        <v>-1</v>
      </c>
      <c r="R412" s="20"/>
      <c r="S412" s="78" t="str">
        <f t="shared" si="133"/>
        <v>r</v>
      </c>
      <c r="T412" s="20"/>
      <c r="U412" s="135"/>
      <c r="V412" s="20"/>
    </row>
    <row r="413" spans="1:22" x14ac:dyDescent="0.25">
      <c r="A413" s="20"/>
      <c r="B413" s="20"/>
      <c r="C413" s="22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2"/>
      <c r="R413" s="20"/>
      <c r="S413" s="20"/>
      <c r="T413" s="20"/>
      <c r="U413" s="23"/>
      <c r="V413" s="20"/>
    </row>
    <row r="414" spans="1:22" x14ac:dyDescent="0.25">
      <c r="A414" s="20"/>
      <c r="B414" s="20"/>
      <c r="C414" s="22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2"/>
      <c r="R414" s="20"/>
      <c r="S414" s="20"/>
      <c r="T414" s="20"/>
      <c r="U414" s="23"/>
      <c r="V414" s="20"/>
    </row>
    <row r="415" spans="1:22" ht="16.5" thickBot="1" x14ac:dyDescent="0.3">
      <c r="A415" s="20"/>
      <c r="B415" s="20"/>
      <c r="C415" s="22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2"/>
      <c r="R415" s="20"/>
      <c r="S415" s="20"/>
      <c r="T415" s="20"/>
      <c r="U415" s="23"/>
      <c r="V415" s="20"/>
    </row>
    <row r="416" spans="1:22" ht="19.5" customHeight="1" thickBot="1" x14ac:dyDescent="0.3">
      <c r="A416" s="100" t="s">
        <v>6</v>
      </c>
      <c r="B416" s="124" t="s">
        <v>28</v>
      </c>
      <c r="C416" s="232" t="s">
        <v>9</v>
      </c>
      <c r="D416" s="55" t="s">
        <v>10</v>
      </c>
      <c r="E416" s="55" t="s">
        <v>11</v>
      </c>
      <c r="F416" s="55" t="s">
        <v>12</v>
      </c>
      <c r="G416" s="55" t="s">
        <v>13</v>
      </c>
      <c r="H416" s="55" t="s">
        <v>14</v>
      </c>
      <c r="I416" s="55" t="s">
        <v>15</v>
      </c>
      <c r="J416" s="55" t="s">
        <v>16</v>
      </c>
      <c r="K416" s="55" t="s">
        <v>35</v>
      </c>
      <c r="L416" s="55" t="s">
        <v>17</v>
      </c>
      <c r="M416" s="56" t="s">
        <v>18</v>
      </c>
      <c r="N416" s="57"/>
      <c r="O416" s="58" t="s">
        <v>19</v>
      </c>
      <c r="P416" s="54"/>
      <c r="Q416" s="59" t="s">
        <v>36</v>
      </c>
      <c r="R416" s="54"/>
      <c r="S416" s="58" t="s">
        <v>37</v>
      </c>
      <c r="T416" s="54"/>
      <c r="U416" s="60" t="s">
        <v>30</v>
      </c>
      <c r="V416" s="20"/>
    </row>
    <row r="417" spans="1:22" ht="15.75" customHeight="1" x14ac:dyDescent="0.25">
      <c r="A417" s="101"/>
      <c r="B417" s="125"/>
      <c r="C417" s="243"/>
      <c r="D417" s="117" t="s">
        <v>84</v>
      </c>
      <c r="E417" s="117" t="s">
        <v>82</v>
      </c>
      <c r="F417" s="61" t="str">
        <f>IF(AND(C417=""),"",1-C417)</f>
        <v/>
      </c>
      <c r="G417" s="61">
        <v>1.5</v>
      </c>
      <c r="H417" s="61">
        <v>2.5</v>
      </c>
      <c r="I417" s="61" t="str">
        <f>IF(AND(C417=""),"",G417*C417)</f>
        <v/>
      </c>
      <c r="J417" s="61" t="str">
        <f>IF(AND(C417=""),"",H417*F417)</f>
        <v/>
      </c>
      <c r="K417" s="61" t="str">
        <f t="shared" ref="K417:K426" si="134">IF(AND(I417=""),"",IF(AND(I417&gt;J417),"T1","T2"))</f>
        <v/>
      </c>
      <c r="L417" s="62" t="str">
        <f>IF(AND(K417=""),"",IF(AND((J417*0.95-1)&lt;0,(I417*0.95-1)&lt;0),"NO BET", IF(AND(K417="T1"),I417*0.95 - 1,J417*0.95 - 1)))</f>
        <v/>
      </c>
      <c r="M417" s="127">
        <f>SUMIF(L417:L426,"&gt;0")</f>
        <v>0</v>
      </c>
      <c r="N417" s="57"/>
      <c r="O417" s="63" t="s">
        <v>93</v>
      </c>
      <c r="P417" s="57"/>
      <c r="Q417" s="64">
        <f t="shared" ref="Q417:Q425" si="135">IF(OR(O417="",L417="NO BET"),0,IF(AND(K417=O417),IF(AND(K417="T2"),ROUNDUP(H417*0.95,2)-1,ROUNDUP(G417*0.95,2)-1),-1))</f>
        <v>-1</v>
      </c>
      <c r="R417" s="54"/>
      <c r="S417" s="65" t="str">
        <f>IF(AND(O417=""),"",IF(AND(C417&gt;F417),IF(AND(O417="T1"),"a","r"),IF(AND(O417="T2"),"a","r")))</f>
        <v>a</v>
      </c>
      <c r="T417" s="54"/>
      <c r="U417" s="130">
        <f>SUM(Q417:Q426)</f>
        <v>-10</v>
      </c>
      <c r="V417" s="20"/>
    </row>
    <row r="418" spans="1:22" ht="15.75" customHeight="1" x14ac:dyDescent="0.25">
      <c r="A418" s="131" t="s">
        <v>6</v>
      </c>
      <c r="B418" s="125"/>
      <c r="C418" s="244"/>
      <c r="D418" s="114" t="s">
        <v>80</v>
      </c>
      <c r="E418" s="114" t="s">
        <v>83</v>
      </c>
      <c r="F418" s="66" t="str">
        <f t="shared" ref="F418:F426" si="136">IF(AND(C418=""),"",1-C418)</f>
        <v/>
      </c>
      <c r="G418" s="66">
        <v>1.66</v>
      </c>
      <c r="H418" s="66">
        <v>2.1</v>
      </c>
      <c r="I418" s="66" t="str">
        <f t="shared" ref="I418:I426" si="137">IF(AND(C418=""),"",G418*C418)</f>
        <v/>
      </c>
      <c r="J418" s="66" t="str">
        <f t="shared" ref="J418:J426" si="138">IF(AND(C418=""),"",H418*F418)</f>
        <v/>
      </c>
      <c r="K418" s="66" t="str">
        <f t="shared" si="134"/>
        <v/>
      </c>
      <c r="L418" s="67" t="str">
        <f t="shared" ref="L418:L426" si="139">IF(AND(K418=""),"",IF(AND((J418*0.95-1)&lt;0,(I418*0.95-1)&lt;0),"NO BET", IF(AND(K418="T1"),I418*0.95 - 1,J418*0.95 - 1)))</f>
        <v/>
      </c>
      <c r="M418" s="128"/>
      <c r="N418" s="20"/>
      <c r="O418" s="68" t="s">
        <v>93</v>
      </c>
      <c r="P418" s="54"/>
      <c r="Q418" s="69">
        <f t="shared" si="135"/>
        <v>-1</v>
      </c>
      <c r="R418" s="54"/>
      <c r="S418" s="70" t="str">
        <f t="shared" ref="S418:S426" si="140">IF(AND(O418=""),"",IF(AND(C418&gt;F418),IF(AND(O418="T1"),"a","r"),IF(AND(O418="T2"),"a","r")))</f>
        <v>a</v>
      </c>
      <c r="T418" s="54"/>
      <c r="U418" s="130"/>
      <c r="V418" s="20"/>
    </row>
    <row r="419" spans="1:22" ht="15.75" customHeight="1" x14ac:dyDescent="0.25">
      <c r="A419" s="131"/>
      <c r="B419" s="125"/>
      <c r="C419" s="245"/>
      <c r="D419" s="115" t="s">
        <v>85</v>
      </c>
      <c r="E419" s="115" t="s">
        <v>81</v>
      </c>
      <c r="F419" s="13" t="str">
        <f t="shared" si="136"/>
        <v/>
      </c>
      <c r="G419" s="115">
        <v>1.72</v>
      </c>
      <c r="H419" s="13">
        <v>2</v>
      </c>
      <c r="I419" s="13" t="str">
        <f t="shared" si="137"/>
        <v/>
      </c>
      <c r="J419" s="13" t="str">
        <f t="shared" si="138"/>
        <v/>
      </c>
      <c r="K419" s="13" t="str">
        <f t="shared" si="134"/>
        <v/>
      </c>
      <c r="L419" s="71" t="str">
        <f t="shared" si="139"/>
        <v/>
      </c>
      <c r="M419" s="128"/>
      <c r="N419" s="57"/>
      <c r="O419" s="68" t="s">
        <v>93</v>
      </c>
      <c r="P419" s="54"/>
      <c r="Q419" s="69">
        <f t="shared" si="135"/>
        <v>-1</v>
      </c>
      <c r="R419" s="54"/>
      <c r="S419" s="70" t="str">
        <f t="shared" si="140"/>
        <v>a</v>
      </c>
      <c r="T419" s="54"/>
      <c r="U419" s="130"/>
      <c r="V419" s="20"/>
    </row>
    <row r="420" spans="1:22" ht="15.75" customHeight="1" x14ac:dyDescent="0.25">
      <c r="A420" s="131"/>
      <c r="B420" s="125"/>
      <c r="C420" s="244"/>
      <c r="D420" s="114" t="s">
        <v>79</v>
      </c>
      <c r="E420" s="114" t="s">
        <v>54</v>
      </c>
      <c r="F420" s="66" t="str">
        <f t="shared" si="136"/>
        <v/>
      </c>
      <c r="G420" s="66">
        <v>3</v>
      </c>
      <c r="H420" s="66">
        <v>1.36</v>
      </c>
      <c r="I420" s="66" t="str">
        <f t="shared" si="137"/>
        <v/>
      </c>
      <c r="J420" s="66" t="str">
        <f t="shared" si="138"/>
        <v/>
      </c>
      <c r="K420" s="66" t="str">
        <f t="shared" si="134"/>
        <v/>
      </c>
      <c r="L420" s="67" t="str">
        <f t="shared" si="139"/>
        <v/>
      </c>
      <c r="M420" s="128"/>
      <c r="N420" s="72"/>
      <c r="O420" s="68" t="s">
        <v>93</v>
      </c>
      <c r="P420" s="54"/>
      <c r="Q420" s="69">
        <f t="shared" si="135"/>
        <v>-1</v>
      </c>
      <c r="R420" s="54"/>
      <c r="S420" s="70" t="str">
        <f t="shared" si="140"/>
        <v>a</v>
      </c>
      <c r="T420" s="54"/>
      <c r="U420" s="130"/>
      <c r="V420" s="20"/>
    </row>
    <row r="421" spans="1:22" ht="15.75" customHeight="1" x14ac:dyDescent="0.25">
      <c r="A421" s="131"/>
      <c r="B421" s="125"/>
      <c r="C421" s="245"/>
      <c r="D421" s="115" t="s">
        <v>46</v>
      </c>
      <c r="E421" s="115" t="s">
        <v>45</v>
      </c>
      <c r="F421" s="13" t="str">
        <f t="shared" si="136"/>
        <v/>
      </c>
      <c r="G421" s="13">
        <v>3.4</v>
      </c>
      <c r="H421" s="13">
        <v>1.3</v>
      </c>
      <c r="I421" s="13" t="str">
        <f t="shared" si="137"/>
        <v/>
      </c>
      <c r="J421" s="13" t="str">
        <f t="shared" si="138"/>
        <v/>
      </c>
      <c r="K421" s="13" t="str">
        <f t="shared" si="134"/>
        <v/>
      </c>
      <c r="L421" s="73" t="str">
        <f t="shared" si="139"/>
        <v/>
      </c>
      <c r="M421" s="128"/>
      <c r="N421" s="72"/>
      <c r="O421" s="68" t="s">
        <v>93</v>
      </c>
      <c r="P421" s="54"/>
      <c r="Q421" s="69">
        <f t="shared" si="135"/>
        <v>-1</v>
      </c>
      <c r="R421" s="54"/>
      <c r="S421" s="70" t="str">
        <f t="shared" si="140"/>
        <v>a</v>
      </c>
      <c r="T421" s="54"/>
      <c r="U421" s="130"/>
      <c r="V421" s="20"/>
    </row>
    <row r="422" spans="1:22" ht="15.75" customHeight="1" x14ac:dyDescent="0.25">
      <c r="A422" s="131"/>
      <c r="B422" s="125"/>
      <c r="C422" s="244"/>
      <c r="D422" s="114" t="s">
        <v>79</v>
      </c>
      <c r="E422" s="114" t="s">
        <v>85</v>
      </c>
      <c r="F422" s="66" t="str">
        <f t="shared" si="136"/>
        <v/>
      </c>
      <c r="G422" s="66">
        <v>2.5</v>
      </c>
      <c r="H422" s="66">
        <v>1.5</v>
      </c>
      <c r="I422" s="66" t="str">
        <f t="shared" si="137"/>
        <v/>
      </c>
      <c r="J422" s="66" t="str">
        <f t="shared" si="138"/>
        <v/>
      </c>
      <c r="K422" s="66" t="str">
        <f t="shared" si="134"/>
        <v/>
      </c>
      <c r="L422" s="67" t="str">
        <f t="shared" si="139"/>
        <v/>
      </c>
      <c r="M422" s="128"/>
      <c r="N422" s="72"/>
      <c r="O422" s="68" t="s">
        <v>93</v>
      </c>
      <c r="P422" s="54"/>
      <c r="Q422" s="69">
        <f t="shared" si="135"/>
        <v>-1</v>
      </c>
      <c r="R422" s="54"/>
      <c r="S422" s="70" t="str">
        <f t="shared" si="140"/>
        <v>a</v>
      </c>
      <c r="T422" s="54"/>
      <c r="U422" s="130"/>
      <c r="V422" s="20"/>
    </row>
    <row r="423" spans="1:22" ht="18.75" thickBot="1" x14ac:dyDescent="0.3">
      <c r="A423" s="131"/>
      <c r="B423" s="125"/>
      <c r="C423" s="245"/>
      <c r="D423" s="115" t="s">
        <v>82</v>
      </c>
      <c r="E423" s="115" t="s">
        <v>83</v>
      </c>
      <c r="F423" s="13" t="str">
        <f t="shared" si="136"/>
        <v/>
      </c>
      <c r="G423" s="13">
        <v>2.62</v>
      </c>
      <c r="H423" s="13">
        <v>1.44</v>
      </c>
      <c r="I423" s="13" t="str">
        <f t="shared" si="137"/>
        <v/>
      </c>
      <c r="J423" s="13" t="str">
        <f t="shared" si="138"/>
        <v/>
      </c>
      <c r="K423" s="13" t="str">
        <f t="shared" si="134"/>
        <v/>
      </c>
      <c r="L423" s="71" t="str">
        <f t="shared" si="139"/>
        <v/>
      </c>
      <c r="M423" s="128"/>
      <c r="N423" s="20"/>
      <c r="O423" s="68" t="s">
        <v>92</v>
      </c>
      <c r="P423" s="54"/>
      <c r="Q423" s="69">
        <f t="shared" si="135"/>
        <v>-1</v>
      </c>
      <c r="R423" s="54"/>
      <c r="S423" s="70" t="str">
        <f t="shared" si="140"/>
        <v>r</v>
      </c>
      <c r="T423" s="54"/>
      <c r="U423" s="74" t="s">
        <v>32</v>
      </c>
      <c r="V423" s="20"/>
    </row>
    <row r="424" spans="1:22" ht="18" x14ac:dyDescent="0.25">
      <c r="A424" s="131"/>
      <c r="B424" s="125"/>
      <c r="C424" s="244"/>
      <c r="D424" s="114" t="s">
        <v>46</v>
      </c>
      <c r="E424" s="114" t="s">
        <v>80</v>
      </c>
      <c r="F424" s="66" t="str">
        <f t="shared" si="136"/>
        <v/>
      </c>
      <c r="G424" s="66">
        <v>3.25</v>
      </c>
      <c r="H424" s="66">
        <v>1.33</v>
      </c>
      <c r="I424" s="66" t="str">
        <f t="shared" si="137"/>
        <v/>
      </c>
      <c r="J424" s="66" t="str">
        <f t="shared" si="138"/>
        <v/>
      </c>
      <c r="K424" s="66" t="str">
        <f t="shared" si="134"/>
        <v/>
      </c>
      <c r="L424" s="82" t="str">
        <f t="shared" si="139"/>
        <v/>
      </c>
      <c r="M424" s="128"/>
      <c r="N424" s="20"/>
      <c r="O424" s="68" t="s">
        <v>93</v>
      </c>
      <c r="P424" s="54"/>
      <c r="Q424" s="69">
        <f t="shared" si="135"/>
        <v>-1</v>
      </c>
      <c r="R424" s="54"/>
      <c r="S424" s="70" t="str">
        <f t="shared" si="140"/>
        <v>a</v>
      </c>
      <c r="T424" s="54"/>
      <c r="U424" s="133">
        <f>IF(AND(NOT(M417=0)),U417/M417,0)</f>
        <v>0</v>
      </c>
      <c r="V424" s="20"/>
    </row>
    <row r="425" spans="1:22" ht="18" x14ac:dyDescent="0.25">
      <c r="A425" s="131"/>
      <c r="B425" s="125"/>
      <c r="C425" s="245"/>
      <c r="D425" s="115" t="s">
        <v>45</v>
      </c>
      <c r="E425" s="115" t="s">
        <v>81</v>
      </c>
      <c r="F425" s="13" t="str">
        <f t="shared" si="136"/>
        <v/>
      </c>
      <c r="G425" s="13">
        <v>1.61</v>
      </c>
      <c r="H425" s="13">
        <v>2.2000000000000002</v>
      </c>
      <c r="I425" s="13" t="str">
        <f t="shared" si="137"/>
        <v/>
      </c>
      <c r="J425" s="13" t="str">
        <f t="shared" si="138"/>
        <v/>
      </c>
      <c r="K425" s="13" t="str">
        <f t="shared" si="134"/>
        <v/>
      </c>
      <c r="L425" s="73" t="str">
        <f t="shared" si="139"/>
        <v/>
      </c>
      <c r="M425" s="128"/>
      <c r="N425" s="20"/>
      <c r="O425" s="68" t="s">
        <v>92</v>
      </c>
      <c r="P425" s="54"/>
      <c r="Q425" s="69">
        <f t="shared" si="135"/>
        <v>-1</v>
      </c>
      <c r="R425" s="54"/>
      <c r="S425" s="70" t="str">
        <f t="shared" si="140"/>
        <v>r</v>
      </c>
      <c r="T425" s="54"/>
      <c r="U425" s="134"/>
      <c r="V425" s="20"/>
    </row>
    <row r="426" spans="1:22" ht="18.75" thickBot="1" x14ac:dyDescent="0.3">
      <c r="A426" s="132"/>
      <c r="B426" s="126"/>
      <c r="C426" s="246"/>
      <c r="D426" s="116" t="s">
        <v>54</v>
      </c>
      <c r="E426" s="116" t="s">
        <v>84</v>
      </c>
      <c r="F426" s="75" t="str">
        <f t="shared" si="136"/>
        <v/>
      </c>
      <c r="G426" s="75">
        <v>1.4</v>
      </c>
      <c r="H426" s="75">
        <v>2.75</v>
      </c>
      <c r="I426" s="75" t="str">
        <f t="shared" si="137"/>
        <v/>
      </c>
      <c r="J426" s="75" t="str">
        <f t="shared" si="138"/>
        <v/>
      </c>
      <c r="K426" s="75" t="str">
        <f t="shared" si="134"/>
        <v/>
      </c>
      <c r="L426" s="85" t="str">
        <f t="shared" si="139"/>
        <v/>
      </c>
      <c r="M426" s="129"/>
      <c r="N426" s="20"/>
      <c r="O426" s="76" t="s">
        <v>92</v>
      </c>
      <c r="P426" s="20"/>
      <c r="Q426" s="77">
        <f>IF(OR(O426="",L426="NO BET"),0,IF(AND(K426=O426),IF(AND(K426="T2"),ROUNDUP(H426*0.95,2)-1,ROUNDUP(G426*0.95,2)-1),-1))</f>
        <v>-1</v>
      </c>
      <c r="R426" s="20"/>
      <c r="S426" s="78" t="str">
        <f t="shared" si="140"/>
        <v>r</v>
      </c>
      <c r="T426" s="20"/>
      <c r="U426" s="135"/>
      <c r="V426" s="20"/>
    </row>
    <row r="427" spans="1:22" x14ac:dyDescent="0.25">
      <c r="A427" s="20"/>
      <c r="B427" s="20"/>
      <c r="C427" s="22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2"/>
      <c r="R427" s="20"/>
      <c r="S427" s="20"/>
      <c r="T427" s="20"/>
      <c r="U427" s="23"/>
      <c r="V427" s="20"/>
    </row>
    <row r="428" spans="1:22" x14ac:dyDescent="0.25">
      <c r="A428" s="20"/>
      <c r="B428" s="20"/>
      <c r="C428" s="22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2"/>
      <c r="R428" s="20"/>
      <c r="S428" s="20"/>
      <c r="T428" s="20"/>
      <c r="U428" s="23"/>
      <c r="V428" s="20"/>
    </row>
    <row r="429" spans="1:22" ht="16.5" thickBot="1" x14ac:dyDescent="0.3">
      <c r="A429" s="20"/>
      <c r="B429" s="20"/>
      <c r="C429" s="22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2"/>
      <c r="R429" s="20"/>
      <c r="S429" s="20"/>
      <c r="T429" s="20"/>
      <c r="U429" s="23"/>
      <c r="V429" s="20"/>
    </row>
    <row r="430" spans="1:22" ht="19.5" customHeight="1" thickBot="1" x14ac:dyDescent="0.3">
      <c r="A430" s="100" t="s">
        <v>6</v>
      </c>
      <c r="B430" s="124" t="s">
        <v>29</v>
      </c>
      <c r="C430" s="232" t="s">
        <v>9</v>
      </c>
      <c r="D430" s="55" t="s">
        <v>10</v>
      </c>
      <c r="E430" s="55" t="s">
        <v>11</v>
      </c>
      <c r="F430" s="55" t="s">
        <v>12</v>
      </c>
      <c r="G430" s="55" t="s">
        <v>13</v>
      </c>
      <c r="H430" s="55" t="s">
        <v>14</v>
      </c>
      <c r="I430" s="55" t="s">
        <v>15</v>
      </c>
      <c r="J430" s="55" t="s">
        <v>16</v>
      </c>
      <c r="K430" s="55" t="s">
        <v>35</v>
      </c>
      <c r="L430" s="55" t="s">
        <v>17</v>
      </c>
      <c r="M430" s="56" t="s">
        <v>18</v>
      </c>
      <c r="N430" s="57"/>
      <c r="O430" s="58" t="s">
        <v>19</v>
      </c>
      <c r="P430" s="54"/>
      <c r="Q430" s="59" t="s">
        <v>36</v>
      </c>
      <c r="R430" s="54"/>
      <c r="S430" s="58" t="s">
        <v>37</v>
      </c>
      <c r="T430" s="54"/>
      <c r="U430" s="60" t="s">
        <v>30</v>
      </c>
      <c r="V430" s="20"/>
    </row>
    <row r="431" spans="1:22" ht="15.75" customHeight="1" x14ac:dyDescent="0.25">
      <c r="A431" s="101"/>
      <c r="B431" s="125"/>
      <c r="C431" s="86"/>
      <c r="D431" s="117"/>
      <c r="E431" s="117"/>
      <c r="F431" s="61" t="str">
        <f>IF(AND(C431=""),"",1-C431)</f>
        <v/>
      </c>
      <c r="G431" s="61"/>
      <c r="H431" s="61"/>
      <c r="I431" s="61" t="str">
        <f>IF(AND(C431=""),"",G431*C431)</f>
        <v/>
      </c>
      <c r="J431" s="61" t="str">
        <f>IF(AND(C431=""),"",H431*F431)</f>
        <v/>
      </c>
      <c r="K431" s="61" t="str">
        <f t="shared" ref="K431:K440" si="141">IF(AND(I431=""),"",IF(AND(I431&gt;J431),"T1","T2"))</f>
        <v/>
      </c>
      <c r="L431" s="62" t="str">
        <f>IF(AND(K431=""),"",IF(AND((J431*0.95-1)&lt;0,(I431*0.95-1)&lt;0),"NO BET", IF(AND(K431="T1"),I431*0.95 - 1,J431*0.95 - 1)))</f>
        <v/>
      </c>
      <c r="M431" s="127">
        <f>SUMIF(L431:L440,"&gt;0")</f>
        <v>0</v>
      </c>
      <c r="N431" s="57"/>
      <c r="O431" s="63"/>
      <c r="P431" s="57"/>
      <c r="Q431" s="64">
        <f t="shared" ref="Q431:Q439" si="142">IF(OR(O431="",L431="NO BET"),0,IF(AND(K431=O431),IF(AND(K431="T2"),ROUNDUP(H431*0.95,2)-1,ROUNDUP(G431*0.95,2)-1),-1))</f>
        <v>0</v>
      </c>
      <c r="R431" s="54"/>
      <c r="S431" s="65" t="str">
        <f>IF(AND(O431=""),"",IF(AND(C431&gt;F431),IF(AND(O431="T1"),"a","r"),IF(AND(O431="T2"),"a","r")))</f>
        <v/>
      </c>
      <c r="T431" s="54"/>
      <c r="U431" s="130">
        <f>SUM(Q431:Q440)</f>
        <v>0</v>
      </c>
      <c r="V431" s="20"/>
    </row>
    <row r="432" spans="1:22" ht="15.75" customHeight="1" x14ac:dyDescent="0.25">
      <c r="A432" s="131" t="s">
        <v>6</v>
      </c>
      <c r="B432" s="125"/>
      <c r="C432" s="89"/>
      <c r="D432" s="114"/>
      <c r="E432" s="114"/>
      <c r="F432" s="66" t="str">
        <f t="shared" ref="F432:F440" si="143">IF(AND(C432=""),"",1-C432)</f>
        <v/>
      </c>
      <c r="G432" s="66"/>
      <c r="H432" s="66"/>
      <c r="I432" s="66" t="str">
        <f t="shared" ref="I432:I440" si="144">IF(AND(C432=""),"",G432*C432)</f>
        <v/>
      </c>
      <c r="J432" s="66" t="str">
        <f t="shared" ref="J432:J440" si="145">IF(AND(C432=""),"",H432*F432)</f>
        <v/>
      </c>
      <c r="K432" s="66" t="str">
        <f t="shared" si="141"/>
        <v/>
      </c>
      <c r="L432" s="67" t="str">
        <f t="shared" ref="L432:L440" si="146">IF(AND(K432=""),"",IF(AND((J432*0.95-1)&lt;0,(I432*0.95-1)&lt;0),"NO BET", IF(AND(K432="T1"),I432*0.95 - 1,J432*0.95 - 1)))</f>
        <v/>
      </c>
      <c r="M432" s="128"/>
      <c r="N432" s="20"/>
      <c r="O432" s="68"/>
      <c r="P432" s="54"/>
      <c r="Q432" s="69">
        <f t="shared" si="142"/>
        <v>0</v>
      </c>
      <c r="R432" s="54"/>
      <c r="S432" s="70" t="str">
        <f t="shared" ref="S432:S440" si="147">IF(AND(O432=""),"",IF(AND(C432&gt;F432),IF(AND(O432="T1"),"a","r"),IF(AND(O432="T2"),"a","r")))</f>
        <v/>
      </c>
      <c r="T432" s="54"/>
      <c r="U432" s="130"/>
      <c r="V432" s="20"/>
    </row>
    <row r="433" spans="1:22" ht="15.75" customHeight="1" x14ac:dyDescent="0.25">
      <c r="A433" s="131"/>
      <c r="B433" s="125"/>
      <c r="C433" s="91"/>
      <c r="D433" s="13"/>
      <c r="E433" s="13"/>
      <c r="F433" s="13" t="str">
        <f t="shared" si="143"/>
        <v/>
      </c>
      <c r="G433" s="13"/>
      <c r="H433" s="13"/>
      <c r="I433" s="13" t="str">
        <f t="shared" si="144"/>
        <v/>
      </c>
      <c r="J433" s="13" t="str">
        <f t="shared" si="145"/>
        <v/>
      </c>
      <c r="K433" s="13" t="str">
        <f t="shared" si="141"/>
        <v/>
      </c>
      <c r="L433" s="71" t="str">
        <f t="shared" si="146"/>
        <v/>
      </c>
      <c r="M433" s="128"/>
      <c r="N433" s="57"/>
      <c r="O433" s="68"/>
      <c r="P433" s="54"/>
      <c r="Q433" s="69">
        <f t="shared" si="142"/>
        <v>0</v>
      </c>
      <c r="R433" s="54"/>
      <c r="S433" s="70" t="str">
        <f t="shared" si="147"/>
        <v/>
      </c>
      <c r="T433" s="54"/>
      <c r="U433" s="130"/>
      <c r="V433" s="20"/>
    </row>
    <row r="434" spans="1:22" ht="15.75" customHeight="1" x14ac:dyDescent="0.25">
      <c r="A434" s="131"/>
      <c r="B434" s="125"/>
      <c r="C434" s="89"/>
      <c r="D434" s="66"/>
      <c r="E434" s="66"/>
      <c r="F434" s="66" t="str">
        <f t="shared" si="143"/>
        <v/>
      </c>
      <c r="G434" s="66"/>
      <c r="H434" s="66"/>
      <c r="I434" s="66" t="str">
        <f t="shared" si="144"/>
        <v/>
      </c>
      <c r="J434" s="66" t="str">
        <f t="shared" si="145"/>
        <v/>
      </c>
      <c r="K434" s="66" t="str">
        <f t="shared" si="141"/>
        <v/>
      </c>
      <c r="L434" s="67" t="str">
        <f t="shared" si="146"/>
        <v/>
      </c>
      <c r="M434" s="128"/>
      <c r="N434" s="72"/>
      <c r="O434" s="68"/>
      <c r="P434" s="54"/>
      <c r="Q434" s="69">
        <f t="shared" si="142"/>
        <v>0</v>
      </c>
      <c r="R434" s="54"/>
      <c r="S434" s="70" t="str">
        <f t="shared" si="147"/>
        <v/>
      </c>
      <c r="T434" s="54"/>
      <c r="U434" s="130"/>
      <c r="V434" s="20"/>
    </row>
    <row r="435" spans="1:22" ht="15.75" customHeight="1" x14ac:dyDescent="0.25">
      <c r="A435" s="131"/>
      <c r="B435" s="125"/>
      <c r="C435" s="91"/>
      <c r="D435" s="13"/>
      <c r="E435" s="13"/>
      <c r="F435" s="13" t="str">
        <f t="shared" si="143"/>
        <v/>
      </c>
      <c r="G435" s="13"/>
      <c r="H435" s="13"/>
      <c r="I435" s="13" t="str">
        <f t="shared" si="144"/>
        <v/>
      </c>
      <c r="J435" s="13" t="str">
        <f t="shared" si="145"/>
        <v/>
      </c>
      <c r="K435" s="13" t="str">
        <f t="shared" si="141"/>
        <v/>
      </c>
      <c r="L435" s="73" t="str">
        <f t="shared" si="146"/>
        <v/>
      </c>
      <c r="M435" s="128"/>
      <c r="N435" s="72"/>
      <c r="O435" s="68"/>
      <c r="P435" s="54"/>
      <c r="Q435" s="69">
        <f t="shared" si="142"/>
        <v>0</v>
      </c>
      <c r="R435" s="54"/>
      <c r="S435" s="70" t="str">
        <f t="shared" si="147"/>
        <v/>
      </c>
      <c r="T435" s="54"/>
      <c r="U435" s="130"/>
      <c r="V435" s="20"/>
    </row>
    <row r="436" spans="1:22" ht="15.75" customHeight="1" x14ac:dyDescent="0.25">
      <c r="A436" s="131"/>
      <c r="B436" s="125"/>
      <c r="C436" s="89"/>
      <c r="D436" s="66"/>
      <c r="E436" s="66"/>
      <c r="F436" s="66" t="str">
        <f t="shared" si="143"/>
        <v/>
      </c>
      <c r="G436" s="66"/>
      <c r="H436" s="66"/>
      <c r="I436" s="66" t="str">
        <f t="shared" si="144"/>
        <v/>
      </c>
      <c r="J436" s="66" t="str">
        <f t="shared" si="145"/>
        <v/>
      </c>
      <c r="K436" s="66" t="str">
        <f t="shared" si="141"/>
        <v/>
      </c>
      <c r="L436" s="67" t="str">
        <f t="shared" si="146"/>
        <v/>
      </c>
      <c r="M436" s="128"/>
      <c r="N436" s="72"/>
      <c r="O436" s="68"/>
      <c r="P436" s="54"/>
      <c r="Q436" s="69">
        <f t="shared" si="142"/>
        <v>0</v>
      </c>
      <c r="R436" s="54"/>
      <c r="S436" s="70" t="str">
        <f t="shared" si="147"/>
        <v/>
      </c>
      <c r="T436" s="54"/>
      <c r="U436" s="130"/>
      <c r="V436" s="20"/>
    </row>
    <row r="437" spans="1:22" ht="18.75" thickBot="1" x14ac:dyDescent="0.3">
      <c r="A437" s="131"/>
      <c r="B437" s="125"/>
      <c r="C437" s="91"/>
      <c r="D437" s="13"/>
      <c r="E437" s="13"/>
      <c r="F437" s="13" t="str">
        <f t="shared" si="143"/>
        <v/>
      </c>
      <c r="G437" s="13"/>
      <c r="H437" s="13"/>
      <c r="I437" s="13" t="str">
        <f t="shared" si="144"/>
        <v/>
      </c>
      <c r="J437" s="13" t="str">
        <f t="shared" si="145"/>
        <v/>
      </c>
      <c r="K437" s="13" t="str">
        <f t="shared" si="141"/>
        <v/>
      </c>
      <c r="L437" s="71" t="str">
        <f t="shared" si="146"/>
        <v/>
      </c>
      <c r="M437" s="128"/>
      <c r="N437" s="20"/>
      <c r="O437" s="68"/>
      <c r="P437" s="54"/>
      <c r="Q437" s="69">
        <f t="shared" si="142"/>
        <v>0</v>
      </c>
      <c r="R437" s="54"/>
      <c r="S437" s="70" t="str">
        <f t="shared" si="147"/>
        <v/>
      </c>
      <c r="T437" s="54"/>
      <c r="U437" s="74" t="s">
        <v>32</v>
      </c>
      <c r="V437" s="20"/>
    </row>
    <row r="438" spans="1:22" ht="18" x14ac:dyDescent="0.25">
      <c r="A438" s="131"/>
      <c r="B438" s="125"/>
      <c r="C438" s="89"/>
      <c r="D438" s="66"/>
      <c r="E438" s="66"/>
      <c r="F438" s="66" t="str">
        <f t="shared" si="143"/>
        <v/>
      </c>
      <c r="G438" s="66"/>
      <c r="H438" s="66"/>
      <c r="I438" s="66" t="str">
        <f t="shared" si="144"/>
        <v/>
      </c>
      <c r="J438" s="66" t="str">
        <f t="shared" si="145"/>
        <v/>
      </c>
      <c r="K438" s="66" t="str">
        <f t="shared" si="141"/>
        <v/>
      </c>
      <c r="L438" s="82" t="str">
        <f t="shared" si="146"/>
        <v/>
      </c>
      <c r="M438" s="128"/>
      <c r="N438" s="20"/>
      <c r="O438" s="68"/>
      <c r="P438" s="54"/>
      <c r="Q438" s="69">
        <f t="shared" si="142"/>
        <v>0</v>
      </c>
      <c r="R438" s="54"/>
      <c r="S438" s="70" t="str">
        <f t="shared" si="147"/>
        <v/>
      </c>
      <c r="T438" s="54"/>
      <c r="U438" s="133">
        <f>IF(AND(NOT(M431=0)),U431/M431,0)</f>
        <v>0</v>
      </c>
      <c r="V438" s="20"/>
    </row>
    <row r="439" spans="1:22" ht="18" x14ac:dyDescent="0.25">
      <c r="A439" s="131"/>
      <c r="B439" s="125"/>
      <c r="C439" s="91"/>
      <c r="D439" s="13"/>
      <c r="E439" s="13"/>
      <c r="F439" s="13" t="str">
        <f t="shared" si="143"/>
        <v/>
      </c>
      <c r="G439" s="13"/>
      <c r="H439" s="13"/>
      <c r="I439" s="13" t="str">
        <f t="shared" si="144"/>
        <v/>
      </c>
      <c r="J439" s="13" t="str">
        <f t="shared" si="145"/>
        <v/>
      </c>
      <c r="K439" s="13" t="str">
        <f t="shared" si="141"/>
        <v/>
      </c>
      <c r="L439" s="73" t="str">
        <f t="shared" si="146"/>
        <v/>
      </c>
      <c r="M439" s="128"/>
      <c r="N439" s="20"/>
      <c r="O439" s="68"/>
      <c r="P439" s="54"/>
      <c r="Q439" s="69">
        <f t="shared" si="142"/>
        <v>0</v>
      </c>
      <c r="R439" s="54"/>
      <c r="S439" s="70" t="str">
        <f t="shared" si="147"/>
        <v/>
      </c>
      <c r="T439" s="54"/>
      <c r="U439" s="134"/>
      <c r="V439" s="20"/>
    </row>
    <row r="440" spans="1:22" ht="18.75" thickBot="1" x14ac:dyDescent="0.3">
      <c r="A440" s="132"/>
      <c r="B440" s="126"/>
      <c r="C440" s="95"/>
      <c r="D440" s="75"/>
      <c r="E440" s="75"/>
      <c r="F440" s="75" t="str">
        <f t="shared" si="143"/>
        <v/>
      </c>
      <c r="G440" s="75"/>
      <c r="H440" s="75"/>
      <c r="I440" s="75" t="str">
        <f t="shared" si="144"/>
        <v/>
      </c>
      <c r="J440" s="75" t="str">
        <f t="shared" si="145"/>
        <v/>
      </c>
      <c r="K440" s="75" t="str">
        <f t="shared" si="141"/>
        <v/>
      </c>
      <c r="L440" s="85" t="str">
        <f t="shared" si="146"/>
        <v/>
      </c>
      <c r="M440" s="129"/>
      <c r="N440" s="20"/>
      <c r="O440" s="76"/>
      <c r="P440" s="20"/>
      <c r="Q440" s="77">
        <f>IF(OR(O440="",L440="NO BET"),0,IF(AND(K440=O440),IF(AND(K440="T2"),ROUNDUP(H440*0.95,2)-1,ROUNDUP(G440*0.95,2)-1),-1))</f>
        <v>0</v>
      </c>
      <c r="R440" s="20"/>
      <c r="S440" s="78" t="str">
        <f t="shared" si="147"/>
        <v/>
      </c>
      <c r="T440" s="20"/>
      <c r="U440" s="135"/>
      <c r="V440" s="20"/>
    </row>
    <row r="441" spans="1:22" x14ac:dyDescent="0.25">
      <c r="A441" s="20"/>
      <c r="B441" s="20"/>
      <c r="C441" s="22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2"/>
      <c r="R441" s="20"/>
      <c r="S441" s="20"/>
      <c r="T441" s="20"/>
      <c r="U441" s="23"/>
      <c r="V441" s="20"/>
    </row>
    <row r="442" spans="1:22" x14ac:dyDescent="0.25">
      <c r="A442" s="97"/>
      <c r="B442" s="97"/>
      <c r="C442" s="98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8"/>
      <c r="R442" s="97"/>
      <c r="S442" s="97"/>
      <c r="T442" s="97"/>
      <c r="U442" s="99"/>
      <c r="V442" s="20"/>
    </row>
    <row r="443" spans="1:22" x14ac:dyDescent="0.25">
      <c r="A443" s="97"/>
      <c r="B443" s="97"/>
      <c r="C443" s="98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8"/>
      <c r="R443" s="97"/>
      <c r="S443" s="97"/>
      <c r="T443" s="97"/>
      <c r="U443" s="99"/>
      <c r="V443" s="20"/>
    </row>
    <row r="444" spans="1:22" x14ac:dyDescent="0.25">
      <c r="A444" s="97"/>
      <c r="B444" s="97"/>
      <c r="C444" s="98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8"/>
      <c r="R444" s="97"/>
      <c r="S444" s="97"/>
      <c r="T444" s="97"/>
      <c r="U444" s="99"/>
      <c r="V444" s="20"/>
    </row>
    <row r="445" spans="1:22" x14ac:dyDescent="0.25">
      <c r="A445" s="97"/>
      <c r="B445" s="97"/>
      <c r="C445" s="98"/>
      <c r="D445" s="97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8"/>
      <c r="R445" s="97"/>
      <c r="S445" s="97"/>
      <c r="T445" s="97"/>
      <c r="U445" s="99"/>
      <c r="V445" s="20"/>
    </row>
    <row r="446" spans="1:22" x14ac:dyDescent="0.25">
      <c r="A446" s="97"/>
      <c r="B446" s="97"/>
      <c r="C446" s="98"/>
      <c r="D446" s="97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8"/>
      <c r="R446" s="97"/>
      <c r="S446" s="97"/>
      <c r="T446" s="97"/>
      <c r="U446" s="99"/>
      <c r="V446" s="20"/>
    </row>
    <row r="447" spans="1:22" x14ac:dyDescent="0.25">
      <c r="A447" s="97"/>
      <c r="B447" s="97"/>
      <c r="C447" s="98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8"/>
      <c r="R447" s="97"/>
      <c r="S447" s="97"/>
      <c r="T447" s="97"/>
      <c r="U447" s="99"/>
      <c r="V447" s="20"/>
    </row>
    <row r="448" spans="1:22" x14ac:dyDescent="0.25">
      <c r="A448" s="97"/>
      <c r="B448" s="97"/>
      <c r="C448" s="98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8"/>
      <c r="R448" s="97"/>
      <c r="S448" s="97"/>
      <c r="T448" s="97"/>
      <c r="U448" s="99"/>
      <c r="V448" s="20"/>
    </row>
    <row r="449" spans="1:22" x14ac:dyDescent="0.25">
      <c r="A449" s="97"/>
      <c r="B449" s="97"/>
      <c r="C449" s="98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8"/>
      <c r="R449" s="97"/>
      <c r="S449" s="97"/>
      <c r="T449" s="97"/>
      <c r="U449" s="99"/>
      <c r="V449" s="20"/>
    </row>
    <row r="450" spans="1:22" x14ac:dyDescent="0.25">
      <c r="A450" s="97"/>
      <c r="B450" s="97"/>
      <c r="C450" s="98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8"/>
      <c r="R450" s="97"/>
      <c r="S450" s="97"/>
      <c r="T450" s="97"/>
      <c r="U450" s="99"/>
      <c r="V450" s="20"/>
    </row>
    <row r="451" spans="1:22" x14ac:dyDescent="0.25">
      <c r="A451" s="97"/>
      <c r="B451" s="97"/>
      <c r="C451" s="98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8"/>
      <c r="R451" s="97"/>
      <c r="S451" s="97"/>
      <c r="T451" s="97"/>
      <c r="U451" s="99"/>
      <c r="V451" s="20"/>
    </row>
    <row r="452" spans="1:22" x14ac:dyDescent="0.25">
      <c r="A452" s="97"/>
      <c r="B452" s="97"/>
      <c r="C452" s="98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8"/>
      <c r="R452" s="97"/>
      <c r="S452" s="97"/>
      <c r="T452" s="97"/>
      <c r="U452" s="99"/>
      <c r="V452" s="20"/>
    </row>
    <row r="453" spans="1:22" x14ac:dyDescent="0.25">
      <c r="A453" s="97"/>
      <c r="B453" s="97"/>
      <c r="C453" s="98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8"/>
      <c r="R453" s="97"/>
      <c r="S453" s="97"/>
      <c r="T453" s="97"/>
      <c r="U453" s="99"/>
      <c r="V453" s="20"/>
    </row>
    <row r="454" spans="1:22" x14ac:dyDescent="0.25">
      <c r="A454" s="97"/>
      <c r="B454" s="97"/>
      <c r="C454" s="98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8"/>
      <c r="R454" s="97"/>
      <c r="S454" s="97"/>
      <c r="T454" s="97"/>
      <c r="U454" s="99"/>
      <c r="V454" s="20"/>
    </row>
    <row r="455" spans="1:22" x14ac:dyDescent="0.25">
      <c r="A455" s="97"/>
      <c r="B455" s="97"/>
      <c r="C455" s="98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8"/>
      <c r="R455" s="97"/>
      <c r="S455" s="97"/>
      <c r="T455" s="97"/>
      <c r="U455" s="99"/>
      <c r="V455" s="20"/>
    </row>
    <row r="456" spans="1:22" x14ac:dyDescent="0.25">
      <c r="A456" s="97"/>
      <c r="B456" s="97"/>
      <c r="C456" s="98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8"/>
      <c r="R456" s="97"/>
      <c r="S456" s="97"/>
      <c r="T456" s="97"/>
      <c r="U456" s="99"/>
      <c r="V456" s="20"/>
    </row>
    <row r="457" spans="1:22" x14ac:dyDescent="0.25">
      <c r="A457" s="97"/>
      <c r="B457" s="97"/>
      <c r="C457" s="98"/>
      <c r="D457" s="97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8"/>
      <c r="R457" s="97"/>
      <c r="S457" s="97"/>
      <c r="T457" s="97"/>
      <c r="U457" s="99"/>
      <c r="V457" s="20"/>
    </row>
    <row r="458" spans="1:22" x14ac:dyDescent="0.25">
      <c r="A458" s="97"/>
      <c r="B458" s="97"/>
      <c r="C458" s="98"/>
      <c r="D458" s="97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8"/>
      <c r="R458" s="97"/>
      <c r="S458" s="97"/>
      <c r="T458" s="97"/>
      <c r="U458" s="99"/>
      <c r="V458" s="20"/>
    </row>
    <row r="459" spans="1:22" ht="16.5" thickBot="1" x14ac:dyDescent="0.3">
      <c r="A459" s="20"/>
      <c r="B459" s="20"/>
      <c r="C459" s="22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2"/>
      <c r="R459" s="20"/>
      <c r="S459" s="20"/>
      <c r="T459" s="20"/>
      <c r="U459" s="23"/>
      <c r="V459" s="20"/>
    </row>
    <row r="460" spans="1:22" ht="22.5" customHeight="1" thickBot="1" x14ac:dyDescent="0.3">
      <c r="A460" s="100" t="s">
        <v>6</v>
      </c>
      <c r="B460" s="124" t="s">
        <v>8</v>
      </c>
      <c r="C460" s="238" t="s">
        <v>9</v>
      </c>
      <c r="D460" s="55" t="s">
        <v>10</v>
      </c>
      <c r="E460" s="55" t="s">
        <v>11</v>
      </c>
      <c r="F460" s="55" t="s">
        <v>12</v>
      </c>
      <c r="G460" s="55" t="s">
        <v>13</v>
      </c>
      <c r="H460" s="55" t="s">
        <v>14</v>
      </c>
      <c r="I460" s="55" t="s">
        <v>15</v>
      </c>
      <c r="J460" s="55" t="s">
        <v>16</v>
      </c>
      <c r="K460" s="55" t="s">
        <v>35</v>
      </c>
      <c r="L460" s="55" t="s">
        <v>17</v>
      </c>
      <c r="M460" s="56" t="s">
        <v>18</v>
      </c>
      <c r="N460" s="57"/>
      <c r="O460" s="58" t="s">
        <v>19</v>
      </c>
      <c r="P460" s="54"/>
      <c r="Q460" s="59" t="s">
        <v>36</v>
      </c>
      <c r="R460" s="54"/>
      <c r="S460" s="58" t="s">
        <v>37</v>
      </c>
      <c r="T460" s="54"/>
      <c r="U460" s="60" t="s">
        <v>30</v>
      </c>
      <c r="V460" s="20"/>
    </row>
    <row r="461" spans="1:22" ht="15.75" customHeight="1" x14ac:dyDescent="0.25">
      <c r="A461" s="101"/>
      <c r="B461" s="125"/>
      <c r="C461" s="220"/>
      <c r="D461" s="117" t="s">
        <v>51</v>
      </c>
      <c r="E461" s="117" t="s">
        <v>48</v>
      </c>
      <c r="F461" s="61" t="str">
        <f>IF(AND(C461=""),"",1-C461)</f>
        <v/>
      </c>
      <c r="G461" s="61">
        <v>2</v>
      </c>
      <c r="H461" s="61">
        <v>1.72</v>
      </c>
      <c r="I461" s="61" t="str">
        <f>IF(AND(C461=""),"",G461*C461)</f>
        <v/>
      </c>
      <c r="J461" s="61" t="str">
        <f>IF(AND(C461=""),"",H461*F461)</f>
        <v/>
      </c>
      <c r="K461" s="61" t="str">
        <f t="shared" ref="K461:K470" si="148">IF(AND(I461=""),"",IF(AND(I461&gt;J461),"T1","T2"))</f>
        <v/>
      </c>
      <c r="L461" s="62" t="str">
        <f>IF(AND(K461=""),"",IF(AND((J461*0.95-1)&lt;0,(I461*0.95-1)&lt;0),"NO BET", IF(AND(K461="T1"),I461*0.95 - 1,J461*0.95 - 1)))</f>
        <v/>
      </c>
      <c r="M461" s="127">
        <f>SUMIF(L461:L470,"&gt;0")</f>
        <v>0</v>
      </c>
      <c r="N461" s="57"/>
      <c r="O461" s="63" t="s">
        <v>92</v>
      </c>
      <c r="P461" s="57"/>
      <c r="Q461" s="64">
        <f t="shared" ref="Q461:Q469" si="149">IF(OR(O461="",L461="NO BET"),0,IF(AND(K461=O461),IF(AND(K461="T2"),ROUNDUP(H461*0.95,2)-1,ROUNDUP(G461*0.95,2)-1),-1))</f>
        <v>-1</v>
      </c>
      <c r="R461" s="54"/>
      <c r="S461" s="65" t="str">
        <f>IF(AND(O461=""),"",IF(AND(C461&gt;F461),IF(AND(O461="T1"),"a","r"),IF(AND(O461="T2"),"a","r")))</f>
        <v>r</v>
      </c>
      <c r="T461" s="54"/>
      <c r="U461" s="130">
        <f>SUM(Q461:Q470)</f>
        <v>-10</v>
      </c>
      <c r="V461" s="20"/>
    </row>
    <row r="462" spans="1:22" ht="15.75" customHeight="1" x14ac:dyDescent="0.25">
      <c r="A462" s="131" t="s">
        <v>7</v>
      </c>
      <c r="B462" s="125"/>
      <c r="C462" s="240"/>
      <c r="D462" s="66">
        <v>100</v>
      </c>
      <c r="E462" s="114" t="s">
        <v>77</v>
      </c>
      <c r="F462" s="66" t="str">
        <f t="shared" ref="F462:F470" si="150">IF(AND(C462=""),"",1-C462)</f>
        <v/>
      </c>
      <c r="G462" s="66">
        <v>1.57</v>
      </c>
      <c r="H462" s="66">
        <v>2.25</v>
      </c>
      <c r="I462" s="66" t="str">
        <f t="shared" ref="I462:I470" si="151">IF(AND(C462=""),"",G462*C462)</f>
        <v/>
      </c>
      <c r="J462" s="66" t="str">
        <f t="shared" ref="J462:J470" si="152">IF(AND(C462=""),"",H462*F462)</f>
        <v/>
      </c>
      <c r="K462" s="66" t="str">
        <f t="shared" si="148"/>
        <v/>
      </c>
      <c r="L462" s="67" t="str">
        <f t="shared" ref="L462:L470" si="153">IF(AND(K462=""),"",IF(AND((J462*0.95-1)&lt;0,(I462*0.95-1)&lt;0),"NO BET", IF(AND(K462="T1"),I462*0.95 - 1,J462*0.95 - 1)))</f>
        <v/>
      </c>
      <c r="M462" s="128"/>
      <c r="N462" s="54"/>
      <c r="O462" s="68" t="s">
        <v>92</v>
      </c>
      <c r="P462" s="54"/>
      <c r="Q462" s="69">
        <f t="shared" si="149"/>
        <v>-1</v>
      </c>
      <c r="R462" s="54"/>
      <c r="S462" s="70" t="str">
        <f t="shared" ref="S462:S470" si="154">IF(AND(O462=""),"",IF(AND(C462&gt;F462),IF(AND(O462="T1"),"a","r"),IF(AND(O462="T2"),"a","r")))</f>
        <v>r</v>
      </c>
      <c r="T462" s="54"/>
      <c r="U462" s="130"/>
      <c r="V462" s="20"/>
    </row>
    <row r="463" spans="1:22" ht="15.75" customHeight="1" x14ac:dyDescent="0.25">
      <c r="A463" s="131"/>
      <c r="B463" s="125"/>
      <c r="C463" s="241"/>
      <c r="D463" s="115" t="s">
        <v>78</v>
      </c>
      <c r="E463" s="115" t="s">
        <v>79</v>
      </c>
      <c r="F463" s="13" t="str">
        <f t="shared" si="150"/>
        <v/>
      </c>
      <c r="G463" s="13">
        <v>1.4</v>
      </c>
      <c r="H463" s="13">
        <v>2.75</v>
      </c>
      <c r="I463" s="13" t="str">
        <f t="shared" si="151"/>
        <v/>
      </c>
      <c r="J463" s="13" t="str">
        <f t="shared" si="152"/>
        <v/>
      </c>
      <c r="K463" s="13" t="str">
        <f t="shared" si="148"/>
        <v/>
      </c>
      <c r="L463" s="71" t="str">
        <f t="shared" si="153"/>
        <v/>
      </c>
      <c r="M463" s="128"/>
      <c r="N463" s="57"/>
      <c r="O463" s="68" t="s">
        <v>92</v>
      </c>
      <c r="P463" s="54"/>
      <c r="Q463" s="69">
        <f t="shared" si="149"/>
        <v>-1</v>
      </c>
      <c r="R463" s="54"/>
      <c r="S463" s="70" t="str">
        <f t="shared" si="154"/>
        <v>r</v>
      </c>
      <c r="T463" s="54"/>
      <c r="U463" s="130"/>
      <c r="V463" s="20"/>
    </row>
    <row r="464" spans="1:22" ht="15.75" customHeight="1" x14ac:dyDescent="0.25">
      <c r="A464" s="131"/>
      <c r="B464" s="125"/>
      <c r="C464" s="240"/>
      <c r="D464" s="114" t="s">
        <v>50</v>
      </c>
      <c r="E464" s="114" t="s">
        <v>52</v>
      </c>
      <c r="F464" s="66" t="str">
        <f t="shared" si="150"/>
        <v/>
      </c>
      <c r="G464" s="66">
        <v>1.57</v>
      </c>
      <c r="H464" s="66">
        <v>2.25</v>
      </c>
      <c r="I464" s="66" t="str">
        <f t="shared" si="151"/>
        <v/>
      </c>
      <c r="J464" s="66" t="str">
        <f t="shared" si="152"/>
        <v/>
      </c>
      <c r="K464" s="66" t="str">
        <f t="shared" si="148"/>
        <v/>
      </c>
      <c r="L464" s="67" t="str">
        <f t="shared" si="153"/>
        <v/>
      </c>
      <c r="M464" s="128"/>
      <c r="N464" s="72"/>
      <c r="O464" s="68" t="s">
        <v>92</v>
      </c>
      <c r="P464" s="54"/>
      <c r="Q464" s="69">
        <f t="shared" si="149"/>
        <v>-1</v>
      </c>
      <c r="R464" s="54"/>
      <c r="S464" s="70" t="str">
        <f t="shared" si="154"/>
        <v>r</v>
      </c>
      <c r="T464" s="54"/>
      <c r="U464" s="130"/>
      <c r="V464" s="20"/>
    </row>
    <row r="465" spans="1:22" ht="15.75" customHeight="1" x14ac:dyDescent="0.25">
      <c r="A465" s="131"/>
      <c r="B465" s="125"/>
      <c r="C465" s="241"/>
      <c r="D465" s="115" t="s">
        <v>49</v>
      </c>
      <c r="E465" s="115" t="s">
        <v>47</v>
      </c>
      <c r="F465" s="13" t="str">
        <f t="shared" si="150"/>
        <v/>
      </c>
      <c r="G465" s="13">
        <v>1.66</v>
      </c>
      <c r="H465" s="13">
        <v>2.1</v>
      </c>
      <c r="I465" s="13" t="str">
        <f t="shared" si="151"/>
        <v/>
      </c>
      <c r="J465" s="13" t="str">
        <f t="shared" si="152"/>
        <v/>
      </c>
      <c r="K465" s="13" t="str">
        <f t="shared" si="148"/>
        <v/>
      </c>
      <c r="L465" s="73" t="str">
        <f t="shared" si="153"/>
        <v/>
      </c>
      <c r="M465" s="128"/>
      <c r="N465" s="72"/>
      <c r="O465" s="68" t="s">
        <v>93</v>
      </c>
      <c r="P465" s="54"/>
      <c r="Q465" s="69">
        <f t="shared" si="149"/>
        <v>-1</v>
      </c>
      <c r="R465" s="54"/>
      <c r="S465" s="70" t="str">
        <f t="shared" si="154"/>
        <v>a</v>
      </c>
      <c r="T465" s="54"/>
      <c r="U465" s="130"/>
      <c r="V465" s="20"/>
    </row>
    <row r="466" spans="1:22" ht="15.75" customHeight="1" x14ac:dyDescent="0.25">
      <c r="A466" s="131"/>
      <c r="B466" s="125"/>
      <c r="C466" s="240"/>
      <c r="D466" s="114" t="s">
        <v>77</v>
      </c>
      <c r="E466" s="114" t="s">
        <v>51</v>
      </c>
      <c r="F466" s="66" t="str">
        <f t="shared" si="150"/>
        <v/>
      </c>
      <c r="G466" s="66">
        <v>3.25</v>
      </c>
      <c r="H466" s="66">
        <v>1.33</v>
      </c>
      <c r="I466" s="66" t="str">
        <f t="shared" si="151"/>
        <v/>
      </c>
      <c r="J466" s="66" t="str">
        <f t="shared" si="152"/>
        <v/>
      </c>
      <c r="K466" s="66" t="str">
        <f t="shared" si="148"/>
        <v/>
      </c>
      <c r="L466" s="67" t="str">
        <f t="shared" si="153"/>
        <v/>
      </c>
      <c r="M466" s="128"/>
      <c r="N466" s="72"/>
      <c r="O466" s="68" t="s">
        <v>93</v>
      </c>
      <c r="P466" s="54"/>
      <c r="Q466" s="69">
        <f t="shared" si="149"/>
        <v>-1</v>
      </c>
      <c r="R466" s="54"/>
      <c r="S466" s="70" t="str">
        <f t="shared" si="154"/>
        <v>a</v>
      </c>
      <c r="T466" s="54"/>
      <c r="U466" s="130"/>
      <c r="V466" s="20"/>
    </row>
    <row r="467" spans="1:22" ht="18.75" thickBot="1" x14ac:dyDescent="0.3">
      <c r="A467" s="131"/>
      <c r="B467" s="125"/>
      <c r="C467" s="241"/>
      <c r="D467" s="115" t="s">
        <v>52</v>
      </c>
      <c r="E467" s="115" t="s">
        <v>48</v>
      </c>
      <c r="F467" s="13" t="str">
        <f t="shared" si="150"/>
        <v/>
      </c>
      <c r="G467" s="13">
        <v>3.25</v>
      </c>
      <c r="H467" s="13">
        <v>1.33</v>
      </c>
      <c r="I467" s="13" t="str">
        <f t="shared" si="151"/>
        <v/>
      </c>
      <c r="J467" s="13" t="str">
        <f t="shared" si="152"/>
        <v/>
      </c>
      <c r="K467" s="13" t="str">
        <f t="shared" si="148"/>
        <v/>
      </c>
      <c r="L467" s="71" t="str">
        <f t="shared" si="153"/>
        <v/>
      </c>
      <c r="M467" s="128"/>
      <c r="N467" s="54"/>
      <c r="O467" s="68" t="s">
        <v>92</v>
      </c>
      <c r="P467" s="54"/>
      <c r="Q467" s="69">
        <f t="shared" si="149"/>
        <v>-1</v>
      </c>
      <c r="R467" s="54"/>
      <c r="S467" s="70" t="str">
        <f t="shared" si="154"/>
        <v>r</v>
      </c>
      <c r="T467" s="54"/>
      <c r="U467" s="74" t="s">
        <v>32</v>
      </c>
      <c r="V467" s="20"/>
    </row>
    <row r="468" spans="1:22" ht="18" x14ac:dyDescent="0.25">
      <c r="A468" s="131"/>
      <c r="B468" s="125"/>
      <c r="C468" s="240"/>
      <c r="D468" s="114" t="s">
        <v>49</v>
      </c>
      <c r="E468" s="66">
        <v>100</v>
      </c>
      <c r="F468" s="66" t="str">
        <f t="shared" si="150"/>
        <v/>
      </c>
      <c r="G468" s="66">
        <v>1.5</v>
      </c>
      <c r="H468" s="66">
        <v>2.5</v>
      </c>
      <c r="I468" s="66" t="str">
        <f t="shared" si="151"/>
        <v/>
      </c>
      <c r="J468" s="66" t="str">
        <f t="shared" si="152"/>
        <v/>
      </c>
      <c r="K468" s="66" t="str">
        <f t="shared" si="148"/>
        <v/>
      </c>
      <c r="L468" s="82" t="str">
        <f t="shared" si="153"/>
        <v/>
      </c>
      <c r="M468" s="128"/>
      <c r="N468" s="54"/>
      <c r="O468" s="68" t="s">
        <v>93</v>
      </c>
      <c r="P468" s="54"/>
      <c r="Q468" s="69">
        <f t="shared" si="149"/>
        <v>-1</v>
      </c>
      <c r="R468" s="54"/>
      <c r="S468" s="70" t="str">
        <f t="shared" si="154"/>
        <v>a</v>
      </c>
      <c r="T468" s="54"/>
      <c r="U468" s="133">
        <f>IF(AND(NOT(M461=0)),U461/M461,0)</f>
        <v>0</v>
      </c>
      <c r="V468" s="20"/>
    </row>
    <row r="469" spans="1:22" ht="18" x14ac:dyDescent="0.25">
      <c r="A469" s="131"/>
      <c r="B469" s="125"/>
      <c r="C469" s="235"/>
      <c r="D469" s="115" t="s">
        <v>79</v>
      </c>
      <c r="E469" s="115" t="s">
        <v>47</v>
      </c>
      <c r="F469" s="13" t="str">
        <f t="shared" si="150"/>
        <v/>
      </c>
      <c r="G469" s="13">
        <v>2.75</v>
      </c>
      <c r="H469" s="13">
        <v>1.4</v>
      </c>
      <c r="I469" s="13" t="str">
        <f t="shared" si="151"/>
        <v/>
      </c>
      <c r="J469" s="13" t="str">
        <f t="shared" si="152"/>
        <v/>
      </c>
      <c r="K469" s="13" t="str">
        <f t="shared" si="148"/>
        <v/>
      </c>
      <c r="L469" s="73" t="str">
        <f t="shared" si="153"/>
        <v/>
      </c>
      <c r="M469" s="128"/>
      <c r="N469" s="54"/>
      <c r="O469" s="68" t="s">
        <v>93</v>
      </c>
      <c r="P469" s="54"/>
      <c r="Q469" s="69">
        <f t="shared" si="149"/>
        <v>-1</v>
      </c>
      <c r="R469" s="54"/>
      <c r="S469" s="70" t="str">
        <f t="shared" si="154"/>
        <v>a</v>
      </c>
      <c r="T469" s="54"/>
      <c r="U469" s="134"/>
      <c r="V469" s="20"/>
    </row>
    <row r="470" spans="1:22" ht="18.75" thickBot="1" x14ac:dyDescent="0.3">
      <c r="A470" s="132"/>
      <c r="B470" s="126"/>
      <c r="C470" s="236"/>
      <c r="D470" s="116" t="s">
        <v>50</v>
      </c>
      <c r="E470" s="116" t="s">
        <v>78</v>
      </c>
      <c r="F470" s="75" t="str">
        <f t="shared" si="150"/>
        <v/>
      </c>
      <c r="G470" s="75">
        <v>1.9</v>
      </c>
      <c r="H470" s="75">
        <v>1.8</v>
      </c>
      <c r="I470" s="75" t="str">
        <f t="shared" si="151"/>
        <v/>
      </c>
      <c r="J470" s="75" t="str">
        <f t="shared" si="152"/>
        <v/>
      </c>
      <c r="K470" s="75" t="str">
        <f t="shared" si="148"/>
        <v/>
      </c>
      <c r="L470" s="85" t="str">
        <f t="shared" si="153"/>
        <v/>
      </c>
      <c r="M470" s="129"/>
      <c r="N470" s="54"/>
      <c r="O470" s="76" t="s">
        <v>92</v>
      </c>
      <c r="P470" s="20"/>
      <c r="Q470" s="77">
        <f>IF(OR(O470="",L470="NO BET"),0,IF(AND(K470=O470),IF(AND(K470="T2"),ROUNDUP(H470*0.95,2)-1,ROUNDUP(G470*0.95,2)-1),-1))</f>
        <v>-1</v>
      </c>
      <c r="R470" s="20"/>
      <c r="S470" s="78" t="str">
        <f t="shared" si="154"/>
        <v>r</v>
      </c>
      <c r="T470" s="20"/>
      <c r="U470" s="135"/>
      <c r="V470" s="20"/>
    </row>
    <row r="471" spans="1:22" x14ac:dyDescent="0.25">
      <c r="A471" s="20"/>
      <c r="B471" s="20"/>
      <c r="C471" s="22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54"/>
      <c r="O471" s="54"/>
      <c r="P471" s="54"/>
      <c r="Q471" s="104"/>
      <c r="R471" s="54"/>
      <c r="S471" s="54"/>
      <c r="T471" s="54"/>
      <c r="U471" s="105"/>
      <c r="V471" s="20"/>
    </row>
    <row r="472" spans="1:22" x14ac:dyDescent="0.25">
      <c r="A472" s="20"/>
      <c r="B472" s="20"/>
      <c r="C472" s="22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54"/>
      <c r="O472" s="54"/>
      <c r="P472" s="54"/>
      <c r="Q472" s="104"/>
      <c r="R472" s="54"/>
      <c r="S472" s="54"/>
      <c r="T472" s="54"/>
      <c r="U472" s="105"/>
      <c r="V472" s="20"/>
    </row>
    <row r="473" spans="1:22" ht="16.5" thickBot="1" x14ac:dyDescent="0.3">
      <c r="A473" s="20"/>
      <c r="B473" s="20"/>
      <c r="C473" s="22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54"/>
      <c r="O473" s="54"/>
      <c r="P473" s="54"/>
      <c r="Q473" s="104"/>
      <c r="R473" s="54"/>
      <c r="S473" s="54"/>
      <c r="T473" s="54"/>
      <c r="U473" s="105"/>
      <c r="V473" s="20"/>
    </row>
    <row r="474" spans="1:22" ht="22.5" customHeight="1" thickBot="1" x14ac:dyDescent="0.3">
      <c r="A474" s="100" t="s">
        <v>6</v>
      </c>
      <c r="B474" s="124" t="s">
        <v>21</v>
      </c>
      <c r="C474" s="239" t="s">
        <v>9</v>
      </c>
      <c r="D474" s="55" t="s">
        <v>10</v>
      </c>
      <c r="E474" s="55" t="s">
        <v>11</v>
      </c>
      <c r="F474" s="55" t="s">
        <v>12</v>
      </c>
      <c r="G474" s="55" t="s">
        <v>13</v>
      </c>
      <c r="H474" s="55" t="s">
        <v>14</v>
      </c>
      <c r="I474" s="55" t="s">
        <v>15</v>
      </c>
      <c r="J474" s="55" t="s">
        <v>16</v>
      </c>
      <c r="K474" s="55" t="s">
        <v>35</v>
      </c>
      <c r="L474" s="55" t="s">
        <v>17</v>
      </c>
      <c r="M474" s="56" t="s">
        <v>18</v>
      </c>
      <c r="N474" s="57"/>
      <c r="O474" s="58" t="s">
        <v>19</v>
      </c>
      <c r="P474" s="54"/>
      <c r="Q474" s="59" t="s">
        <v>36</v>
      </c>
      <c r="R474" s="54"/>
      <c r="S474" s="58" t="s">
        <v>37</v>
      </c>
      <c r="T474" s="54"/>
      <c r="U474" s="60" t="s">
        <v>30</v>
      </c>
      <c r="V474" s="20"/>
    </row>
    <row r="475" spans="1:22" ht="15.75" customHeight="1" x14ac:dyDescent="0.25">
      <c r="A475" s="101"/>
      <c r="B475" s="125"/>
      <c r="C475" s="233"/>
      <c r="D475" s="117" t="s">
        <v>78</v>
      </c>
      <c r="E475" s="117" t="s">
        <v>49</v>
      </c>
      <c r="F475" s="61" t="str">
        <f>IF(AND(C475=""),"",1-C475)</f>
        <v/>
      </c>
      <c r="G475" s="61">
        <v>2</v>
      </c>
      <c r="H475" s="61">
        <v>1.72</v>
      </c>
      <c r="I475" s="61" t="str">
        <f>IF(AND(C475=""),"",G475*C475)</f>
        <v/>
      </c>
      <c r="J475" s="61" t="str">
        <f>IF(AND(C475=""),"",H475*F475)</f>
        <v/>
      </c>
      <c r="K475" s="61" t="str">
        <f t="shared" ref="K475:K484" si="155">IF(AND(I475=""),"",IF(AND(I475&gt;J475),"T1","T2"))</f>
        <v/>
      </c>
      <c r="L475" s="62" t="str">
        <f>IF(AND(K475=""),"",IF(AND((J475*0.95-1)&lt;0,(I475*0.95-1)&lt;0),"NO BET", IF(AND(K475="T1"),I475*0.95 - 1,J475*0.95 - 1)))</f>
        <v/>
      </c>
      <c r="M475" s="127">
        <f>SUMIF(L475:L484,"&gt;0")</f>
        <v>0</v>
      </c>
      <c r="N475" s="57"/>
      <c r="O475" s="63" t="s">
        <v>93</v>
      </c>
      <c r="P475" s="57"/>
      <c r="Q475" s="64">
        <f t="shared" ref="Q475:Q483" si="156">IF(OR(O475="",L475="NO BET"),0,IF(AND(K475=O475),IF(AND(K475="T2"),ROUNDUP(H475*0.95,2)-1,ROUNDUP(G475*0.95,2)-1),-1))</f>
        <v>-1</v>
      </c>
      <c r="R475" s="54"/>
      <c r="S475" s="65" t="str">
        <f>IF(AND(O475=""),"",IF(AND(C475&gt;F475),IF(AND(O475="T1"),"a","r"),IF(AND(O475="T2"),"a","r")))</f>
        <v>a</v>
      </c>
      <c r="T475" s="54"/>
      <c r="U475" s="130">
        <f>SUM(Q475:Q484)</f>
        <v>-10</v>
      </c>
      <c r="V475" s="20"/>
    </row>
    <row r="476" spans="1:22" ht="15.75" customHeight="1" x14ac:dyDescent="0.25">
      <c r="A476" s="131" t="s">
        <v>7</v>
      </c>
      <c r="B476" s="125"/>
      <c r="C476" s="234"/>
      <c r="D476" s="114" t="s">
        <v>48</v>
      </c>
      <c r="E476" s="114" t="s">
        <v>77</v>
      </c>
      <c r="F476" s="66" t="str">
        <f t="shared" ref="F476:F484" si="157">IF(AND(C476=""),"",1-C476)</f>
        <v/>
      </c>
      <c r="G476" s="66">
        <v>1.4</v>
      </c>
      <c r="H476" s="66">
        <v>2.75</v>
      </c>
      <c r="I476" s="66" t="str">
        <f t="shared" ref="I476:I484" si="158">IF(AND(C476=""),"",G476*C476)</f>
        <v/>
      </c>
      <c r="J476" s="66" t="str">
        <f t="shared" ref="J476:J484" si="159">IF(AND(C476=""),"",H476*F476)</f>
        <v/>
      </c>
      <c r="K476" s="66" t="str">
        <f t="shared" si="155"/>
        <v/>
      </c>
      <c r="L476" s="67" t="str">
        <f t="shared" ref="L476:L484" si="160">IF(AND(K476=""),"",IF(AND((J476*0.95-1)&lt;0,(I476*0.95-1)&lt;0),"NO BET", IF(AND(K476="T1"),I476*0.95 - 1,J476*0.95 - 1)))</f>
        <v/>
      </c>
      <c r="M476" s="128"/>
      <c r="N476" s="20"/>
      <c r="O476" s="68" t="s">
        <v>92</v>
      </c>
      <c r="P476" s="54"/>
      <c r="Q476" s="69">
        <f t="shared" si="156"/>
        <v>-1</v>
      </c>
      <c r="R476" s="54"/>
      <c r="S476" s="70" t="str">
        <f t="shared" ref="S476:S484" si="161">IF(AND(O476=""),"",IF(AND(C476&gt;F476),IF(AND(O476="T1"),"a","r"),IF(AND(O476="T2"),"a","r")))</f>
        <v>r</v>
      </c>
      <c r="T476" s="54"/>
      <c r="U476" s="130"/>
      <c r="V476" s="20"/>
    </row>
    <row r="477" spans="1:22" ht="15.75" customHeight="1" x14ac:dyDescent="0.25">
      <c r="A477" s="131"/>
      <c r="B477" s="125"/>
      <c r="C477" s="235"/>
      <c r="D477" s="115" t="s">
        <v>47</v>
      </c>
      <c r="E477" s="115" t="s">
        <v>50</v>
      </c>
      <c r="F477" s="13" t="str">
        <f t="shared" si="157"/>
        <v/>
      </c>
      <c r="G477" s="13">
        <v>1.8</v>
      </c>
      <c r="H477" s="13">
        <v>1.9</v>
      </c>
      <c r="I477" s="13" t="str">
        <f t="shared" si="158"/>
        <v/>
      </c>
      <c r="J477" s="13" t="str">
        <f t="shared" si="159"/>
        <v/>
      </c>
      <c r="K477" s="13" t="str">
        <f t="shared" si="155"/>
        <v/>
      </c>
      <c r="L477" s="71" t="str">
        <f t="shared" si="160"/>
        <v/>
      </c>
      <c r="M477" s="128"/>
      <c r="N477" s="57"/>
      <c r="O477" s="68" t="s">
        <v>93</v>
      </c>
      <c r="P477" s="54"/>
      <c r="Q477" s="69">
        <f t="shared" si="156"/>
        <v>-1</v>
      </c>
      <c r="R477" s="54"/>
      <c r="S477" s="70" t="str">
        <f t="shared" si="161"/>
        <v>a</v>
      </c>
      <c r="T477" s="54"/>
      <c r="U477" s="130"/>
      <c r="V477" s="20"/>
    </row>
    <row r="478" spans="1:22" ht="15.75" customHeight="1" x14ac:dyDescent="0.25">
      <c r="A478" s="131"/>
      <c r="B478" s="125"/>
      <c r="C478" s="234"/>
      <c r="D478" s="66">
        <v>100</v>
      </c>
      <c r="E478" s="114" t="s">
        <v>51</v>
      </c>
      <c r="F478" s="66" t="str">
        <f t="shared" si="157"/>
        <v/>
      </c>
      <c r="G478" s="66">
        <v>2.25</v>
      </c>
      <c r="H478" s="66">
        <v>1.57</v>
      </c>
      <c r="I478" s="66" t="str">
        <f t="shared" si="158"/>
        <v/>
      </c>
      <c r="J478" s="66" t="str">
        <f t="shared" si="159"/>
        <v/>
      </c>
      <c r="K478" s="66" t="str">
        <f t="shared" si="155"/>
        <v/>
      </c>
      <c r="L478" s="67" t="str">
        <f t="shared" si="160"/>
        <v/>
      </c>
      <c r="M478" s="128"/>
      <c r="N478" s="72"/>
      <c r="O478" s="68" t="s">
        <v>92</v>
      </c>
      <c r="P478" s="54"/>
      <c r="Q478" s="69">
        <f t="shared" si="156"/>
        <v>-1</v>
      </c>
      <c r="R478" s="54"/>
      <c r="S478" s="70" t="str">
        <f t="shared" si="161"/>
        <v>r</v>
      </c>
      <c r="T478" s="54"/>
      <c r="U478" s="130"/>
      <c r="V478" s="20"/>
    </row>
    <row r="479" spans="1:22" ht="15.75" customHeight="1" x14ac:dyDescent="0.25">
      <c r="A479" s="131"/>
      <c r="B479" s="125"/>
      <c r="C479" s="235"/>
      <c r="D479" s="115" t="s">
        <v>79</v>
      </c>
      <c r="E479" s="115" t="s">
        <v>52</v>
      </c>
      <c r="F479" s="13" t="str">
        <f t="shared" si="157"/>
        <v/>
      </c>
      <c r="G479" s="13">
        <v>2.25</v>
      </c>
      <c r="H479" s="13">
        <v>1.57</v>
      </c>
      <c r="I479" s="13" t="str">
        <f t="shared" si="158"/>
        <v/>
      </c>
      <c r="J479" s="13" t="str">
        <f t="shared" si="159"/>
        <v/>
      </c>
      <c r="K479" s="13" t="str">
        <f t="shared" si="155"/>
        <v/>
      </c>
      <c r="L479" s="73" t="str">
        <f t="shared" si="160"/>
        <v/>
      </c>
      <c r="M479" s="128"/>
      <c r="N479" s="72"/>
      <c r="O479" s="68" t="s">
        <v>93</v>
      </c>
      <c r="P479" s="54"/>
      <c r="Q479" s="69">
        <f t="shared" si="156"/>
        <v>-1</v>
      </c>
      <c r="R479" s="54"/>
      <c r="S479" s="70" t="str">
        <f t="shared" si="161"/>
        <v>a</v>
      </c>
      <c r="T479" s="54"/>
      <c r="U479" s="130"/>
      <c r="V479" s="20"/>
    </row>
    <row r="480" spans="1:22" ht="15.75" customHeight="1" x14ac:dyDescent="0.25">
      <c r="A480" s="131"/>
      <c r="B480" s="125"/>
      <c r="C480" s="234"/>
      <c r="D480" s="114" t="s">
        <v>50</v>
      </c>
      <c r="E480" s="114" t="s">
        <v>48</v>
      </c>
      <c r="F480" s="66" t="str">
        <f t="shared" si="157"/>
        <v/>
      </c>
      <c r="G480" s="66">
        <v>2.1</v>
      </c>
      <c r="H480" s="66">
        <v>1.66</v>
      </c>
      <c r="I480" s="66" t="str">
        <f t="shared" si="158"/>
        <v/>
      </c>
      <c r="J480" s="66" t="str">
        <f t="shared" si="159"/>
        <v/>
      </c>
      <c r="K480" s="66" t="str">
        <f t="shared" si="155"/>
        <v/>
      </c>
      <c r="L480" s="67" t="str">
        <f t="shared" si="160"/>
        <v/>
      </c>
      <c r="M480" s="128"/>
      <c r="N480" s="72"/>
      <c r="O480" s="68" t="s">
        <v>92</v>
      </c>
      <c r="P480" s="54"/>
      <c r="Q480" s="69">
        <f t="shared" si="156"/>
        <v>-1</v>
      </c>
      <c r="R480" s="54"/>
      <c r="S480" s="70" t="str">
        <f t="shared" si="161"/>
        <v>r</v>
      </c>
      <c r="T480" s="54"/>
      <c r="U480" s="130"/>
      <c r="V480" s="20"/>
    </row>
    <row r="481" spans="1:22" ht="18.75" thickBot="1" x14ac:dyDescent="0.3">
      <c r="A481" s="131"/>
      <c r="B481" s="125"/>
      <c r="C481" s="235"/>
      <c r="D481" s="115" t="s">
        <v>47</v>
      </c>
      <c r="E481" s="13">
        <v>100</v>
      </c>
      <c r="F481" s="13" t="str">
        <f t="shared" si="157"/>
        <v/>
      </c>
      <c r="G481" s="13">
        <v>1.66</v>
      </c>
      <c r="H481" s="13">
        <v>2.1</v>
      </c>
      <c r="I481" s="13" t="str">
        <f t="shared" si="158"/>
        <v/>
      </c>
      <c r="J481" s="13" t="str">
        <f t="shared" si="159"/>
        <v/>
      </c>
      <c r="K481" s="13" t="str">
        <f t="shared" si="155"/>
        <v/>
      </c>
      <c r="L481" s="71" t="str">
        <f t="shared" si="160"/>
        <v/>
      </c>
      <c r="M481" s="128"/>
      <c r="N481" s="20"/>
      <c r="O481" s="68" t="s">
        <v>92</v>
      </c>
      <c r="P481" s="54"/>
      <c r="Q481" s="69">
        <f t="shared" si="156"/>
        <v>-1</v>
      </c>
      <c r="R481" s="54"/>
      <c r="S481" s="70" t="str">
        <f t="shared" si="161"/>
        <v>r</v>
      </c>
      <c r="T481" s="54"/>
      <c r="U481" s="74" t="s">
        <v>32</v>
      </c>
      <c r="V481" s="20"/>
    </row>
    <row r="482" spans="1:22" ht="16.5" customHeight="1" x14ac:dyDescent="0.25">
      <c r="A482" s="131"/>
      <c r="B482" s="125"/>
      <c r="C482" s="234"/>
      <c r="D482" s="114" t="s">
        <v>77</v>
      </c>
      <c r="E482" s="114" t="s">
        <v>52</v>
      </c>
      <c r="F482" s="66" t="str">
        <f t="shared" si="157"/>
        <v/>
      </c>
      <c r="G482" s="66">
        <v>2</v>
      </c>
      <c r="H482" s="66">
        <v>1.72</v>
      </c>
      <c r="I482" s="66" t="str">
        <f t="shared" si="158"/>
        <v/>
      </c>
      <c r="J482" s="66" t="str">
        <f t="shared" si="159"/>
        <v/>
      </c>
      <c r="K482" s="66" t="str">
        <f t="shared" si="155"/>
        <v/>
      </c>
      <c r="L482" s="82" t="str">
        <f t="shared" si="160"/>
        <v/>
      </c>
      <c r="M482" s="128"/>
      <c r="N482" s="20"/>
      <c r="O482" s="68" t="s">
        <v>92</v>
      </c>
      <c r="P482" s="54"/>
      <c r="Q482" s="69">
        <f t="shared" si="156"/>
        <v>-1</v>
      </c>
      <c r="R482" s="54"/>
      <c r="S482" s="70" t="str">
        <f t="shared" si="161"/>
        <v>r</v>
      </c>
      <c r="T482" s="54"/>
      <c r="U482" s="133">
        <f>IF(AND(NOT(M475=0)),U475/M475,0)</f>
        <v>0</v>
      </c>
      <c r="V482" s="20"/>
    </row>
    <row r="483" spans="1:22" ht="15.75" customHeight="1" x14ac:dyDescent="0.25">
      <c r="A483" s="131"/>
      <c r="B483" s="125"/>
      <c r="C483" s="235"/>
      <c r="D483" s="115" t="s">
        <v>79</v>
      </c>
      <c r="E483" s="115" t="s">
        <v>49</v>
      </c>
      <c r="F483" s="13" t="str">
        <f t="shared" si="157"/>
        <v/>
      </c>
      <c r="G483" s="13">
        <v>3</v>
      </c>
      <c r="H483" s="13">
        <v>1.36</v>
      </c>
      <c r="I483" s="13" t="str">
        <f t="shared" si="158"/>
        <v/>
      </c>
      <c r="J483" s="13" t="str">
        <f t="shared" si="159"/>
        <v/>
      </c>
      <c r="K483" s="13" t="str">
        <f t="shared" si="155"/>
        <v/>
      </c>
      <c r="L483" s="73" t="str">
        <f t="shared" si="160"/>
        <v/>
      </c>
      <c r="M483" s="128"/>
      <c r="N483" s="20"/>
      <c r="O483" s="68" t="s">
        <v>93</v>
      </c>
      <c r="P483" s="54"/>
      <c r="Q483" s="69">
        <f t="shared" si="156"/>
        <v>-1</v>
      </c>
      <c r="R483" s="54"/>
      <c r="S483" s="70" t="str">
        <f t="shared" si="161"/>
        <v>a</v>
      </c>
      <c r="T483" s="54"/>
      <c r="U483" s="134"/>
      <c r="V483" s="20"/>
    </row>
    <row r="484" spans="1:22" ht="15.75" customHeight="1" thickBot="1" x14ac:dyDescent="0.3">
      <c r="A484" s="132"/>
      <c r="B484" s="126"/>
      <c r="C484" s="236"/>
      <c r="D484" s="116" t="s">
        <v>51</v>
      </c>
      <c r="E484" s="116" t="s">
        <v>78</v>
      </c>
      <c r="F484" s="75" t="str">
        <f t="shared" si="157"/>
        <v/>
      </c>
      <c r="G484" s="75">
        <v>1.4</v>
      </c>
      <c r="H484" s="75">
        <v>2.75</v>
      </c>
      <c r="I484" s="75" t="str">
        <f t="shared" si="158"/>
        <v/>
      </c>
      <c r="J484" s="75" t="str">
        <f t="shared" si="159"/>
        <v/>
      </c>
      <c r="K484" s="75" t="str">
        <f t="shared" si="155"/>
        <v/>
      </c>
      <c r="L484" s="85" t="str">
        <f t="shared" si="160"/>
        <v/>
      </c>
      <c r="M484" s="129"/>
      <c r="N484" s="20"/>
      <c r="O484" s="76" t="s">
        <v>92</v>
      </c>
      <c r="P484" s="20"/>
      <c r="Q484" s="77">
        <f>IF(OR(O484="",L484="NO BET"),0,IF(AND(K484=O484),IF(AND(K484="T2"),ROUNDUP(H484*0.95,2)-1,ROUNDUP(G484*0.95,2)-1),-1))</f>
        <v>-1</v>
      </c>
      <c r="R484" s="20"/>
      <c r="S484" s="78" t="str">
        <f t="shared" si="161"/>
        <v>r</v>
      </c>
      <c r="T484" s="20"/>
      <c r="U484" s="135"/>
      <c r="V484" s="20"/>
    </row>
    <row r="485" spans="1:22" ht="15.75" customHeight="1" x14ac:dyDescent="0.25">
      <c r="A485" s="20"/>
      <c r="B485" s="20"/>
      <c r="C485" s="22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2"/>
      <c r="R485" s="20"/>
      <c r="S485" s="20"/>
      <c r="T485" s="20"/>
      <c r="U485" s="23"/>
      <c r="V485" s="20"/>
    </row>
    <row r="486" spans="1:22" ht="15.75" customHeight="1" x14ac:dyDescent="0.25">
      <c r="A486" s="20"/>
      <c r="B486" s="20"/>
      <c r="C486" s="22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2"/>
      <c r="R486" s="20"/>
      <c r="S486" s="20"/>
      <c r="T486" s="20"/>
      <c r="U486" s="23"/>
      <c r="V486" s="20"/>
    </row>
    <row r="487" spans="1:22" ht="16.5" thickBot="1" x14ac:dyDescent="0.3">
      <c r="A487" s="20"/>
      <c r="B487" s="20"/>
      <c r="C487" s="22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2"/>
      <c r="R487" s="20"/>
      <c r="S487" s="20"/>
      <c r="T487" s="20"/>
      <c r="U487" s="23"/>
      <c r="V487" s="20"/>
    </row>
    <row r="488" spans="1:22" ht="22.5" customHeight="1" thickBot="1" x14ac:dyDescent="0.3">
      <c r="A488" s="100" t="s">
        <v>6</v>
      </c>
      <c r="B488" s="124" t="s">
        <v>22</v>
      </c>
      <c r="C488" s="232" t="s">
        <v>9</v>
      </c>
      <c r="D488" s="55" t="s">
        <v>10</v>
      </c>
      <c r="E488" s="55" t="s">
        <v>11</v>
      </c>
      <c r="F488" s="55" t="s">
        <v>12</v>
      </c>
      <c r="G488" s="55" t="s">
        <v>13</v>
      </c>
      <c r="H488" s="55" t="s">
        <v>14</v>
      </c>
      <c r="I488" s="55" t="s">
        <v>15</v>
      </c>
      <c r="J488" s="55" t="s">
        <v>16</v>
      </c>
      <c r="K488" s="55" t="s">
        <v>35</v>
      </c>
      <c r="L488" s="55" t="s">
        <v>17</v>
      </c>
      <c r="M488" s="56" t="s">
        <v>18</v>
      </c>
      <c r="N488" s="57"/>
      <c r="O488" s="58" t="s">
        <v>19</v>
      </c>
      <c r="P488" s="54"/>
      <c r="Q488" s="59" t="s">
        <v>36</v>
      </c>
      <c r="R488" s="54"/>
      <c r="S488" s="58" t="s">
        <v>37</v>
      </c>
      <c r="T488" s="54"/>
      <c r="U488" s="60" t="s">
        <v>30</v>
      </c>
      <c r="V488" s="20"/>
    </row>
    <row r="489" spans="1:22" ht="15.75" customHeight="1" x14ac:dyDescent="0.25">
      <c r="A489" s="101"/>
      <c r="B489" s="125"/>
      <c r="C489" s="86"/>
      <c r="D489" s="117"/>
      <c r="E489" s="117"/>
      <c r="F489" s="61" t="str">
        <f>IF(AND(C489=""),"",1-C489)</f>
        <v/>
      </c>
      <c r="G489" s="61"/>
      <c r="H489" s="61"/>
      <c r="I489" s="61" t="str">
        <f>IF(AND(C489=""),"",G489*C489)</f>
        <v/>
      </c>
      <c r="J489" s="61" t="str">
        <f>IF(AND(C489=""),"",H489*F489)</f>
        <v/>
      </c>
      <c r="K489" s="61" t="str">
        <f t="shared" ref="K489:K498" si="162">IF(AND(I489=""),"",IF(AND(I489&gt;J489),"T1","T2"))</f>
        <v/>
      </c>
      <c r="L489" s="62" t="str">
        <f>IF(AND(K489=""),"",IF(AND((J489*0.95-1)&lt;0,(I489*0.95-1)&lt;0),"NO BET", IF(AND(K489="T1"),I489*0.95 - 1,J489*0.95 - 1)))</f>
        <v/>
      </c>
      <c r="M489" s="127">
        <f>SUMIF(L489:L498,"&gt;0")</f>
        <v>0</v>
      </c>
      <c r="N489" s="57"/>
      <c r="O489" s="63"/>
      <c r="P489" s="57"/>
      <c r="Q489" s="64">
        <f t="shared" ref="Q489:Q497" si="163">IF(OR(O489="",L489="NO BET"),0,IF(AND(K489=O489),IF(AND(K489="T2"),ROUNDUP(H489*0.95,2)-1,ROUNDUP(G489*0.95,2)-1),-1))</f>
        <v>0</v>
      </c>
      <c r="R489" s="54"/>
      <c r="S489" s="65" t="str">
        <f>IF(AND(O489=""),"",IF(AND(C489&gt;F489),IF(AND(O489="T1"),"a","r"),IF(AND(O489="T2"),"a","r")))</f>
        <v/>
      </c>
      <c r="T489" s="54"/>
      <c r="U489" s="130">
        <f>SUM(Q489:Q498)</f>
        <v>0</v>
      </c>
      <c r="V489" s="20"/>
    </row>
    <row r="490" spans="1:22" ht="15.75" customHeight="1" x14ac:dyDescent="0.25">
      <c r="A490" s="131" t="s">
        <v>7</v>
      </c>
      <c r="B490" s="125"/>
      <c r="C490" s="89"/>
      <c r="D490" s="114"/>
      <c r="E490" s="114"/>
      <c r="F490" s="66" t="str">
        <f t="shared" ref="F490:F498" si="164">IF(AND(C490=""),"",1-C490)</f>
        <v/>
      </c>
      <c r="G490" s="66"/>
      <c r="H490" s="66"/>
      <c r="I490" s="66" t="str">
        <f t="shared" ref="I490:I498" si="165">IF(AND(C490=""),"",G490*C490)</f>
        <v/>
      </c>
      <c r="J490" s="66" t="str">
        <f t="shared" ref="J490:J498" si="166">IF(AND(C490=""),"",H490*F490)</f>
        <v/>
      </c>
      <c r="K490" s="66" t="str">
        <f t="shared" si="162"/>
        <v/>
      </c>
      <c r="L490" s="67" t="str">
        <f t="shared" ref="L490:L498" si="167">IF(AND(K490=""),"",IF(AND((J490*0.95-1)&lt;0,(I490*0.95-1)&lt;0),"NO BET", IF(AND(K490="T1"),I490*0.95 - 1,J490*0.95 - 1)))</f>
        <v/>
      </c>
      <c r="M490" s="128"/>
      <c r="N490" s="20"/>
      <c r="O490" s="68"/>
      <c r="P490" s="54"/>
      <c r="Q490" s="69">
        <f t="shared" si="163"/>
        <v>0</v>
      </c>
      <c r="R490" s="54"/>
      <c r="S490" s="70" t="str">
        <f t="shared" ref="S490:S498" si="168">IF(AND(O490=""),"",IF(AND(C490&gt;F490),IF(AND(O490="T1"),"a","r"),IF(AND(O490="T2"),"a","r")))</f>
        <v/>
      </c>
      <c r="T490" s="54"/>
      <c r="U490" s="130"/>
      <c r="V490" s="20"/>
    </row>
    <row r="491" spans="1:22" ht="15.75" customHeight="1" x14ac:dyDescent="0.25">
      <c r="A491" s="131"/>
      <c r="B491" s="125"/>
      <c r="C491" s="91"/>
      <c r="D491" s="115"/>
      <c r="E491" s="13"/>
      <c r="F491" s="13" t="str">
        <f t="shared" si="164"/>
        <v/>
      </c>
      <c r="G491" s="13"/>
      <c r="H491" s="13"/>
      <c r="I491" s="13" t="str">
        <f t="shared" si="165"/>
        <v/>
      </c>
      <c r="J491" s="13" t="str">
        <f t="shared" si="166"/>
        <v/>
      </c>
      <c r="K491" s="13" t="str">
        <f t="shared" si="162"/>
        <v/>
      </c>
      <c r="L491" s="71" t="str">
        <f t="shared" si="167"/>
        <v/>
      </c>
      <c r="M491" s="128"/>
      <c r="N491" s="57"/>
      <c r="O491" s="68"/>
      <c r="P491" s="54"/>
      <c r="Q491" s="69">
        <f t="shared" si="163"/>
        <v>0</v>
      </c>
      <c r="R491" s="54"/>
      <c r="S491" s="70" t="str">
        <f t="shared" si="168"/>
        <v/>
      </c>
      <c r="T491" s="54"/>
      <c r="U491" s="130"/>
      <c r="V491" s="20"/>
    </row>
    <row r="492" spans="1:22" ht="15.75" customHeight="1" x14ac:dyDescent="0.25">
      <c r="A492" s="131"/>
      <c r="B492" s="125"/>
      <c r="C492" s="89"/>
      <c r="D492" s="114"/>
      <c r="E492" s="114"/>
      <c r="F492" s="66" t="str">
        <f t="shared" si="164"/>
        <v/>
      </c>
      <c r="G492" s="66"/>
      <c r="H492" s="66"/>
      <c r="I492" s="66" t="str">
        <f t="shared" si="165"/>
        <v/>
      </c>
      <c r="J492" s="66" t="str">
        <f t="shared" si="166"/>
        <v/>
      </c>
      <c r="K492" s="66" t="str">
        <f t="shared" si="162"/>
        <v/>
      </c>
      <c r="L492" s="67" t="str">
        <f t="shared" si="167"/>
        <v/>
      </c>
      <c r="M492" s="128"/>
      <c r="N492" s="72"/>
      <c r="O492" s="68"/>
      <c r="P492" s="54"/>
      <c r="Q492" s="69">
        <f t="shared" si="163"/>
        <v>0</v>
      </c>
      <c r="R492" s="54"/>
      <c r="S492" s="70" t="str">
        <f t="shared" si="168"/>
        <v/>
      </c>
      <c r="T492" s="54"/>
      <c r="U492" s="130"/>
      <c r="V492" s="20"/>
    </row>
    <row r="493" spans="1:22" ht="15.75" customHeight="1" x14ac:dyDescent="0.25">
      <c r="A493" s="131"/>
      <c r="B493" s="125"/>
      <c r="C493" s="91"/>
      <c r="D493" s="115"/>
      <c r="E493" s="115"/>
      <c r="F493" s="13" t="str">
        <f t="shared" si="164"/>
        <v/>
      </c>
      <c r="G493" s="13"/>
      <c r="H493" s="13"/>
      <c r="I493" s="13" t="str">
        <f t="shared" si="165"/>
        <v/>
      </c>
      <c r="J493" s="13" t="str">
        <f t="shared" si="166"/>
        <v/>
      </c>
      <c r="K493" s="13" t="str">
        <f t="shared" si="162"/>
        <v/>
      </c>
      <c r="L493" s="73" t="str">
        <f t="shared" si="167"/>
        <v/>
      </c>
      <c r="M493" s="128"/>
      <c r="N493" s="72"/>
      <c r="O493" s="68"/>
      <c r="P493" s="54"/>
      <c r="Q493" s="69">
        <f t="shared" si="163"/>
        <v>0</v>
      </c>
      <c r="R493" s="54"/>
      <c r="S493" s="70" t="str">
        <f t="shared" si="168"/>
        <v/>
      </c>
      <c r="T493" s="54"/>
      <c r="U493" s="130"/>
      <c r="V493" s="20"/>
    </row>
    <row r="494" spans="1:22" ht="15.75" customHeight="1" x14ac:dyDescent="0.25">
      <c r="A494" s="131"/>
      <c r="B494" s="125"/>
      <c r="C494" s="89"/>
      <c r="D494" s="114"/>
      <c r="E494" s="114"/>
      <c r="F494" s="66" t="str">
        <f t="shared" si="164"/>
        <v/>
      </c>
      <c r="G494" s="66"/>
      <c r="H494" s="66"/>
      <c r="I494" s="66" t="str">
        <f t="shared" si="165"/>
        <v/>
      </c>
      <c r="J494" s="66" t="str">
        <f t="shared" si="166"/>
        <v/>
      </c>
      <c r="K494" s="66" t="str">
        <f t="shared" si="162"/>
        <v/>
      </c>
      <c r="L494" s="67" t="str">
        <f t="shared" si="167"/>
        <v/>
      </c>
      <c r="M494" s="128"/>
      <c r="N494" s="72"/>
      <c r="O494" s="68"/>
      <c r="P494" s="54"/>
      <c r="Q494" s="69">
        <f t="shared" si="163"/>
        <v>0</v>
      </c>
      <c r="R494" s="54"/>
      <c r="S494" s="70" t="str">
        <f t="shared" si="168"/>
        <v/>
      </c>
      <c r="T494" s="54"/>
      <c r="U494" s="130"/>
      <c r="V494" s="20"/>
    </row>
    <row r="495" spans="1:22" ht="15.75" customHeight="1" thickBot="1" x14ac:dyDescent="0.3">
      <c r="A495" s="131"/>
      <c r="B495" s="125"/>
      <c r="C495" s="91"/>
      <c r="D495" s="115"/>
      <c r="E495" s="13"/>
      <c r="F495" s="13" t="str">
        <f t="shared" si="164"/>
        <v/>
      </c>
      <c r="G495" s="13"/>
      <c r="H495" s="13"/>
      <c r="I495" s="13" t="str">
        <f t="shared" si="165"/>
        <v/>
      </c>
      <c r="J495" s="13" t="str">
        <f t="shared" si="166"/>
        <v/>
      </c>
      <c r="K495" s="13" t="str">
        <f t="shared" si="162"/>
        <v/>
      </c>
      <c r="L495" s="71" t="str">
        <f t="shared" si="167"/>
        <v/>
      </c>
      <c r="M495" s="128"/>
      <c r="N495" s="20"/>
      <c r="O495" s="68"/>
      <c r="P495" s="54"/>
      <c r="Q495" s="69">
        <f t="shared" si="163"/>
        <v>0</v>
      </c>
      <c r="R495" s="54"/>
      <c r="S495" s="70" t="str">
        <f t="shared" si="168"/>
        <v/>
      </c>
      <c r="T495" s="54"/>
      <c r="U495" s="74" t="s">
        <v>32</v>
      </c>
      <c r="V495" s="20"/>
    </row>
    <row r="496" spans="1:22" ht="16.5" customHeight="1" x14ac:dyDescent="0.25">
      <c r="A496" s="131"/>
      <c r="B496" s="125"/>
      <c r="C496" s="89"/>
      <c r="D496" s="66"/>
      <c r="E496" s="66"/>
      <c r="F496" s="66" t="str">
        <f t="shared" si="164"/>
        <v/>
      </c>
      <c r="G496" s="66"/>
      <c r="H496" s="66"/>
      <c r="I496" s="66" t="str">
        <f t="shared" si="165"/>
        <v/>
      </c>
      <c r="J496" s="66" t="str">
        <f t="shared" si="166"/>
        <v/>
      </c>
      <c r="K496" s="66" t="str">
        <f t="shared" si="162"/>
        <v/>
      </c>
      <c r="L496" s="82" t="str">
        <f t="shared" si="167"/>
        <v/>
      </c>
      <c r="M496" s="128"/>
      <c r="N496" s="20"/>
      <c r="O496" s="68"/>
      <c r="P496" s="54"/>
      <c r="Q496" s="69">
        <f t="shared" si="163"/>
        <v>0</v>
      </c>
      <c r="R496" s="54"/>
      <c r="S496" s="70" t="str">
        <f t="shared" si="168"/>
        <v/>
      </c>
      <c r="T496" s="54"/>
      <c r="U496" s="133">
        <f>IF(AND(NOT(M489=0)),U489/M489,0)</f>
        <v>0</v>
      </c>
      <c r="V496" s="20"/>
    </row>
    <row r="497" spans="1:22" ht="18" x14ac:dyDescent="0.25">
      <c r="A497" s="131"/>
      <c r="B497" s="125"/>
      <c r="C497" s="91"/>
      <c r="D497" s="13"/>
      <c r="E497" s="13"/>
      <c r="F497" s="13" t="str">
        <f t="shared" si="164"/>
        <v/>
      </c>
      <c r="G497" s="13"/>
      <c r="H497" s="13"/>
      <c r="I497" s="13" t="str">
        <f t="shared" si="165"/>
        <v/>
      </c>
      <c r="J497" s="13" t="str">
        <f t="shared" si="166"/>
        <v/>
      </c>
      <c r="K497" s="13" t="str">
        <f t="shared" si="162"/>
        <v/>
      </c>
      <c r="L497" s="73" t="str">
        <f t="shared" si="167"/>
        <v/>
      </c>
      <c r="M497" s="128"/>
      <c r="N497" s="20"/>
      <c r="O497" s="68"/>
      <c r="P497" s="54"/>
      <c r="Q497" s="69">
        <f t="shared" si="163"/>
        <v>0</v>
      </c>
      <c r="R497" s="54"/>
      <c r="S497" s="70" t="str">
        <f t="shared" si="168"/>
        <v/>
      </c>
      <c r="T497" s="54"/>
      <c r="U497" s="134"/>
      <c r="V497" s="20"/>
    </row>
    <row r="498" spans="1:22" ht="18.75" thickBot="1" x14ac:dyDescent="0.3">
      <c r="A498" s="132"/>
      <c r="B498" s="126"/>
      <c r="C498" s="95"/>
      <c r="D498" s="75"/>
      <c r="E498" s="75"/>
      <c r="F498" s="75" t="str">
        <f t="shared" si="164"/>
        <v/>
      </c>
      <c r="G498" s="75"/>
      <c r="H498" s="75"/>
      <c r="I498" s="75" t="str">
        <f t="shared" si="165"/>
        <v/>
      </c>
      <c r="J498" s="75" t="str">
        <f t="shared" si="166"/>
        <v/>
      </c>
      <c r="K498" s="75" t="str">
        <f t="shared" si="162"/>
        <v/>
      </c>
      <c r="L498" s="85" t="str">
        <f t="shared" si="167"/>
        <v/>
      </c>
      <c r="M498" s="129"/>
      <c r="N498" s="20"/>
      <c r="O498" s="76"/>
      <c r="P498" s="20"/>
      <c r="Q498" s="77">
        <f>IF(OR(O498="",L498="NO BET"),0,IF(AND(K498=O498),IF(AND(K498="T2"),ROUNDUP(H498*0.95,2)-1,ROUNDUP(G498*0.95,2)-1),-1))</f>
        <v>0</v>
      </c>
      <c r="R498" s="20"/>
      <c r="S498" s="78" t="str">
        <f t="shared" si="168"/>
        <v/>
      </c>
      <c r="T498" s="20"/>
      <c r="U498" s="135"/>
      <c r="V498" s="20"/>
    </row>
    <row r="499" spans="1:22" x14ac:dyDescent="0.25">
      <c r="A499" s="20"/>
      <c r="B499" s="20"/>
      <c r="C499" s="22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2"/>
      <c r="R499" s="20"/>
      <c r="S499" s="20"/>
      <c r="T499" s="20"/>
      <c r="U499" s="23"/>
      <c r="V499" s="20"/>
    </row>
    <row r="500" spans="1:22" ht="15.75" customHeight="1" x14ac:dyDescent="0.25">
      <c r="A500" s="20"/>
      <c r="B500" s="20"/>
      <c r="C500" s="22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R500" s="20"/>
      <c r="S500" s="20"/>
      <c r="T500" s="20"/>
      <c r="U500" s="23"/>
      <c r="V500" s="20"/>
    </row>
    <row r="501" spans="1:22" ht="15.75" customHeight="1" thickBot="1" x14ac:dyDescent="0.3">
      <c r="A501" s="20"/>
      <c r="B501" s="20"/>
      <c r="C501" s="22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2"/>
      <c r="R501" s="20"/>
      <c r="S501" s="20"/>
      <c r="T501" s="20"/>
      <c r="U501" s="23"/>
      <c r="V501" s="20"/>
    </row>
    <row r="502" spans="1:22" ht="22.5" customHeight="1" thickBot="1" x14ac:dyDescent="0.3">
      <c r="A502" s="100" t="s">
        <v>6</v>
      </c>
      <c r="B502" s="124" t="s">
        <v>23</v>
      </c>
      <c r="C502" s="232" t="s">
        <v>9</v>
      </c>
      <c r="D502" s="55" t="s">
        <v>10</v>
      </c>
      <c r="E502" s="55" t="s">
        <v>11</v>
      </c>
      <c r="F502" s="55" t="s">
        <v>12</v>
      </c>
      <c r="G502" s="55" t="s">
        <v>13</v>
      </c>
      <c r="H502" s="55" t="s">
        <v>14</v>
      </c>
      <c r="I502" s="55" t="s">
        <v>15</v>
      </c>
      <c r="J502" s="55" t="s">
        <v>16</v>
      </c>
      <c r="K502" s="55" t="s">
        <v>35</v>
      </c>
      <c r="L502" s="55" t="s">
        <v>17</v>
      </c>
      <c r="M502" s="56" t="s">
        <v>18</v>
      </c>
      <c r="N502" s="57"/>
      <c r="O502" s="58" t="s">
        <v>19</v>
      </c>
      <c r="P502" s="54"/>
      <c r="Q502" s="59" t="s">
        <v>36</v>
      </c>
      <c r="R502" s="54"/>
      <c r="S502" s="58" t="s">
        <v>37</v>
      </c>
      <c r="T502" s="54"/>
      <c r="U502" s="60" t="s">
        <v>30</v>
      </c>
      <c r="V502" s="20"/>
    </row>
    <row r="503" spans="1:22" ht="15.75" customHeight="1" x14ac:dyDescent="0.25">
      <c r="A503" s="101"/>
      <c r="B503" s="125"/>
      <c r="C503" s="86"/>
      <c r="D503" s="117" t="s">
        <v>48</v>
      </c>
      <c r="E503" s="117" t="s">
        <v>78</v>
      </c>
      <c r="F503" s="61" t="str">
        <f>IF(AND(C503=""),"",1-C503)</f>
        <v/>
      </c>
      <c r="G503" s="61">
        <v>1.36</v>
      </c>
      <c r="H503" s="61">
        <v>3</v>
      </c>
      <c r="I503" s="61" t="str">
        <f>IF(AND(C503=""),"",G503*C503)</f>
        <v/>
      </c>
      <c r="J503" s="61" t="str">
        <f>IF(AND(C503=""),"",H503*F503)</f>
        <v/>
      </c>
      <c r="K503" s="61" t="str">
        <f t="shared" ref="K503:K512" si="169">IF(AND(I503=""),"",IF(AND(I503&gt;J503),"T1","T2"))</f>
        <v/>
      </c>
      <c r="L503" s="62" t="str">
        <f>IF(AND(K503=""),"",IF(AND((J503*0.95-1)&lt;0,(I503*0.95-1)&lt;0),"NO BET", IF(AND(K503="T1"),I503*0.95 - 1,J503*0.95 - 1)))</f>
        <v/>
      </c>
      <c r="M503" s="127">
        <f>SUMIF(L503:L512,"&gt;0")</f>
        <v>0</v>
      </c>
      <c r="N503" s="57"/>
      <c r="O503" s="63" t="s">
        <v>93</v>
      </c>
      <c r="P503" s="57"/>
      <c r="Q503" s="64">
        <f t="shared" ref="Q503:Q511" si="170">IF(OR(O503="",L503="NO BET"),0,IF(AND(K503=O503),IF(AND(K503="T2"),ROUNDUP(H503*0.95,2)-1,ROUNDUP(G503*0.95,2)-1),-1))</f>
        <v>-1</v>
      </c>
      <c r="R503" s="54"/>
      <c r="S503" s="65" t="str">
        <f>IF(AND(O503=""),"",IF(AND(C503&gt;F503),IF(AND(O503="T1"),"a","r"),IF(AND(O503="T2"),"a","r")))</f>
        <v>a</v>
      </c>
      <c r="T503" s="54"/>
      <c r="U503" s="130">
        <f>SUM(Q503:Q512)</f>
        <v>-10</v>
      </c>
      <c r="V503" s="20"/>
    </row>
    <row r="504" spans="1:22" ht="15.75" customHeight="1" x14ac:dyDescent="0.25">
      <c r="A504" s="131" t="s">
        <v>7</v>
      </c>
      <c r="B504" s="125"/>
      <c r="C504" s="89"/>
      <c r="D504" s="114" t="s">
        <v>47</v>
      </c>
      <c r="E504" s="114" t="s">
        <v>51</v>
      </c>
      <c r="F504" s="66" t="str">
        <f t="shared" ref="F504:F512" si="171">IF(AND(C504=""),"",1-C504)</f>
        <v/>
      </c>
      <c r="G504" s="66">
        <v>1.9</v>
      </c>
      <c r="H504" s="66">
        <v>1.8</v>
      </c>
      <c r="I504" s="66" t="str">
        <f t="shared" ref="I504:I512" si="172">IF(AND(C504=""),"",G504*C504)</f>
        <v/>
      </c>
      <c r="J504" s="66" t="str">
        <f t="shared" ref="J504:J512" si="173">IF(AND(C504=""),"",H504*F504)</f>
        <v/>
      </c>
      <c r="K504" s="66" t="str">
        <f t="shared" si="169"/>
        <v/>
      </c>
      <c r="L504" s="67" t="str">
        <f t="shared" ref="L504:L512" si="174">IF(AND(K504=""),"",IF(AND((J504*0.95-1)&lt;0,(I504*0.95-1)&lt;0),"NO BET", IF(AND(K504="T1"),I504*0.95 - 1,J504*0.95 - 1)))</f>
        <v/>
      </c>
      <c r="M504" s="128"/>
      <c r="N504" s="20"/>
      <c r="O504" s="68" t="s">
        <v>92</v>
      </c>
      <c r="P504" s="54"/>
      <c r="Q504" s="69">
        <f t="shared" si="170"/>
        <v>-1</v>
      </c>
      <c r="R504" s="54"/>
      <c r="S504" s="70" t="str">
        <f t="shared" ref="S504:S512" si="175">IF(AND(O504=""),"",IF(AND(C504&gt;F504),IF(AND(O504="T1"),"a","r"),IF(AND(O504="T2"),"a","r")))</f>
        <v>r</v>
      </c>
      <c r="T504" s="54"/>
      <c r="U504" s="130"/>
      <c r="V504" s="20"/>
    </row>
    <row r="505" spans="1:22" ht="15.75" customHeight="1" x14ac:dyDescent="0.25">
      <c r="A505" s="131"/>
      <c r="B505" s="125"/>
      <c r="C505" s="91"/>
      <c r="D505" s="115" t="s">
        <v>77</v>
      </c>
      <c r="E505" s="115" t="s">
        <v>49</v>
      </c>
      <c r="F505" s="13" t="str">
        <f>IF(AND(C505=""),"",1-C505)</f>
        <v/>
      </c>
      <c r="G505" s="13">
        <v>2.62</v>
      </c>
      <c r="H505" s="13">
        <v>1.44</v>
      </c>
      <c r="I505" s="13" t="str">
        <f>IF(AND(C505=""),"",G505*C505)</f>
        <v/>
      </c>
      <c r="J505" s="13" t="str">
        <f>IF(AND(C505=""),"",H505*F505)</f>
        <v/>
      </c>
      <c r="K505" s="13" t="str">
        <f t="shared" si="169"/>
        <v/>
      </c>
      <c r="L505" s="71" t="str">
        <f t="shared" si="174"/>
        <v/>
      </c>
      <c r="M505" s="128"/>
      <c r="N505" s="57"/>
      <c r="O505" s="68" t="s">
        <v>92</v>
      </c>
      <c r="P505" s="54"/>
      <c r="Q505" s="69">
        <f t="shared" si="170"/>
        <v>-1</v>
      </c>
      <c r="R505" s="54"/>
      <c r="S505" s="70" t="str">
        <f>IF(AND(O505=""),"",IF(AND(C505&gt;F505),IF(AND(O505="T1"),"a","r"),IF(AND(O505="T2"),"a","r")))</f>
        <v>r</v>
      </c>
      <c r="T505" s="54"/>
      <c r="U505" s="130"/>
      <c r="V505" s="20"/>
    </row>
    <row r="506" spans="1:22" ht="15.75" customHeight="1" x14ac:dyDescent="0.25">
      <c r="A506" s="131"/>
      <c r="B506" s="125"/>
      <c r="C506" s="89"/>
      <c r="D506" s="66">
        <v>100</v>
      </c>
      <c r="E506" s="114" t="s">
        <v>52</v>
      </c>
      <c r="F506" s="66" t="str">
        <f t="shared" si="171"/>
        <v/>
      </c>
      <c r="G506" s="66">
        <v>1.4</v>
      </c>
      <c r="H506" s="66">
        <v>2.75</v>
      </c>
      <c r="I506" s="66" t="str">
        <f t="shared" si="172"/>
        <v/>
      </c>
      <c r="J506" s="66" t="str">
        <f t="shared" si="173"/>
        <v/>
      </c>
      <c r="K506" s="66" t="str">
        <f t="shared" si="169"/>
        <v/>
      </c>
      <c r="L506" s="67" t="str">
        <f t="shared" si="174"/>
        <v/>
      </c>
      <c r="M506" s="128"/>
      <c r="N506" s="72"/>
      <c r="O506" s="68" t="s">
        <v>93</v>
      </c>
      <c r="P506" s="54"/>
      <c r="Q506" s="69">
        <f t="shared" si="170"/>
        <v>-1</v>
      </c>
      <c r="R506" s="54"/>
      <c r="S506" s="70" t="str">
        <f t="shared" si="175"/>
        <v>a</v>
      </c>
      <c r="T506" s="54"/>
      <c r="U506" s="130"/>
      <c r="V506" s="20"/>
    </row>
    <row r="507" spans="1:22" ht="15.75" customHeight="1" x14ac:dyDescent="0.25">
      <c r="A507" s="131"/>
      <c r="B507" s="125"/>
      <c r="C507" s="91"/>
      <c r="D507" s="115" t="s">
        <v>50</v>
      </c>
      <c r="E507" s="115" t="s">
        <v>79</v>
      </c>
      <c r="F507" s="13" t="str">
        <f t="shared" si="171"/>
        <v/>
      </c>
      <c r="G507" s="13">
        <v>1.22</v>
      </c>
      <c r="H507" s="13">
        <v>4</v>
      </c>
      <c r="I507" s="13" t="str">
        <f t="shared" si="172"/>
        <v/>
      </c>
      <c r="J507" s="13" t="str">
        <f t="shared" si="173"/>
        <v/>
      </c>
      <c r="K507" s="13" t="str">
        <f t="shared" si="169"/>
        <v/>
      </c>
      <c r="L507" s="73" t="str">
        <f>IF(AND(K507=""),"",IF(AND((J507*0.95-1)&lt;0,(I507*0.95-1)&lt;0),"NO BET", IF(AND(K507="T1"),I507*0.95 - 1,J507*0.95 - 1)))</f>
        <v/>
      </c>
      <c r="M507" s="128"/>
      <c r="N507" s="72"/>
      <c r="O507" s="68" t="s">
        <v>92</v>
      </c>
      <c r="P507" s="54"/>
      <c r="Q507" s="69">
        <f t="shared" si="170"/>
        <v>-1</v>
      </c>
      <c r="R507" s="54"/>
      <c r="S507" s="70" t="str">
        <f t="shared" si="175"/>
        <v>r</v>
      </c>
      <c r="T507" s="54"/>
      <c r="U507" s="130"/>
      <c r="V507" s="20"/>
    </row>
    <row r="508" spans="1:22" ht="15.75" customHeight="1" x14ac:dyDescent="0.25">
      <c r="A508" s="131"/>
      <c r="B508" s="125"/>
      <c r="C508" s="89"/>
      <c r="D508" s="114" t="s">
        <v>52</v>
      </c>
      <c r="E508" s="114" t="s">
        <v>47</v>
      </c>
      <c r="F508" s="66" t="str">
        <f t="shared" si="171"/>
        <v/>
      </c>
      <c r="G508" s="66">
        <v>3.25</v>
      </c>
      <c r="H508" s="66">
        <v>1.33</v>
      </c>
      <c r="I508" s="66" t="str">
        <f t="shared" si="172"/>
        <v/>
      </c>
      <c r="J508" s="66" t="str">
        <f t="shared" si="173"/>
        <v/>
      </c>
      <c r="K508" s="66" t="str">
        <f t="shared" si="169"/>
        <v/>
      </c>
      <c r="L508" s="67" t="str">
        <f t="shared" si="174"/>
        <v/>
      </c>
      <c r="M508" s="128"/>
      <c r="N508" s="72"/>
      <c r="O508" s="68" t="s">
        <v>93</v>
      </c>
      <c r="P508" s="54"/>
      <c r="Q508" s="69">
        <f t="shared" si="170"/>
        <v>-1</v>
      </c>
      <c r="R508" s="54"/>
      <c r="S508" s="70" t="str">
        <f t="shared" si="175"/>
        <v>a</v>
      </c>
      <c r="T508" s="54"/>
      <c r="U508" s="130"/>
      <c r="V508" s="20"/>
    </row>
    <row r="509" spans="1:22" ht="15.75" customHeight="1" thickBot="1" x14ac:dyDescent="0.3">
      <c r="A509" s="131"/>
      <c r="B509" s="125"/>
      <c r="C509" s="91"/>
      <c r="D509" s="115" t="s">
        <v>79</v>
      </c>
      <c r="E509" s="13">
        <v>100</v>
      </c>
      <c r="F509" s="13" t="str">
        <f>IF(AND(C509=""),"",1-C509)</f>
        <v/>
      </c>
      <c r="G509" s="13">
        <v>3.5</v>
      </c>
      <c r="H509" s="13">
        <v>1.28</v>
      </c>
      <c r="I509" s="13" t="str">
        <f>IF(AND(C509=""),"",G509*C509)</f>
        <v/>
      </c>
      <c r="J509" s="13" t="str">
        <f>IF(AND(C509=""),"",H509*F509)</f>
        <v/>
      </c>
      <c r="K509" s="13" t="str">
        <f t="shared" si="169"/>
        <v/>
      </c>
      <c r="L509" s="71" t="str">
        <f t="shared" si="174"/>
        <v/>
      </c>
      <c r="M509" s="128"/>
      <c r="N509" s="20"/>
      <c r="O509" s="68" t="s">
        <v>92</v>
      </c>
      <c r="P509" s="54"/>
      <c r="Q509" s="69">
        <f t="shared" si="170"/>
        <v>-1</v>
      </c>
      <c r="R509" s="54"/>
      <c r="S509" s="70" t="str">
        <f>IF(AND(O509=""),"",IF(AND(C509&gt;F509),IF(AND(O509="T1"),"a","r"),IF(AND(O509="T2"),"a","r")))</f>
        <v>r</v>
      </c>
      <c r="T509" s="54"/>
      <c r="U509" s="74" t="s">
        <v>32</v>
      </c>
      <c r="V509" s="20"/>
    </row>
    <row r="510" spans="1:22" ht="16.5" customHeight="1" x14ac:dyDescent="0.25">
      <c r="A510" s="131"/>
      <c r="B510" s="125"/>
      <c r="C510" s="89"/>
      <c r="D510" s="114" t="s">
        <v>48</v>
      </c>
      <c r="E510" s="114" t="s">
        <v>49</v>
      </c>
      <c r="F510" s="66" t="str">
        <f t="shared" si="171"/>
        <v/>
      </c>
      <c r="G510" s="66">
        <v>1.57</v>
      </c>
      <c r="H510" s="66">
        <v>2.25</v>
      </c>
      <c r="I510" s="66" t="str">
        <f t="shared" si="172"/>
        <v/>
      </c>
      <c r="J510" s="66" t="str">
        <f t="shared" si="173"/>
        <v/>
      </c>
      <c r="K510" s="66" t="str">
        <f t="shared" si="169"/>
        <v/>
      </c>
      <c r="L510" s="82" t="str">
        <f t="shared" si="174"/>
        <v/>
      </c>
      <c r="M510" s="128"/>
      <c r="N510" s="20"/>
      <c r="O510" s="68" t="s">
        <v>92</v>
      </c>
      <c r="P510" s="54"/>
      <c r="Q510" s="69">
        <f t="shared" si="170"/>
        <v>-1</v>
      </c>
      <c r="R510" s="54"/>
      <c r="S510" s="70" t="str">
        <f t="shared" si="175"/>
        <v>r</v>
      </c>
      <c r="T510" s="54"/>
      <c r="U510" s="133">
        <f>IF(AND(NOT(M503=0)),U503/M503,0)</f>
        <v>0</v>
      </c>
      <c r="V510" s="20"/>
    </row>
    <row r="511" spans="1:22" ht="15.75" customHeight="1" x14ac:dyDescent="0.25">
      <c r="A511" s="131"/>
      <c r="B511" s="125"/>
      <c r="C511" s="91"/>
      <c r="D511" s="115" t="s">
        <v>51</v>
      </c>
      <c r="E511" s="115" t="s">
        <v>50</v>
      </c>
      <c r="F511" s="13" t="str">
        <f t="shared" si="171"/>
        <v/>
      </c>
      <c r="G511" s="13">
        <v>1.8</v>
      </c>
      <c r="H511" s="13">
        <v>1.9</v>
      </c>
      <c r="I511" s="13" t="str">
        <f t="shared" si="172"/>
        <v/>
      </c>
      <c r="J511" s="13" t="str">
        <f t="shared" si="173"/>
        <v/>
      </c>
      <c r="K511" s="13" t="str">
        <f t="shared" si="169"/>
        <v/>
      </c>
      <c r="L511" s="73" t="str">
        <f t="shared" si="174"/>
        <v/>
      </c>
      <c r="M511" s="128"/>
      <c r="N511" s="20"/>
      <c r="O511" s="68" t="s">
        <v>93</v>
      </c>
      <c r="P511" s="54"/>
      <c r="Q511" s="69">
        <f t="shared" si="170"/>
        <v>-1</v>
      </c>
      <c r="R511" s="54"/>
      <c r="S511" s="70" t="str">
        <f t="shared" si="175"/>
        <v>a</v>
      </c>
      <c r="T511" s="54"/>
      <c r="U511" s="134"/>
      <c r="V511" s="20"/>
    </row>
    <row r="512" spans="1:22" ht="15.75" customHeight="1" thickBot="1" x14ac:dyDescent="0.3">
      <c r="A512" s="132"/>
      <c r="B512" s="126"/>
      <c r="C512" s="95"/>
      <c r="D512" s="116" t="s">
        <v>77</v>
      </c>
      <c r="E512" s="116" t="s">
        <v>78</v>
      </c>
      <c r="F512" s="75" t="str">
        <f t="shared" si="171"/>
        <v/>
      </c>
      <c r="G512" s="75">
        <v>2.5</v>
      </c>
      <c r="H512" s="75">
        <v>1.5</v>
      </c>
      <c r="I512" s="75" t="str">
        <f t="shared" si="172"/>
        <v/>
      </c>
      <c r="J512" s="75" t="str">
        <f t="shared" si="173"/>
        <v/>
      </c>
      <c r="K512" s="75" t="str">
        <f t="shared" si="169"/>
        <v/>
      </c>
      <c r="L512" s="85" t="str">
        <f t="shared" si="174"/>
        <v/>
      </c>
      <c r="M512" s="129"/>
      <c r="N512" s="20"/>
      <c r="O512" s="76" t="s">
        <v>93</v>
      </c>
      <c r="P512" s="20"/>
      <c r="Q512" s="77">
        <f>IF(OR(O512="",L512="NO BET"),0,IF(AND(K512=O512),IF(AND(K512="T2"),ROUNDUP(H512*0.95,2)-1,ROUNDUP(G512*0.95,2)-1),-1))</f>
        <v>-1</v>
      </c>
      <c r="R512" s="20"/>
      <c r="S512" s="78" t="str">
        <f t="shared" si="175"/>
        <v>a</v>
      </c>
      <c r="T512" s="20"/>
      <c r="U512" s="135"/>
      <c r="V512" s="20"/>
    </row>
    <row r="513" spans="1:22" ht="15.75" customHeight="1" x14ac:dyDescent="0.25">
      <c r="A513" s="20"/>
      <c r="B513" s="20"/>
      <c r="C513" s="22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2"/>
      <c r="R513" s="20"/>
      <c r="S513" s="20"/>
      <c r="T513" s="20"/>
      <c r="U513" s="23"/>
      <c r="V513" s="20"/>
    </row>
    <row r="514" spans="1:22" ht="15.75" customHeight="1" x14ac:dyDescent="0.25">
      <c r="A514" s="20"/>
      <c r="B514" s="20"/>
      <c r="C514" s="22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2"/>
      <c r="R514" s="20"/>
      <c r="S514" s="20"/>
      <c r="T514" s="20"/>
      <c r="U514" s="23"/>
      <c r="V514" s="20"/>
    </row>
    <row r="515" spans="1:22" ht="16.5" thickBot="1" x14ac:dyDescent="0.3">
      <c r="A515" s="20"/>
      <c r="B515" s="20"/>
      <c r="C515" s="22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2"/>
      <c r="R515" s="20"/>
      <c r="S515" s="20"/>
      <c r="T515" s="20"/>
      <c r="U515" s="23"/>
      <c r="V515" s="20"/>
    </row>
    <row r="516" spans="1:22" ht="22.5" customHeight="1" thickBot="1" x14ac:dyDescent="0.3">
      <c r="A516" s="100" t="s">
        <v>6</v>
      </c>
      <c r="B516" s="124" t="s">
        <v>24</v>
      </c>
      <c r="C516" s="232" t="s">
        <v>9</v>
      </c>
      <c r="D516" s="55" t="s">
        <v>10</v>
      </c>
      <c r="E516" s="55" t="s">
        <v>11</v>
      </c>
      <c r="F516" s="55" t="s">
        <v>12</v>
      </c>
      <c r="G516" s="55" t="s">
        <v>13</v>
      </c>
      <c r="H516" s="55" t="s">
        <v>14</v>
      </c>
      <c r="I516" s="55" t="s">
        <v>15</v>
      </c>
      <c r="J516" s="55" t="s">
        <v>16</v>
      </c>
      <c r="K516" s="55" t="s">
        <v>35</v>
      </c>
      <c r="L516" s="55" t="s">
        <v>17</v>
      </c>
      <c r="M516" s="56" t="s">
        <v>18</v>
      </c>
      <c r="N516" s="57"/>
      <c r="O516" s="58" t="s">
        <v>19</v>
      </c>
      <c r="P516" s="54"/>
      <c r="Q516" s="59" t="s">
        <v>36</v>
      </c>
      <c r="R516" s="54"/>
      <c r="S516" s="58" t="s">
        <v>37</v>
      </c>
      <c r="T516" s="54"/>
      <c r="U516" s="60" t="s">
        <v>30</v>
      </c>
      <c r="V516" s="20"/>
    </row>
    <row r="517" spans="1:22" ht="15.75" customHeight="1" x14ac:dyDescent="0.25">
      <c r="A517" s="101"/>
      <c r="B517" s="125"/>
      <c r="C517" s="86"/>
      <c r="D517" s="117" t="s">
        <v>77</v>
      </c>
      <c r="E517" s="117" t="s">
        <v>79</v>
      </c>
      <c r="F517" s="61" t="str">
        <f>IF(AND(C517=""),"",1-C517)</f>
        <v/>
      </c>
      <c r="G517" s="61">
        <v>1.66</v>
      </c>
      <c r="H517" s="61">
        <v>2.1</v>
      </c>
      <c r="I517" s="61" t="str">
        <f>IF(AND(C517=""),"",G517*C517)</f>
        <v/>
      </c>
      <c r="J517" s="61" t="str">
        <f>IF(AND(C517=""),"",H517*F517)</f>
        <v/>
      </c>
      <c r="K517" s="61" t="str">
        <f t="shared" ref="K517:K526" si="176">IF(AND(I517=""),"",IF(AND(I517&gt;J517),"T1","T2"))</f>
        <v/>
      </c>
      <c r="L517" s="62" t="str">
        <f>IF(AND(K517=""),"",IF(AND((J517*0.95-1)&lt;0,(I517*0.95-1)&lt;0),"NO BET", IF(AND(K517="T1"),I517*0.95 - 1,J517*0.95 - 1)))</f>
        <v/>
      </c>
      <c r="M517" s="127">
        <f>SUMIF(L517:L526,"&gt;0")</f>
        <v>0</v>
      </c>
      <c r="N517" s="57"/>
      <c r="O517" s="63" t="s">
        <v>92</v>
      </c>
      <c r="P517" s="57"/>
      <c r="Q517" s="64">
        <f t="shared" ref="Q517:Q525" si="177">IF(OR(O517="",L517="NO BET"),0,IF(AND(K517=O517),IF(AND(K517="T2"),ROUNDUP(H517*0.95,2)-1,ROUNDUP(G517*0.95,2)-1),-1))</f>
        <v>-1</v>
      </c>
      <c r="R517" s="54"/>
      <c r="S517" s="65" t="str">
        <f>IF(AND(O517=""),"",IF(AND(C517&gt;F517),IF(AND(O517="T1"),"a","r"),IF(AND(O517="T2"),"a","r")))</f>
        <v>r</v>
      </c>
      <c r="T517" s="54"/>
      <c r="U517" s="130">
        <f>SUM(Q517:Q526)</f>
        <v>-10</v>
      </c>
      <c r="V517" s="20"/>
    </row>
    <row r="518" spans="1:22" ht="15.75" customHeight="1" x14ac:dyDescent="0.25">
      <c r="A518" s="131" t="s">
        <v>7</v>
      </c>
      <c r="B518" s="125"/>
      <c r="C518" s="89"/>
      <c r="D518" s="114" t="s">
        <v>47</v>
      </c>
      <c r="E518" s="114" t="s">
        <v>48</v>
      </c>
      <c r="F518" s="66" t="str">
        <f t="shared" ref="F518:F526" si="178">IF(AND(C518=""),"",1-C518)</f>
        <v/>
      </c>
      <c r="G518" s="66">
        <v>1.66</v>
      </c>
      <c r="H518" s="66">
        <v>2.1</v>
      </c>
      <c r="I518" s="66" t="str">
        <f t="shared" ref="I518:I526" si="179">IF(AND(C518=""),"",G518*C518)</f>
        <v/>
      </c>
      <c r="J518" s="66" t="str">
        <f t="shared" ref="J518:J526" si="180">IF(AND(C518=""),"",H518*F518)</f>
        <v/>
      </c>
      <c r="K518" s="66" t="str">
        <f t="shared" si="176"/>
        <v/>
      </c>
      <c r="L518" s="67" t="str">
        <f t="shared" ref="L518:L526" si="181">IF(AND(K518=""),"",IF(AND((J518*0.95-1)&lt;0,(I518*0.95-1)&lt;0),"NO BET", IF(AND(K518="T1"),I518*0.95 - 1,J518*0.95 - 1)))</f>
        <v/>
      </c>
      <c r="M518" s="128"/>
      <c r="N518" s="20"/>
      <c r="O518" s="68" t="s">
        <v>92</v>
      </c>
      <c r="P518" s="54"/>
      <c r="Q518" s="69">
        <f t="shared" si="177"/>
        <v>-1</v>
      </c>
      <c r="R518" s="54"/>
      <c r="S518" s="70" t="str">
        <f t="shared" ref="S518:S526" si="182">IF(AND(O518=""),"",IF(AND(C518&gt;F518),IF(AND(O518="T1"),"a","r"),IF(AND(O518="T2"),"a","r")))</f>
        <v>r</v>
      </c>
      <c r="T518" s="54"/>
      <c r="U518" s="130"/>
      <c r="V518" s="20"/>
    </row>
    <row r="519" spans="1:22" ht="15.75" customHeight="1" x14ac:dyDescent="0.25">
      <c r="A519" s="131"/>
      <c r="B519" s="125"/>
      <c r="C519" s="91"/>
      <c r="D519" s="115" t="s">
        <v>78</v>
      </c>
      <c r="E519" s="115" t="s">
        <v>52</v>
      </c>
      <c r="F519" s="13" t="str">
        <f t="shared" si="178"/>
        <v/>
      </c>
      <c r="G519" s="13">
        <v>1.83</v>
      </c>
      <c r="H519" s="13">
        <v>1.83</v>
      </c>
      <c r="I519" s="13" t="str">
        <f t="shared" si="179"/>
        <v/>
      </c>
      <c r="J519" s="13" t="str">
        <f t="shared" si="180"/>
        <v/>
      </c>
      <c r="K519" s="13" t="str">
        <f t="shared" si="176"/>
        <v/>
      </c>
      <c r="L519" s="71" t="str">
        <f t="shared" si="181"/>
        <v/>
      </c>
      <c r="M519" s="128"/>
      <c r="N519" s="57"/>
      <c r="O519" s="68" t="s">
        <v>92</v>
      </c>
      <c r="P519" s="54"/>
      <c r="Q519" s="69">
        <f t="shared" si="177"/>
        <v>-1</v>
      </c>
      <c r="R519" s="54"/>
      <c r="S519" s="70" t="str">
        <f t="shared" si="182"/>
        <v>r</v>
      </c>
      <c r="T519" s="54"/>
      <c r="U519" s="130"/>
      <c r="V519" s="20"/>
    </row>
    <row r="520" spans="1:22" ht="15.75" customHeight="1" x14ac:dyDescent="0.25">
      <c r="A520" s="131"/>
      <c r="B520" s="125"/>
      <c r="C520" s="89"/>
      <c r="D520" s="66">
        <v>100</v>
      </c>
      <c r="E520" s="114" t="s">
        <v>50</v>
      </c>
      <c r="F520" s="66" t="str">
        <f t="shared" si="178"/>
        <v/>
      </c>
      <c r="G520" s="66">
        <v>2.75</v>
      </c>
      <c r="H520" s="66">
        <v>1.4</v>
      </c>
      <c r="I520" s="66" t="str">
        <f t="shared" si="179"/>
        <v/>
      </c>
      <c r="J520" s="66" t="str">
        <f t="shared" si="180"/>
        <v/>
      </c>
      <c r="K520" s="66" t="str">
        <f t="shared" si="176"/>
        <v/>
      </c>
      <c r="L520" s="67" t="str">
        <f t="shared" si="181"/>
        <v/>
      </c>
      <c r="M520" s="128"/>
      <c r="N520" s="72"/>
      <c r="O520" s="68" t="s">
        <v>93</v>
      </c>
      <c r="P520" s="54"/>
      <c r="Q520" s="69">
        <f t="shared" si="177"/>
        <v>-1</v>
      </c>
      <c r="R520" s="54"/>
      <c r="S520" s="70" t="str">
        <f t="shared" si="182"/>
        <v>a</v>
      </c>
      <c r="T520" s="54"/>
      <c r="U520" s="130"/>
      <c r="V520" s="20"/>
    </row>
    <row r="521" spans="1:22" ht="15.75" customHeight="1" x14ac:dyDescent="0.25">
      <c r="A521" s="131"/>
      <c r="B521" s="125"/>
      <c r="C521" s="91"/>
      <c r="D521" s="115" t="s">
        <v>51</v>
      </c>
      <c r="E521" s="115" t="s">
        <v>49</v>
      </c>
      <c r="F521" s="13" t="str">
        <f t="shared" si="178"/>
        <v/>
      </c>
      <c r="G521" s="13">
        <v>1.44</v>
      </c>
      <c r="H521" s="13">
        <v>2.62</v>
      </c>
      <c r="I521" s="13" t="str">
        <f t="shared" si="179"/>
        <v/>
      </c>
      <c r="J521" s="13" t="str">
        <f t="shared" si="180"/>
        <v/>
      </c>
      <c r="K521" s="13" t="str">
        <f t="shared" si="176"/>
        <v/>
      </c>
      <c r="L521" s="73" t="str">
        <f t="shared" si="181"/>
        <v/>
      </c>
      <c r="M521" s="128"/>
      <c r="N521" s="72"/>
      <c r="O521" s="68" t="s">
        <v>92</v>
      </c>
      <c r="P521" s="54"/>
      <c r="Q521" s="69">
        <f t="shared" si="177"/>
        <v>-1</v>
      </c>
      <c r="R521" s="54"/>
      <c r="S521" s="70" t="str">
        <f t="shared" si="182"/>
        <v>r</v>
      </c>
      <c r="T521" s="54"/>
      <c r="U521" s="130"/>
      <c r="V521" s="20"/>
    </row>
    <row r="522" spans="1:22" ht="15.75" customHeight="1" x14ac:dyDescent="0.25">
      <c r="A522" s="131"/>
      <c r="B522" s="125"/>
      <c r="C522" s="89"/>
      <c r="D522" s="114" t="s">
        <v>87</v>
      </c>
      <c r="E522" s="114" t="s">
        <v>48</v>
      </c>
      <c r="F522" s="66" t="str">
        <f t="shared" si="178"/>
        <v/>
      </c>
      <c r="G522" s="66">
        <v>2.62</v>
      </c>
      <c r="H522" s="66">
        <v>1.44</v>
      </c>
      <c r="I522" s="66" t="str">
        <f t="shared" si="179"/>
        <v/>
      </c>
      <c r="J522" s="66" t="str">
        <f t="shared" si="180"/>
        <v/>
      </c>
      <c r="K522" s="66" t="str">
        <f t="shared" si="176"/>
        <v/>
      </c>
      <c r="L522" s="67" t="str">
        <f t="shared" si="181"/>
        <v/>
      </c>
      <c r="M522" s="128"/>
      <c r="N522" s="72"/>
      <c r="O522" s="68" t="s">
        <v>92</v>
      </c>
      <c r="P522" s="54"/>
      <c r="Q522" s="69">
        <f t="shared" si="177"/>
        <v>-1</v>
      </c>
      <c r="R522" s="54"/>
      <c r="S522" s="70" t="str">
        <f t="shared" si="182"/>
        <v>r</v>
      </c>
      <c r="T522" s="54"/>
      <c r="U522" s="130"/>
      <c r="V522" s="20"/>
    </row>
    <row r="523" spans="1:22" ht="15.75" customHeight="1" thickBot="1" x14ac:dyDescent="0.3">
      <c r="A523" s="131"/>
      <c r="B523" s="125"/>
      <c r="C523" s="91"/>
      <c r="D523" s="13">
        <v>100</v>
      </c>
      <c r="E523" s="115" t="s">
        <v>49</v>
      </c>
      <c r="F523" s="13" t="str">
        <f t="shared" si="178"/>
        <v/>
      </c>
      <c r="G523" s="13">
        <v>1.9</v>
      </c>
      <c r="H523" s="13">
        <v>1.8</v>
      </c>
      <c r="I523" s="13" t="str">
        <f t="shared" si="179"/>
        <v/>
      </c>
      <c r="J523" s="13" t="str">
        <f t="shared" si="180"/>
        <v/>
      </c>
      <c r="K523" s="13" t="str">
        <f t="shared" si="176"/>
        <v/>
      </c>
      <c r="L523" s="71" t="str">
        <f t="shared" si="181"/>
        <v/>
      </c>
      <c r="M523" s="128"/>
      <c r="N523" s="20"/>
      <c r="O523" s="68" t="s">
        <v>92</v>
      </c>
      <c r="P523" s="54"/>
      <c r="Q523" s="69">
        <f t="shared" si="177"/>
        <v>-1</v>
      </c>
      <c r="R523" s="54"/>
      <c r="S523" s="70" t="str">
        <f t="shared" si="182"/>
        <v>r</v>
      </c>
      <c r="T523" s="54"/>
      <c r="U523" s="74" t="s">
        <v>32</v>
      </c>
      <c r="V523" s="20"/>
    </row>
    <row r="524" spans="1:22" ht="16.5" customHeight="1" x14ac:dyDescent="0.25">
      <c r="A524" s="131"/>
      <c r="B524" s="125"/>
      <c r="C524" s="89"/>
      <c r="D524" s="114" t="s">
        <v>52</v>
      </c>
      <c r="E524" s="114" t="s">
        <v>77</v>
      </c>
      <c r="F524" s="66" t="str">
        <f t="shared" si="178"/>
        <v/>
      </c>
      <c r="G524" s="66">
        <v>1.57</v>
      </c>
      <c r="H524" s="66">
        <v>2.25</v>
      </c>
      <c r="I524" s="66" t="str">
        <f t="shared" si="179"/>
        <v/>
      </c>
      <c r="J524" s="66" t="str">
        <f t="shared" si="180"/>
        <v/>
      </c>
      <c r="K524" s="66" t="str">
        <f t="shared" si="176"/>
        <v/>
      </c>
      <c r="L524" s="82" t="str">
        <f t="shared" si="181"/>
        <v/>
      </c>
      <c r="M524" s="128"/>
      <c r="N524" s="20"/>
      <c r="O524" s="68" t="s">
        <v>92</v>
      </c>
      <c r="P524" s="54"/>
      <c r="Q524" s="69">
        <f t="shared" si="177"/>
        <v>-1</v>
      </c>
      <c r="R524" s="54"/>
      <c r="S524" s="70" t="str">
        <f t="shared" si="182"/>
        <v>r</v>
      </c>
      <c r="T524" s="54"/>
      <c r="U524" s="133">
        <f>IF(AND(NOT(M517=0)),U517/M517,0)</f>
        <v>0</v>
      </c>
      <c r="V524" s="20"/>
    </row>
    <row r="525" spans="1:22" ht="15.75" customHeight="1" x14ac:dyDescent="0.25">
      <c r="A525" s="131"/>
      <c r="B525" s="125"/>
      <c r="C525" s="91"/>
      <c r="D525" s="115" t="s">
        <v>50</v>
      </c>
      <c r="E525" s="115" t="s">
        <v>47</v>
      </c>
      <c r="F525" s="13" t="str">
        <f t="shared" si="178"/>
        <v/>
      </c>
      <c r="G525" s="13">
        <v>2</v>
      </c>
      <c r="H525" s="13">
        <v>1.72</v>
      </c>
      <c r="I525" s="13" t="str">
        <f t="shared" si="179"/>
        <v/>
      </c>
      <c r="J525" s="13" t="str">
        <f t="shared" si="180"/>
        <v/>
      </c>
      <c r="K525" s="13" t="str">
        <f t="shared" si="176"/>
        <v/>
      </c>
      <c r="L525" s="73" t="str">
        <f t="shared" si="181"/>
        <v/>
      </c>
      <c r="M525" s="128"/>
      <c r="N525" s="20"/>
      <c r="O525" s="68" t="s">
        <v>92</v>
      </c>
      <c r="P525" s="54"/>
      <c r="Q525" s="69">
        <f t="shared" si="177"/>
        <v>-1</v>
      </c>
      <c r="R525" s="54"/>
      <c r="S525" s="70" t="str">
        <f t="shared" si="182"/>
        <v>r</v>
      </c>
      <c r="T525" s="54"/>
      <c r="U525" s="134"/>
      <c r="V525" s="20"/>
    </row>
    <row r="526" spans="1:22" ht="15.75" customHeight="1" thickBot="1" x14ac:dyDescent="0.3">
      <c r="A526" s="132"/>
      <c r="B526" s="126"/>
      <c r="C526" s="95"/>
      <c r="D526" s="116" t="s">
        <v>51</v>
      </c>
      <c r="E526" s="116" t="s">
        <v>79</v>
      </c>
      <c r="F526" s="75" t="str">
        <f t="shared" si="178"/>
        <v/>
      </c>
      <c r="G526" s="75">
        <v>1.28</v>
      </c>
      <c r="H526" s="75">
        <v>3.5</v>
      </c>
      <c r="I526" s="75" t="str">
        <f t="shared" si="179"/>
        <v/>
      </c>
      <c r="J526" s="75" t="str">
        <f t="shared" si="180"/>
        <v/>
      </c>
      <c r="K526" s="75" t="str">
        <f t="shared" si="176"/>
        <v/>
      </c>
      <c r="L526" s="85" t="str">
        <f t="shared" si="181"/>
        <v/>
      </c>
      <c r="M526" s="129"/>
      <c r="N526" s="20"/>
      <c r="O526" s="76" t="s">
        <v>93</v>
      </c>
      <c r="P526" s="20"/>
      <c r="Q526" s="77">
        <f>IF(OR(O526="",L526="NO BET"),0,IF(AND(K526=O526),IF(AND(K526="T2"),ROUNDUP(H526*0.95,2)-1,ROUNDUP(G526*0.95,2)-1),-1))</f>
        <v>-1</v>
      </c>
      <c r="R526" s="20"/>
      <c r="S526" s="78" t="str">
        <f t="shared" si="182"/>
        <v>a</v>
      </c>
      <c r="T526" s="20"/>
      <c r="U526" s="135"/>
      <c r="V526" s="20"/>
    </row>
    <row r="527" spans="1:22" ht="15.75" customHeight="1" x14ac:dyDescent="0.25">
      <c r="A527" s="20"/>
      <c r="B527" s="20"/>
      <c r="C527" s="22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2"/>
      <c r="R527" s="20"/>
      <c r="S527" s="20"/>
      <c r="T527" s="20"/>
      <c r="U527" s="23"/>
      <c r="V527" s="20"/>
    </row>
    <row r="528" spans="1:22" ht="15.75" customHeight="1" x14ac:dyDescent="0.25">
      <c r="A528" s="20"/>
      <c r="B528" s="20"/>
      <c r="C528" s="22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2"/>
      <c r="R528" s="20"/>
      <c r="S528" s="20"/>
      <c r="T528" s="20"/>
      <c r="U528" s="23"/>
      <c r="V528" s="20"/>
    </row>
    <row r="529" spans="1:22" ht="15.75" customHeight="1" thickBot="1" x14ac:dyDescent="0.3">
      <c r="A529" s="20"/>
      <c r="B529" s="20"/>
      <c r="C529" s="22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2"/>
      <c r="R529" s="20"/>
      <c r="S529" s="20"/>
      <c r="T529" s="20"/>
      <c r="U529" s="23"/>
      <c r="V529" s="20"/>
    </row>
    <row r="530" spans="1:22" ht="22.5" customHeight="1" thickBot="1" x14ac:dyDescent="0.3">
      <c r="A530" s="100" t="s">
        <v>6</v>
      </c>
      <c r="B530" s="124" t="s">
        <v>25</v>
      </c>
      <c r="C530" s="232" t="s">
        <v>9</v>
      </c>
      <c r="D530" s="55" t="s">
        <v>10</v>
      </c>
      <c r="E530" s="55" t="s">
        <v>11</v>
      </c>
      <c r="F530" s="55" t="s">
        <v>12</v>
      </c>
      <c r="G530" s="55" t="s">
        <v>13</v>
      </c>
      <c r="H530" s="55" t="s">
        <v>14</v>
      </c>
      <c r="I530" s="55" t="s">
        <v>15</v>
      </c>
      <c r="J530" s="55" t="s">
        <v>16</v>
      </c>
      <c r="K530" s="55" t="s">
        <v>35</v>
      </c>
      <c r="L530" s="55" t="s">
        <v>17</v>
      </c>
      <c r="M530" s="56" t="s">
        <v>18</v>
      </c>
      <c r="N530" s="57"/>
      <c r="O530" s="58" t="s">
        <v>19</v>
      </c>
      <c r="P530" s="54"/>
      <c r="Q530" s="59" t="s">
        <v>36</v>
      </c>
      <c r="R530" s="54"/>
      <c r="S530" s="58" t="s">
        <v>37</v>
      </c>
      <c r="T530" s="54"/>
      <c r="U530" s="60" t="s">
        <v>30</v>
      </c>
      <c r="V530" s="20"/>
    </row>
    <row r="531" spans="1:22" ht="15.75" customHeight="1" x14ac:dyDescent="0.25">
      <c r="A531" s="101"/>
      <c r="B531" s="125"/>
      <c r="C531" s="86"/>
      <c r="D531" s="117">
        <v>100</v>
      </c>
      <c r="E531" s="117" t="s">
        <v>47</v>
      </c>
      <c r="F531" s="61" t="str">
        <f>IF(AND(C531=""),"",1-C531)</f>
        <v/>
      </c>
      <c r="G531" s="61">
        <v>2.75</v>
      </c>
      <c r="H531" s="61">
        <v>1.4</v>
      </c>
      <c r="I531" s="61" t="str">
        <f>IF(AND(C531=""),"",G531*C531)</f>
        <v/>
      </c>
      <c r="J531" s="61" t="str">
        <f>IF(AND(C531=""),"",H531*F531)</f>
        <v/>
      </c>
      <c r="K531" s="61" t="str">
        <f t="shared" ref="K531:K540" si="183">IF(AND(I531=""),"",IF(AND(I531&gt;J531),"T1","T2"))</f>
        <v/>
      </c>
      <c r="L531" s="62" t="str">
        <f>IF(AND(K531=""),"",IF(AND((J531*0.95-1)&lt;0,(I531*0.95-1)&lt;0),"NO BET", IF(AND(K531="T1"),I531*0.95 - 1,J531*0.95 - 1)))</f>
        <v/>
      </c>
      <c r="M531" s="127">
        <f>SUMIF(L531:L540,"&gt;0")</f>
        <v>0</v>
      </c>
      <c r="N531" s="57"/>
      <c r="O531" s="63" t="s">
        <v>92</v>
      </c>
      <c r="P531" s="57"/>
      <c r="Q531" s="64">
        <f t="shared" ref="Q531:Q539" si="184">IF(OR(O531="",L531="NO BET"),0,IF(AND(K531=O531),IF(AND(K531="T2"),ROUNDUP(H531*0.95,2)-1,ROUNDUP(G531*0.95,2)-1),-1))</f>
        <v>-1</v>
      </c>
      <c r="R531" s="54"/>
      <c r="S531" s="65" t="str">
        <f>IF(AND(O531=""),"",IF(AND(C531&gt;F531),IF(AND(O531="T1"),"a","r"),IF(AND(O531="T2"),"a","r")))</f>
        <v>r</v>
      </c>
      <c r="T531" s="54"/>
      <c r="U531" s="130">
        <f>SUM(Q531:Q540)</f>
        <v>-10</v>
      </c>
      <c r="V531" s="20"/>
    </row>
    <row r="532" spans="1:22" ht="15.75" customHeight="1" x14ac:dyDescent="0.25">
      <c r="A532" s="131" t="s">
        <v>7</v>
      </c>
      <c r="B532" s="125"/>
      <c r="C532" s="89"/>
      <c r="D532" s="114" t="s">
        <v>49</v>
      </c>
      <c r="E532" s="114" t="s">
        <v>78</v>
      </c>
      <c r="F532" s="66" t="str">
        <f t="shared" ref="F532:F540" si="185">IF(AND(C532=""),"",1-C532)</f>
        <v/>
      </c>
      <c r="G532" s="66">
        <v>2</v>
      </c>
      <c r="H532" s="66">
        <v>1.72</v>
      </c>
      <c r="I532" s="66" t="str">
        <f t="shared" ref="I532:I540" si="186">IF(AND(C532=""),"",G532*C532)</f>
        <v/>
      </c>
      <c r="J532" s="66" t="str">
        <f t="shared" ref="J532:J540" si="187">IF(AND(C532=""),"",H532*F532)</f>
        <v/>
      </c>
      <c r="K532" s="66" t="str">
        <f t="shared" si="183"/>
        <v/>
      </c>
      <c r="L532" s="67" t="str">
        <f t="shared" ref="L532:L540" si="188">IF(AND(K532=""),"",IF(AND((J532*0.95-1)&lt;0,(I532*0.95-1)&lt;0),"NO BET", IF(AND(K532="T1"),I532*0.95 - 1,J532*0.95 - 1)))</f>
        <v/>
      </c>
      <c r="M532" s="128"/>
      <c r="N532" s="20"/>
      <c r="O532" s="68" t="s">
        <v>93</v>
      </c>
      <c r="P532" s="54"/>
      <c r="Q532" s="69">
        <f t="shared" si="184"/>
        <v>-1</v>
      </c>
      <c r="R532" s="54"/>
      <c r="S532" s="70" t="str">
        <f t="shared" ref="S532:S540" si="189">IF(AND(O532=""),"",IF(AND(C532&gt;F532),IF(AND(O532="T1"),"a","r"),IF(AND(O532="T2"),"a","r")))</f>
        <v>a</v>
      </c>
      <c r="T532" s="54"/>
      <c r="U532" s="130"/>
      <c r="V532" s="20"/>
    </row>
    <row r="533" spans="1:22" ht="15.75" customHeight="1" x14ac:dyDescent="0.25">
      <c r="A533" s="131"/>
      <c r="B533" s="125"/>
      <c r="C533" s="91"/>
      <c r="D533" s="115" t="s">
        <v>48</v>
      </c>
      <c r="E533" s="115" t="s">
        <v>50</v>
      </c>
      <c r="F533" s="13" t="str">
        <f t="shared" si="185"/>
        <v/>
      </c>
      <c r="G533" s="13">
        <v>2.5</v>
      </c>
      <c r="H533" s="13">
        <v>1.5</v>
      </c>
      <c r="I533" s="13" t="str">
        <f t="shared" si="186"/>
        <v/>
      </c>
      <c r="J533" s="13" t="str">
        <f t="shared" si="187"/>
        <v/>
      </c>
      <c r="K533" s="13" t="str">
        <f t="shared" si="183"/>
        <v/>
      </c>
      <c r="L533" s="71" t="str">
        <f t="shared" si="188"/>
        <v/>
      </c>
      <c r="M533" s="128"/>
      <c r="N533" s="57"/>
      <c r="O533" s="68" t="s">
        <v>92</v>
      </c>
      <c r="P533" s="54"/>
      <c r="Q533" s="69">
        <f t="shared" si="184"/>
        <v>-1</v>
      </c>
      <c r="R533" s="54"/>
      <c r="S533" s="70" t="str">
        <f t="shared" si="189"/>
        <v>r</v>
      </c>
      <c r="T533" s="54"/>
      <c r="U533" s="130"/>
      <c r="V533" s="20"/>
    </row>
    <row r="534" spans="1:22" ht="15.75" customHeight="1" x14ac:dyDescent="0.25">
      <c r="A534" s="131"/>
      <c r="B534" s="125"/>
      <c r="C534" s="89"/>
      <c r="D534" s="114" t="s">
        <v>79</v>
      </c>
      <c r="E534" s="114" t="s">
        <v>77</v>
      </c>
      <c r="F534" s="66" t="str">
        <f t="shared" si="185"/>
        <v/>
      </c>
      <c r="G534" s="66">
        <v>2.25</v>
      </c>
      <c r="H534" s="66">
        <v>1.57</v>
      </c>
      <c r="I534" s="66" t="str">
        <f t="shared" si="186"/>
        <v/>
      </c>
      <c r="J534" s="66" t="str">
        <f t="shared" si="187"/>
        <v/>
      </c>
      <c r="K534" s="66" t="str">
        <f t="shared" si="183"/>
        <v/>
      </c>
      <c r="L534" s="67" t="str">
        <f t="shared" si="188"/>
        <v/>
      </c>
      <c r="M534" s="128"/>
      <c r="N534" s="72"/>
      <c r="O534" s="68" t="s">
        <v>93</v>
      </c>
      <c r="P534" s="54"/>
      <c r="Q534" s="69">
        <f t="shared" si="184"/>
        <v>-1</v>
      </c>
      <c r="R534" s="54"/>
      <c r="S534" s="70" t="str">
        <f t="shared" si="189"/>
        <v>a</v>
      </c>
      <c r="T534" s="54"/>
      <c r="U534" s="130"/>
      <c r="V534" s="20"/>
    </row>
    <row r="535" spans="1:22" ht="15.75" customHeight="1" x14ac:dyDescent="0.25">
      <c r="A535" s="131"/>
      <c r="B535" s="125"/>
      <c r="C535" s="91"/>
      <c r="D535" s="115" t="s">
        <v>51</v>
      </c>
      <c r="E535" s="115" t="s">
        <v>52</v>
      </c>
      <c r="F535" s="13" t="str">
        <f t="shared" si="185"/>
        <v/>
      </c>
      <c r="G535" s="13">
        <v>1.36</v>
      </c>
      <c r="H535" s="13">
        <v>3</v>
      </c>
      <c r="I535" s="13" t="str">
        <f t="shared" si="186"/>
        <v/>
      </c>
      <c r="J535" s="13" t="str">
        <f t="shared" si="187"/>
        <v/>
      </c>
      <c r="K535" s="13" t="str">
        <f t="shared" si="183"/>
        <v/>
      </c>
      <c r="L535" s="73" t="str">
        <f t="shared" si="188"/>
        <v/>
      </c>
      <c r="M535" s="128"/>
      <c r="N535" s="72"/>
      <c r="O535" s="68" t="s">
        <v>92</v>
      </c>
      <c r="P535" s="54"/>
      <c r="Q535" s="69">
        <f t="shared" si="184"/>
        <v>-1</v>
      </c>
      <c r="R535" s="54"/>
      <c r="S535" s="70" t="str">
        <f t="shared" si="189"/>
        <v>r</v>
      </c>
      <c r="T535" s="54"/>
      <c r="U535" s="130"/>
      <c r="V535" s="20"/>
    </row>
    <row r="536" spans="1:22" ht="15.75" customHeight="1" x14ac:dyDescent="0.25">
      <c r="A536" s="131"/>
      <c r="B536" s="125"/>
      <c r="C536" s="89"/>
      <c r="D536" s="114" t="s">
        <v>77</v>
      </c>
      <c r="E536" s="114" t="s">
        <v>48</v>
      </c>
      <c r="F536" s="66" t="str">
        <f t="shared" si="185"/>
        <v/>
      </c>
      <c r="G536" s="66">
        <v>2.5</v>
      </c>
      <c r="H536" s="66">
        <v>1.5</v>
      </c>
      <c r="I536" s="66" t="str">
        <f t="shared" si="186"/>
        <v/>
      </c>
      <c r="J536" s="66" t="str">
        <f t="shared" si="187"/>
        <v/>
      </c>
      <c r="K536" s="66" t="str">
        <f t="shared" si="183"/>
        <v/>
      </c>
      <c r="L536" s="67" t="str">
        <f t="shared" si="188"/>
        <v/>
      </c>
      <c r="M536" s="128"/>
      <c r="N536" s="72"/>
      <c r="O536" s="68" t="s">
        <v>93</v>
      </c>
      <c r="P536" s="54"/>
      <c r="Q536" s="69">
        <f t="shared" si="184"/>
        <v>-1</v>
      </c>
      <c r="R536" s="54"/>
      <c r="S536" s="70" t="str">
        <f t="shared" si="189"/>
        <v>a</v>
      </c>
      <c r="T536" s="54"/>
      <c r="U536" s="130"/>
      <c r="V536" s="20"/>
    </row>
    <row r="537" spans="1:22" ht="18.75" thickBot="1" x14ac:dyDescent="0.3">
      <c r="A537" s="131"/>
      <c r="B537" s="125"/>
      <c r="C537" s="91"/>
      <c r="D537" s="115" t="s">
        <v>52</v>
      </c>
      <c r="E537" s="115">
        <v>100</v>
      </c>
      <c r="F537" s="13" t="str">
        <f t="shared" si="185"/>
        <v/>
      </c>
      <c r="G537" s="13">
        <v>2.1</v>
      </c>
      <c r="H537" s="13">
        <v>1.66</v>
      </c>
      <c r="I537" s="13" t="str">
        <f t="shared" si="186"/>
        <v/>
      </c>
      <c r="J537" s="13" t="str">
        <f t="shared" si="187"/>
        <v/>
      </c>
      <c r="K537" s="13" t="str">
        <f t="shared" si="183"/>
        <v/>
      </c>
      <c r="L537" s="71" t="str">
        <f t="shared" si="188"/>
        <v/>
      </c>
      <c r="M537" s="128"/>
      <c r="N537" s="20"/>
      <c r="O537" s="68" t="s">
        <v>93</v>
      </c>
      <c r="P537" s="54"/>
      <c r="Q537" s="69">
        <f t="shared" si="184"/>
        <v>-1</v>
      </c>
      <c r="R537" s="54"/>
      <c r="S537" s="70" t="str">
        <f t="shared" si="189"/>
        <v>a</v>
      </c>
      <c r="T537" s="54"/>
      <c r="U537" s="74" t="s">
        <v>32</v>
      </c>
      <c r="V537" s="20"/>
    </row>
    <row r="538" spans="1:22" ht="18" x14ac:dyDescent="0.25">
      <c r="A538" s="131"/>
      <c r="B538" s="125"/>
      <c r="C538" s="89"/>
      <c r="D538" s="114" t="s">
        <v>50</v>
      </c>
      <c r="E538" s="114" t="s">
        <v>51</v>
      </c>
      <c r="F538" s="66" t="str">
        <f t="shared" si="185"/>
        <v/>
      </c>
      <c r="G538" s="66">
        <v>1.72</v>
      </c>
      <c r="H538" s="66">
        <v>2</v>
      </c>
      <c r="I538" s="66" t="str">
        <f t="shared" si="186"/>
        <v/>
      </c>
      <c r="J538" s="66" t="str">
        <f t="shared" si="187"/>
        <v/>
      </c>
      <c r="K538" s="66" t="str">
        <f t="shared" si="183"/>
        <v/>
      </c>
      <c r="L538" s="82" t="str">
        <f t="shared" si="188"/>
        <v/>
      </c>
      <c r="M538" s="128"/>
      <c r="N538" s="20"/>
      <c r="O538" s="68" t="s">
        <v>92</v>
      </c>
      <c r="P538" s="54"/>
      <c r="Q538" s="69">
        <f t="shared" si="184"/>
        <v>-1</v>
      </c>
      <c r="R538" s="54"/>
      <c r="S538" s="70" t="str">
        <f t="shared" si="189"/>
        <v>r</v>
      </c>
      <c r="T538" s="54"/>
      <c r="U538" s="133">
        <f>IF(AND(NOT(M531=0)),U531/M531,0)</f>
        <v>0</v>
      </c>
      <c r="V538" s="20"/>
    </row>
    <row r="539" spans="1:22" ht="15.75" customHeight="1" x14ac:dyDescent="0.25">
      <c r="A539" s="131"/>
      <c r="B539" s="125"/>
      <c r="C539" s="91"/>
      <c r="D539" s="115" t="s">
        <v>49</v>
      </c>
      <c r="E539" s="115" t="s">
        <v>79</v>
      </c>
      <c r="F539" s="13" t="str">
        <f t="shared" si="185"/>
        <v/>
      </c>
      <c r="G539" s="13">
        <v>1.44</v>
      </c>
      <c r="H539" s="13">
        <v>2.62</v>
      </c>
      <c r="I539" s="13" t="str">
        <f t="shared" si="186"/>
        <v/>
      </c>
      <c r="J539" s="13" t="str">
        <f t="shared" si="187"/>
        <v/>
      </c>
      <c r="K539" s="13" t="str">
        <f t="shared" si="183"/>
        <v/>
      </c>
      <c r="L539" s="73" t="str">
        <f t="shared" si="188"/>
        <v/>
      </c>
      <c r="M539" s="128"/>
      <c r="N539" s="20"/>
      <c r="O539" s="68" t="s">
        <v>93</v>
      </c>
      <c r="P539" s="54"/>
      <c r="Q539" s="69">
        <f t="shared" si="184"/>
        <v>-1</v>
      </c>
      <c r="R539" s="54"/>
      <c r="S539" s="70" t="str">
        <f t="shared" si="189"/>
        <v>a</v>
      </c>
      <c r="T539" s="54"/>
      <c r="U539" s="134"/>
      <c r="V539" s="20"/>
    </row>
    <row r="540" spans="1:22" ht="15.75" customHeight="1" thickBot="1" x14ac:dyDescent="0.3">
      <c r="A540" s="132"/>
      <c r="B540" s="126"/>
      <c r="C540" s="95"/>
      <c r="D540" s="116" t="s">
        <v>47</v>
      </c>
      <c r="E540" s="116" t="s">
        <v>78</v>
      </c>
      <c r="F540" s="75" t="str">
        <f t="shared" si="185"/>
        <v/>
      </c>
      <c r="G540" s="75">
        <v>1.5</v>
      </c>
      <c r="H540" s="75">
        <v>2.5</v>
      </c>
      <c r="I540" s="75" t="str">
        <f t="shared" si="186"/>
        <v/>
      </c>
      <c r="J540" s="75" t="str">
        <f t="shared" si="187"/>
        <v/>
      </c>
      <c r="K540" s="75" t="str">
        <f t="shared" si="183"/>
        <v/>
      </c>
      <c r="L540" s="85" t="str">
        <f t="shared" si="188"/>
        <v/>
      </c>
      <c r="M540" s="129"/>
      <c r="N540" s="20"/>
      <c r="O540" s="76" t="s">
        <v>92</v>
      </c>
      <c r="P540" s="20"/>
      <c r="Q540" s="77">
        <f>IF(OR(O540="",L540="NO BET"),0,IF(AND(K540=O540),IF(AND(K540="T2"),ROUNDUP(H540*0.95,2)-1,ROUNDUP(G540*0.95,2)-1),-1))</f>
        <v>-1</v>
      </c>
      <c r="R540" s="20"/>
      <c r="S540" s="78" t="str">
        <f t="shared" si="189"/>
        <v>r</v>
      </c>
      <c r="T540" s="20"/>
      <c r="U540" s="135"/>
      <c r="V540" s="20"/>
    </row>
    <row r="541" spans="1:22" ht="15.75" customHeight="1" x14ac:dyDescent="0.25">
      <c r="A541" s="20"/>
      <c r="B541" s="20"/>
      <c r="C541" s="22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2"/>
      <c r="R541" s="20"/>
      <c r="S541" s="20"/>
      <c r="T541" s="20"/>
      <c r="U541" s="23"/>
      <c r="V541" s="20"/>
    </row>
    <row r="542" spans="1:22" ht="15.75" customHeight="1" x14ac:dyDescent="0.25">
      <c r="A542" s="20"/>
      <c r="B542" s="20"/>
      <c r="C542" s="22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2"/>
      <c r="R542" s="20"/>
      <c r="S542" s="20"/>
      <c r="T542" s="20"/>
      <c r="U542" s="23"/>
      <c r="V542" s="20"/>
    </row>
    <row r="543" spans="1:22" ht="15.75" customHeight="1" thickBot="1" x14ac:dyDescent="0.3">
      <c r="A543" s="20"/>
      <c r="B543" s="20"/>
      <c r="C543" s="22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2"/>
      <c r="R543" s="20"/>
      <c r="S543" s="20"/>
      <c r="T543" s="20"/>
      <c r="U543" s="23"/>
      <c r="V543" s="20"/>
    </row>
    <row r="544" spans="1:22" ht="22.5" customHeight="1" thickBot="1" x14ac:dyDescent="0.3">
      <c r="A544" s="100" t="s">
        <v>6</v>
      </c>
      <c r="B544" s="124" t="s">
        <v>26</v>
      </c>
      <c r="C544" s="232" t="s">
        <v>9</v>
      </c>
      <c r="D544" s="55" t="s">
        <v>10</v>
      </c>
      <c r="E544" s="55" t="s">
        <v>11</v>
      </c>
      <c r="F544" s="55" t="s">
        <v>12</v>
      </c>
      <c r="G544" s="55" t="s">
        <v>13</v>
      </c>
      <c r="H544" s="55" t="s">
        <v>14</v>
      </c>
      <c r="I544" s="55" t="s">
        <v>15</v>
      </c>
      <c r="J544" s="55" t="s">
        <v>16</v>
      </c>
      <c r="K544" s="55" t="s">
        <v>35</v>
      </c>
      <c r="L544" s="55" t="s">
        <v>17</v>
      </c>
      <c r="M544" s="56" t="s">
        <v>18</v>
      </c>
      <c r="N544" s="57"/>
      <c r="O544" s="58" t="s">
        <v>19</v>
      </c>
      <c r="P544" s="54"/>
      <c r="Q544" s="59" t="s">
        <v>36</v>
      </c>
      <c r="R544" s="54"/>
      <c r="S544" s="58" t="s">
        <v>37</v>
      </c>
      <c r="T544" s="54"/>
      <c r="U544" s="60" t="s">
        <v>30</v>
      </c>
      <c r="V544" s="20"/>
    </row>
    <row r="545" spans="1:22" ht="15.75" customHeight="1" x14ac:dyDescent="0.25">
      <c r="A545" s="101"/>
      <c r="B545" s="125"/>
      <c r="C545" s="86"/>
      <c r="D545" s="117" t="s">
        <v>51</v>
      </c>
      <c r="E545" s="117">
        <v>100</v>
      </c>
      <c r="F545" s="61" t="str">
        <f>IF(AND(C545=""),"",1-C545)</f>
        <v/>
      </c>
      <c r="G545" s="61">
        <v>1.5</v>
      </c>
      <c r="H545" s="61">
        <v>2.5</v>
      </c>
      <c r="I545" s="61" t="str">
        <f>IF(AND(C545=""),"",G545*C545)</f>
        <v/>
      </c>
      <c r="J545" s="61" t="str">
        <f>IF(AND(C545=""),"",H545*F545)</f>
        <v/>
      </c>
      <c r="K545" s="61" t="str">
        <f t="shared" ref="K545:K554" si="190">IF(AND(I545=""),"",IF(AND(I545&gt;J545),"T1","T2"))</f>
        <v/>
      </c>
      <c r="L545" s="62" t="str">
        <f>IF(AND(K545=""),"",IF(AND((J545*0.95-1)&lt;0,(I545*0.95-1)&lt;0),"NO BET", IF(AND(K545="T1"),I545*0.95 - 1,J545*0.95 - 1)))</f>
        <v/>
      </c>
      <c r="M545" s="127">
        <f>SUMIF(L545:L554,"&gt;0")</f>
        <v>0</v>
      </c>
      <c r="N545" s="57"/>
      <c r="O545" s="63" t="s">
        <v>92</v>
      </c>
      <c r="P545" s="57"/>
      <c r="Q545" s="64">
        <f t="shared" ref="Q545:Q553" si="191">IF(OR(O545="",L545="NO BET"),0,IF(AND(K545=O545),IF(AND(K545="T2"),ROUNDUP(H545*0.95,2)-1,ROUNDUP(G545*0.95,2)-1),-1))</f>
        <v>-1</v>
      </c>
      <c r="R545" s="54"/>
      <c r="S545" s="65" t="str">
        <f>IF(AND(O545=""),"",IF(AND(C545&gt;F545),IF(AND(O545="T1"),"a","r"),IF(AND(O545="T2"),"a","r")))</f>
        <v>r</v>
      </c>
      <c r="T545" s="54"/>
      <c r="U545" s="130">
        <f>SUM(Q545:Q554)</f>
        <v>-10</v>
      </c>
      <c r="V545" s="20"/>
    </row>
    <row r="546" spans="1:22" ht="15.75" customHeight="1" x14ac:dyDescent="0.25">
      <c r="A546" s="131" t="s">
        <v>7</v>
      </c>
      <c r="B546" s="125"/>
      <c r="C546" s="89"/>
      <c r="D546" s="114" t="s">
        <v>48</v>
      </c>
      <c r="E546" s="114" t="s">
        <v>52</v>
      </c>
      <c r="F546" s="66" t="str">
        <f t="shared" ref="F546:F554" si="192">IF(AND(C546=""),"",1-C546)</f>
        <v/>
      </c>
      <c r="G546" s="66">
        <v>1.44</v>
      </c>
      <c r="H546" s="66">
        <v>2.62</v>
      </c>
      <c r="I546" s="66" t="str">
        <f t="shared" ref="I546:I554" si="193">IF(AND(C546=""),"",G546*C546)</f>
        <v/>
      </c>
      <c r="J546" s="66" t="str">
        <f t="shared" ref="J546:J554" si="194">IF(AND(C546=""),"",H546*F546)</f>
        <v/>
      </c>
      <c r="K546" s="66" t="str">
        <f t="shared" si="190"/>
        <v/>
      </c>
      <c r="L546" s="67" t="str">
        <f t="shared" ref="L546:L554" si="195">IF(AND(K546=""),"",IF(AND((J546*0.95-1)&lt;0,(I546*0.95-1)&lt;0),"NO BET", IF(AND(K546="T1"),I546*0.95 - 1,J546*0.95 - 1)))</f>
        <v/>
      </c>
      <c r="M546" s="128"/>
      <c r="N546" s="20"/>
      <c r="O546" s="68" t="s">
        <v>92</v>
      </c>
      <c r="P546" s="54"/>
      <c r="Q546" s="69">
        <f t="shared" si="191"/>
        <v>-1</v>
      </c>
      <c r="R546" s="54"/>
      <c r="S546" s="70" t="str">
        <f t="shared" ref="S546:S554" si="196">IF(AND(O546=""),"",IF(AND(C546&gt;F546),IF(AND(O546="T1"),"a","r"),IF(AND(O546="T2"),"a","r")))</f>
        <v>r</v>
      </c>
      <c r="T546" s="54"/>
      <c r="U546" s="130"/>
      <c r="V546" s="20"/>
    </row>
    <row r="547" spans="1:22" ht="15.75" customHeight="1" x14ac:dyDescent="0.25">
      <c r="A547" s="131"/>
      <c r="B547" s="125"/>
      <c r="C547" s="91"/>
      <c r="D547" s="115" t="s">
        <v>47</v>
      </c>
      <c r="E547" s="115" t="s">
        <v>49</v>
      </c>
      <c r="F547" s="13" t="str">
        <f t="shared" si="192"/>
        <v/>
      </c>
      <c r="G547" s="13">
        <v>1.33</v>
      </c>
      <c r="H547" s="13">
        <v>3.25</v>
      </c>
      <c r="I547" s="13" t="str">
        <f t="shared" si="193"/>
        <v/>
      </c>
      <c r="J547" s="13" t="str">
        <f t="shared" si="194"/>
        <v/>
      </c>
      <c r="K547" s="13" t="str">
        <f t="shared" si="190"/>
        <v/>
      </c>
      <c r="L547" s="71" t="str">
        <f t="shared" si="195"/>
        <v/>
      </c>
      <c r="M547" s="128"/>
      <c r="N547" s="57"/>
      <c r="O547" s="68" t="s">
        <v>93</v>
      </c>
      <c r="P547" s="54"/>
      <c r="Q547" s="69">
        <f t="shared" si="191"/>
        <v>-1</v>
      </c>
      <c r="R547" s="54"/>
      <c r="S547" s="70" t="str">
        <f t="shared" si="196"/>
        <v>a</v>
      </c>
      <c r="T547" s="54"/>
      <c r="U547" s="130"/>
      <c r="V547" s="20"/>
    </row>
    <row r="548" spans="1:22" ht="15.75" customHeight="1" x14ac:dyDescent="0.25">
      <c r="A548" s="131"/>
      <c r="B548" s="125"/>
      <c r="C548" s="89"/>
      <c r="D548" s="114" t="s">
        <v>79</v>
      </c>
      <c r="E548" s="114" t="s">
        <v>50</v>
      </c>
      <c r="F548" s="66" t="str">
        <f t="shared" si="192"/>
        <v/>
      </c>
      <c r="G548" s="66">
        <v>4.5</v>
      </c>
      <c r="H548" s="66">
        <v>1.1599999999999999</v>
      </c>
      <c r="I548" s="66" t="str">
        <f t="shared" si="193"/>
        <v/>
      </c>
      <c r="J548" s="66" t="str">
        <f t="shared" si="194"/>
        <v/>
      </c>
      <c r="K548" s="66" t="str">
        <f t="shared" si="190"/>
        <v/>
      </c>
      <c r="L548" s="67" t="str">
        <f t="shared" si="195"/>
        <v/>
      </c>
      <c r="M548" s="128"/>
      <c r="N548" s="72"/>
      <c r="O548" s="68" t="s">
        <v>92</v>
      </c>
      <c r="P548" s="54"/>
      <c r="Q548" s="69">
        <f t="shared" si="191"/>
        <v>-1</v>
      </c>
      <c r="R548" s="54"/>
      <c r="S548" s="70" t="str">
        <f t="shared" si="196"/>
        <v>r</v>
      </c>
      <c r="T548" s="54"/>
      <c r="U548" s="130"/>
      <c r="V548" s="20"/>
    </row>
    <row r="549" spans="1:22" ht="15.75" customHeight="1" x14ac:dyDescent="0.25">
      <c r="A549" s="131"/>
      <c r="B549" s="125"/>
      <c r="C549" s="91"/>
      <c r="D549" s="115" t="s">
        <v>78</v>
      </c>
      <c r="E549" s="115" t="s">
        <v>77</v>
      </c>
      <c r="F549" s="13" t="str">
        <f t="shared" si="192"/>
        <v/>
      </c>
      <c r="G549" s="13">
        <v>1.5</v>
      </c>
      <c r="H549" s="13">
        <v>2.5</v>
      </c>
      <c r="I549" s="13" t="str">
        <f t="shared" si="193"/>
        <v/>
      </c>
      <c r="J549" s="13" t="str">
        <f t="shared" si="194"/>
        <v/>
      </c>
      <c r="K549" s="13" t="str">
        <f t="shared" si="190"/>
        <v/>
      </c>
      <c r="L549" s="73" t="str">
        <f t="shared" si="195"/>
        <v/>
      </c>
      <c r="M549" s="128"/>
      <c r="N549" s="72"/>
      <c r="O549" s="68" t="s">
        <v>92</v>
      </c>
      <c r="P549" s="54"/>
      <c r="Q549" s="69">
        <f t="shared" si="191"/>
        <v>-1</v>
      </c>
      <c r="R549" s="54"/>
      <c r="S549" s="70" t="str">
        <f t="shared" si="196"/>
        <v>r</v>
      </c>
      <c r="T549" s="54"/>
      <c r="U549" s="130"/>
      <c r="V549" s="20"/>
    </row>
    <row r="550" spans="1:22" ht="15.75" customHeight="1" x14ac:dyDescent="0.25">
      <c r="A550" s="131"/>
      <c r="B550" s="125"/>
      <c r="C550" s="89"/>
      <c r="D550" s="114" t="s">
        <v>49</v>
      </c>
      <c r="E550" s="114" t="s">
        <v>51</v>
      </c>
      <c r="F550" s="66" t="str">
        <f t="shared" si="192"/>
        <v/>
      </c>
      <c r="G550" s="66">
        <v>2.62</v>
      </c>
      <c r="H550" s="66">
        <v>1.44</v>
      </c>
      <c r="I550" s="66" t="str">
        <f t="shared" si="193"/>
        <v/>
      </c>
      <c r="J550" s="66" t="str">
        <f t="shared" si="194"/>
        <v/>
      </c>
      <c r="K550" s="66" t="str">
        <f t="shared" si="190"/>
        <v/>
      </c>
      <c r="L550" s="67" t="str">
        <f t="shared" si="195"/>
        <v/>
      </c>
      <c r="M550" s="128"/>
      <c r="N550" s="72"/>
      <c r="O550" s="68" t="s">
        <v>92</v>
      </c>
      <c r="P550" s="54"/>
      <c r="Q550" s="69">
        <f t="shared" si="191"/>
        <v>-1</v>
      </c>
      <c r="R550" s="54"/>
      <c r="S550" s="70" t="str">
        <f t="shared" si="196"/>
        <v>r</v>
      </c>
      <c r="T550" s="54"/>
      <c r="U550" s="130"/>
      <c r="V550" s="20"/>
    </row>
    <row r="551" spans="1:22" ht="18.75" thickBot="1" x14ac:dyDescent="0.3">
      <c r="A551" s="131"/>
      <c r="B551" s="125"/>
      <c r="C551" s="91"/>
      <c r="D551" s="115" t="s">
        <v>77</v>
      </c>
      <c r="E551" s="115" t="s">
        <v>50</v>
      </c>
      <c r="F551" s="13" t="str">
        <f t="shared" si="192"/>
        <v/>
      </c>
      <c r="G551" s="13">
        <v>2.75</v>
      </c>
      <c r="H551" s="13">
        <v>1.4</v>
      </c>
      <c r="I551" s="13" t="str">
        <f t="shared" si="193"/>
        <v/>
      </c>
      <c r="J551" s="13" t="str">
        <f t="shared" si="194"/>
        <v/>
      </c>
      <c r="K551" s="13" t="str">
        <f t="shared" si="190"/>
        <v/>
      </c>
      <c r="L551" s="71" t="str">
        <f t="shared" si="195"/>
        <v/>
      </c>
      <c r="M551" s="128"/>
      <c r="N551" s="20"/>
      <c r="O551" s="68" t="s">
        <v>93</v>
      </c>
      <c r="P551" s="54"/>
      <c r="Q551" s="69">
        <f t="shared" si="191"/>
        <v>-1</v>
      </c>
      <c r="R551" s="54"/>
      <c r="S551" s="70" t="str">
        <f t="shared" si="196"/>
        <v>a</v>
      </c>
      <c r="T551" s="54"/>
      <c r="U551" s="74" t="s">
        <v>32</v>
      </c>
      <c r="V551" s="20"/>
    </row>
    <row r="552" spans="1:22" ht="18" x14ac:dyDescent="0.25">
      <c r="A552" s="131"/>
      <c r="B552" s="125"/>
      <c r="C552" s="89"/>
      <c r="D552" s="114">
        <v>100</v>
      </c>
      <c r="E552" s="114" t="s">
        <v>48</v>
      </c>
      <c r="F552" s="66" t="str">
        <f t="shared" si="192"/>
        <v/>
      </c>
      <c r="G552" s="66">
        <v>2.25</v>
      </c>
      <c r="H552" s="66">
        <v>1.57</v>
      </c>
      <c r="I552" s="66" t="str">
        <f t="shared" si="193"/>
        <v/>
      </c>
      <c r="J552" s="66" t="str">
        <f t="shared" si="194"/>
        <v/>
      </c>
      <c r="K552" s="66" t="str">
        <f t="shared" si="190"/>
        <v/>
      </c>
      <c r="L552" s="82" t="str">
        <f t="shared" si="195"/>
        <v/>
      </c>
      <c r="M552" s="128"/>
      <c r="N552" s="20"/>
      <c r="O552" s="68" t="s">
        <v>92</v>
      </c>
      <c r="P552" s="54"/>
      <c r="Q552" s="69">
        <f t="shared" si="191"/>
        <v>-1</v>
      </c>
      <c r="R552" s="54"/>
      <c r="S552" s="70" t="str">
        <f t="shared" si="196"/>
        <v>r</v>
      </c>
      <c r="T552" s="54"/>
      <c r="U552" s="133">
        <f>IF(AND(NOT(M545=0)),U545/M545,0)</f>
        <v>0</v>
      </c>
      <c r="V552" s="20"/>
    </row>
    <row r="553" spans="1:22" ht="18" x14ac:dyDescent="0.25">
      <c r="A553" s="131"/>
      <c r="B553" s="125"/>
      <c r="C553" s="91"/>
      <c r="D553" s="115" t="s">
        <v>47</v>
      </c>
      <c r="E553" s="115" t="s">
        <v>79</v>
      </c>
      <c r="F553" s="13" t="str">
        <f t="shared" si="192"/>
        <v/>
      </c>
      <c r="G553" s="13">
        <v>1.22</v>
      </c>
      <c r="H553" s="13">
        <v>4</v>
      </c>
      <c r="I553" s="13" t="str">
        <f t="shared" si="193"/>
        <v/>
      </c>
      <c r="J553" s="13" t="str">
        <f t="shared" si="194"/>
        <v/>
      </c>
      <c r="K553" s="13" t="str">
        <f t="shared" si="190"/>
        <v/>
      </c>
      <c r="L553" s="73" t="str">
        <f t="shared" si="195"/>
        <v/>
      </c>
      <c r="M553" s="128"/>
      <c r="N553" s="20"/>
      <c r="O553" s="68" t="s">
        <v>92</v>
      </c>
      <c r="P553" s="54"/>
      <c r="Q553" s="69">
        <f t="shared" si="191"/>
        <v>-1</v>
      </c>
      <c r="R553" s="54"/>
      <c r="S553" s="70" t="str">
        <f t="shared" si="196"/>
        <v>r</v>
      </c>
      <c r="T553" s="54"/>
      <c r="U553" s="134"/>
      <c r="V553" s="20"/>
    </row>
    <row r="554" spans="1:22" ht="18.75" thickBot="1" x14ac:dyDescent="0.3">
      <c r="A554" s="132"/>
      <c r="B554" s="126"/>
      <c r="C554" s="95"/>
      <c r="D554" s="116" t="s">
        <v>52</v>
      </c>
      <c r="E554" s="116" t="s">
        <v>78</v>
      </c>
      <c r="F554" s="75" t="str">
        <f t="shared" si="192"/>
        <v/>
      </c>
      <c r="G554" s="75">
        <v>2.25</v>
      </c>
      <c r="H554" s="75">
        <v>1.57</v>
      </c>
      <c r="I554" s="75" t="str">
        <f t="shared" si="193"/>
        <v/>
      </c>
      <c r="J554" s="75" t="str">
        <f t="shared" si="194"/>
        <v/>
      </c>
      <c r="K554" s="75" t="str">
        <f t="shared" si="190"/>
        <v/>
      </c>
      <c r="L554" s="85" t="str">
        <f t="shared" si="195"/>
        <v/>
      </c>
      <c r="M554" s="129"/>
      <c r="N554" s="20"/>
      <c r="O554" s="76" t="s">
        <v>93</v>
      </c>
      <c r="P554" s="20"/>
      <c r="Q554" s="77">
        <f>IF(OR(O554="",L554="NO BET"),0,IF(AND(K554=O554),IF(AND(K554="T2"),ROUNDUP(H554*0.95,2)-1,ROUNDUP(G554*0.95,2)-1),-1))</f>
        <v>-1</v>
      </c>
      <c r="R554" s="20"/>
      <c r="S554" s="78" t="str">
        <f t="shared" si="196"/>
        <v>a</v>
      </c>
      <c r="T554" s="20"/>
      <c r="U554" s="135"/>
      <c r="V554" s="20"/>
    </row>
    <row r="555" spans="1:22" x14ac:dyDescent="0.25">
      <c r="A555" s="20"/>
      <c r="B555" s="20"/>
      <c r="C555" s="22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2"/>
      <c r="R555" s="20"/>
      <c r="S555" s="20"/>
      <c r="T555" s="20"/>
      <c r="U555" s="23"/>
      <c r="V555" s="20"/>
    </row>
    <row r="556" spans="1:22" x14ac:dyDescent="0.25">
      <c r="A556" s="20"/>
      <c r="B556" s="20"/>
      <c r="C556" s="22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2"/>
      <c r="R556" s="20"/>
      <c r="S556" s="20"/>
      <c r="T556" s="20"/>
      <c r="U556" s="23"/>
      <c r="V556" s="20"/>
    </row>
    <row r="557" spans="1:22" ht="15.75" customHeight="1" thickBot="1" x14ac:dyDescent="0.3">
      <c r="A557" s="20"/>
      <c r="B557" s="20"/>
      <c r="C557" s="22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2"/>
      <c r="R557" s="20"/>
      <c r="S557" s="20"/>
      <c r="T557" s="20"/>
      <c r="U557" s="23"/>
      <c r="V557" s="20"/>
    </row>
    <row r="558" spans="1:22" ht="22.5" customHeight="1" thickBot="1" x14ac:dyDescent="0.3">
      <c r="A558" s="100" t="s">
        <v>6</v>
      </c>
      <c r="B558" s="124" t="s">
        <v>27</v>
      </c>
      <c r="C558" s="232" t="s">
        <v>9</v>
      </c>
      <c r="D558" s="55" t="s">
        <v>10</v>
      </c>
      <c r="E558" s="55" t="s">
        <v>11</v>
      </c>
      <c r="F558" s="55" t="s">
        <v>12</v>
      </c>
      <c r="G558" s="55" t="s">
        <v>13</v>
      </c>
      <c r="H558" s="55" t="s">
        <v>14</v>
      </c>
      <c r="I558" s="55" t="s">
        <v>15</v>
      </c>
      <c r="J558" s="55" t="s">
        <v>16</v>
      </c>
      <c r="K558" s="55" t="s">
        <v>35</v>
      </c>
      <c r="L558" s="55" t="s">
        <v>17</v>
      </c>
      <c r="M558" s="56" t="s">
        <v>18</v>
      </c>
      <c r="N558" s="57"/>
      <c r="O558" s="58" t="s">
        <v>19</v>
      </c>
      <c r="P558" s="54"/>
      <c r="Q558" s="59" t="s">
        <v>36</v>
      </c>
      <c r="R558" s="54"/>
      <c r="S558" s="58" t="s">
        <v>37</v>
      </c>
      <c r="T558" s="54"/>
      <c r="U558" s="60" t="s">
        <v>30</v>
      </c>
      <c r="V558" s="20"/>
    </row>
    <row r="559" spans="1:22" ht="15.75" customHeight="1" x14ac:dyDescent="0.25">
      <c r="A559" s="101"/>
      <c r="B559" s="125"/>
      <c r="C559" s="86"/>
      <c r="D559" s="117" t="s">
        <v>78</v>
      </c>
      <c r="E559" s="117" t="s">
        <v>50</v>
      </c>
      <c r="F559" s="61" t="str">
        <f>IF(AND(C559=""),"",1-C559)</f>
        <v/>
      </c>
      <c r="G559" s="61">
        <v>2.25</v>
      </c>
      <c r="H559" s="61">
        <v>1.57</v>
      </c>
      <c r="I559" s="61" t="str">
        <f>IF(AND(C559=""),"",G559*C559)</f>
        <v/>
      </c>
      <c r="J559" s="61" t="str">
        <f>IF(AND(C559=""),"",H559*F559)</f>
        <v/>
      </c>
      <c r="K559" s="61" t="str">
        <f t="shared" ref="K559:K568" si="197">IF(AND(I559=""),"",IF(AND(I559&gt;J559),"T1","T2"))</f>
        <v/>
      </c>
      <c r="L559" s="62" t="str">
        <f>IF(AND(K559=""),"",IF(AND((J559*0.95-1)&lt;0,(I559*0.95-1)&lt;0),"NO BET", IF(AND(K559="T1"),I559*0.95 - 1,J559*0.95 - 1)))</f>
        <v/>
      </c>
      <c r="M559" s="127">
        <f>SUMIF(L559:L568,"&gt;0")</f>
        <v>0</v>
      </c>
      <c r="N559" s="57"/>
      <c r="O559" s="63" t="s">
        <v>92</v>
      </c>
      <c r="P559" s="57"/>
      <c r="Q559" s="64">
        <f t="shared" ref="Q559:Q567" si="198">IF(OR(O559="",L559="NO BET"),0,IF(AND(K559=O559),IF(AND(K559="T2"),ROUNDUP(H559*0.95,2)-1,ROUNDUP(G559*0.95,2)-1),-1))</f>
        <v>-1</v>
      </c>
      <c r="R559" s="54"/>
      <c r="S559" s="65" t="str">
        <f>IF(AND(O559=""),"",IF(AND(C559&gt;F559),IF(AND(O559="T1"),"a","r"),IF(AND(O559="T2"),"a","r")))</f>
        <v>r</v>
      </c>
      <c r="T559" s="54"/>
      <c r="U559" s="130">
        <f>SUM(Q559:Q568)</f>
        <v>-10</v>
      </c>
      <c r="V559" s="20"/>
    </row>
    <row r="560" spans="1:22" ht="15.75" customHeight="1" x14ac:dyDescent="0.25">
      <c r="A560" s="131" t="s">
        <v>7</v>
      </c>
      <c r="B560" s="125"/>
      <c r="C560" s="89"/>
      <c r="D560" s="114" t="s">
        <v>52</v>
      </c>
      <c r="E560" s="114" t="s">
        <v>49</v>
      </c>
      <c r="F560" s="66" t="str">
        <f t="shared" ref="F560:F568" si="199">IF(AND(C560=""),"",1-C560)</f>
        <v/>
      </c>
      <c r="G560" s="66">
        <v>2.1</v>
      </c>
      <c r="H560" s="66">
        <v>1.66</v>
      </c>
      <c r="I560" s="66" t="str">
        <f t="shared" ref="I560:I568" si="200">IF(AND(C560=""),"",G560*C560)</f>
        <v/>
      </c>
      <c r="J560" s="66" t="str">
        <f t="shared" ref="J560:J568" si="201">IF(AND(C560=""),"",H560*F560)</f>
        <v/>
      </c>
      <c r="K560" s="66" t="str">
        <f t="shared" si="197"/>
        <v/>
      </c>
      <c r="L560" s="67" t="str">
        <f t="shared" ref="L560:L568" si="202">IF(AND(K560=""),"",IF(AND((J560*0.95-1)&lt;0,(I560*0.95-1)&lt;0),"NO BET", IF(AND(K560="T1"),I560*0.95 - 1,J560*0.95 - 1)))</f>
        <v/>
      </c>
      <c r="M560" s="128"/>
      <c r="N560" s="20"/>
      <c r="O560" s="68" t="s">
        <v>93</v>
      </c>
      <c r="P560" s="54"/>
      <c r="Q560" s="69">
        <f t="shared" si="198"/>
        <v>-1</v>
      </c>
      <c r="R560" s="54"/>
      <c r="S560" s="70" t="str">
        <f t="shared" ref="S560:S568" si="203">IF(AND(O560=""),"",IF(AND(C560&gt;F560),IF(AND(O560="T1"),"a","r"),IF(AND(O560="T2"),"a","r")))</f>
        <v>a</v>
      </c>
      <c r="T560" s="54"/>
      <c r="U560" s="130"/>
      <c r="V560" s="20"/>
    </row>
    <row r="561" spans="1:22" ht="15.75" customHeight="1" x14ac:dyDescent="0.25">
      <c r="A561" s="131"/>
      <c r="B561" s="125"/>
      <c r="C561" s="91"/>
      <c r="D561" s="115" t="s">
        <v>77</v>
      </c>
      <c r="E561" s="115" t="s">
        <v>47</v>
      </c>
      <c r="F561" s="13" t="str">
        <f t="shared" si="199"/>
        <v/>
      </c>
      <c r="G561" s="13">
        <v>2.75</v>
      </c>
      <c r="H561" s="13">
        <v>1.4</v>
      </c>
      <c r="I561" s="13" t="str">
        <f t="shared" si="200"/>
        <v/>
      </c>
      <c r="J561" s="13" t="str">
        <f t="shared" si="201"/>
        <v/>
      </c>
      <c r="K561" s="13" t="str">
        <f t="shared" si="197"/>
        <v/>
      </c>
      <c r="L561" s="71" t="str">
        <f t="shared" si="202"/>
        <v/>
      </c>
      <c r="M561" s="128"/>
      <c r="N561" s="57"/>
      <c r="O561" s="68" t="s">
        <v>93</v>
      </c>
      <c r="P561" s="54"/>
      <c r="Q561" s="69">
        <f t="shared" si="198"/>
        <v>-1</v>
      </c>
      <c r="R561" s="54"/>
      <c r="S561" s="70" t="str">
        <f t="shared" si="203"/>
        <v>a</v>
      </c>
      <c r="T561" s="54"/>
      <c r="U561" s="130"/>
      <c r="V561" s="20"/>
    </row>
    <row r="562" spans="1:22" ht="15.75" customHeight="1" x14ac:dyDescent="0.25">
      <c r="A562" s="131"/>
      <c r="B562" s="125"/>
      <c r="C562" s="89"/>
      <c r="D562" s="114" t="s">
        <v>48</v>
      </c>
      <c r="E562" s="114" t="s">
        <v>51</v>
      </c>
      <c r="F562" s="66" t="str">
        <f t="shared" si="199"/>
        <v/>
      </c>
      <c r="G562" s="66">
        <v>1.8</v>
      </c>
      <c r="H562" s="66">
        <v>1.9</v>
      </c>
      <c r="I562" s="66" t="str">
        <f t="shared" si="200"/>
        <v/>
      </c>
      <c r="J562" s="66" t="str">
        <f t="shared" si="201"/>
        <v/>
      </c>
      <c r="K562" s="66" t="str">
        <f t="shared" si="197"/>
        <v/>
      </c>
      <c r="L562" s="67" t="str">
        <f t="shared" si="202"/>
        <v/>
      </c>
      <c r="M562" s="128"/>
      <c r="N562" s="72"/>
      <c r="O562" s="68" t="s">
        <v>92</v>
      </c>
      <c r="P562" s="54"/>
      <c r="Q562" s="69">
        <f t="shared" si="198"/>
        <v>-1</v>
      </c>
      <c r="R562" s="54"/>
      <c r="S562" s="70" t="str">
        <f t="shared" si="203"/>
        <v>r</v>
      </c>
      <c r="T562" s="54"/>
      <c r="U562" s="130"/>
      <c r="V562" s="20"/>
    </row>
    <row r="563" spans="1:22" ht="15.75" customHeight="1" x14ac:dyDescent="0.25">
      <c r="A563" s="131"/>
      <c r="B563" s="125"/>
      <c r="C563" s="91"/>
      <c r="D563" s="115">
        <v>100</v>
      </c>
      <c r="E563" s="115" t="s">
        <v>79</v>
      </c>
      <c r="F563" s="13" t="str">
        <f t="shared" si="199"/>
        <v/>
      </c>
      <c r="G563" s="13">
        <v>1.57</v>
      </c>
      <c r="H563" s="13">
        <v>2.25</v>
      </c>
      <c r="I563" s="13" t="str">
        <f t="shared" si="200"/>
        <v/>
      </c>
      <c r="J563" s="13" t="str">
        <f t="shared" si="201"/>
        <v/>
      </c>
      <c r="K563" s="13" t="str">
        <f t="shared" si="197"/>
        <v/>
      </c>
      <c r="L563" s="73" t="str">
        <f t="shared" si="202"/>
        <v/>
      </c>
      <c r="M563" s="128"/>
      <c r="N563" s="72"/>
      <c r="O563" s="68" t="s">
        <v>92</v>
      </c>
      <c r="P563" s="54"/>
      <c r="Q563" s="69">
        <f t="shared" si="198"/>
        <v>-1</v>
      </c>
      <c r="R563" s="54"/>
      <c r="S563" s="70" t="str">
        <f t="shared" si="203"/>
        <v>r</v>
      </c>
      <c r="T563" s="54"/>
      <c r="U563" s="130"/>
      <c r="V563" s="20"/>
    </row>
    <row r="564" spans="1:22" ht="15.75" customHeight="1" x14ac:dyDescent="0.25">
      <c r="A564" s="131"/>
      <c r="B564" s="125"/>
      <c r="C564" s="89"/>
      <c r="D564" s="114" t="s">
        <v>50</v>
      </c>
      <c r="E564" s="114" t="s">
        <v>49</v>
      </c>
      <c r="F564" s="66" t="str">
        <f t="shared" si="199"/>
        <v/>
      </c>
      <c r="G564" s="66">
        <v>1.5</v>
      </c>
      <c r="H564" s="66">
        <v>2.5</v>
      </c>
      <c r="I564" s="66" t="str">
        <f t="shared" si="200"/>
        <v/>
      </c>
      <c r="J564" s="66" t="str">
        <f t="shared" si="201"/>
        <v/>
      </c>
      <c r="K564" s="66" t="str">
        <f t="shared" si="197"/>
        <v/>
      </c>
      <c r="L564" s="67" t="str">
        <f t="shared" si="202"/>
        <v/>
      </c>
      <c r="M564" s="128"/>
      <c r="N564" s="72"/>
      <c r="O564" s="68" t="s">
        <v>93</v>
      </c>
      <c r="P564" s="54"/>
      <c r="Q564" s="69">
        <f t="shared" si="198"/>
        <v>-1</v>
      </c>
      <c r="R564" s="54"/>
      <c r="S564" s="70" t="str">
        <f t="shared" si="203"/>
        <v>a</v>
      </c>
      <c r="T564" s="54"/>
      <c r="U564" s="130"/>
      <c r="V564" s="20"/>
    </row>
    <row r="565" spans="1:22" ht="15.75" customHeight="1" thickBot="1" x14ac:dyDescent="0.3">
      <c r="A565" s="131"/>
      <c r="B565" s="125"/>
      <c r="C565" s="91"/>
      <c r="D565" s="115" t="s">
        <v>52</v>
      </c>
      <c r="E565" s="115" t="s">
        <v>79</v>
      </c>
      <c r="F565" s="13" t="str">
        <f t="shared" si="199"/>
        <v/>
      </c>
      <c r="G565" s="13">
        <v>1.72</v>
      </c>
      <c r="H565" s="13">
        <v>2</v>
      </c>
      <c r="I565" s="13" t="str">
        <f t="shared" si="200"/>
        <v/>
      </c>
      <c r="J565" s="13" t="str">
        <f t="shared" si="201"/>
        <v/>
      </c>
      <c r="K565" s="13" t="str">
        <f t="shared" si="197"/>
        <v/>
      </c>
      <c r="L565" s="71" t="str">
        <f t="shared" si="202"/>
        <v/>
      </c>
      <c r="M565" s="128"/>
      <c r="N565" s="20"/>
      <c r="O565" s="68" t="s">
        <v>92</v>
      </c>
      <c r="P565" s="54"/>
      <c r="Q565" s="69">
        <f t="shared" si="198"/>
        <v>-1</v>
      </c>
      <c r="R565" s="54"/>
      <c r="S565" s="70" t="str">
        <f t="shared" si="203"/>
        <v>r</v>
      </c>
      <c r="T565" s="54"/>
      <c r="U565" s="74" t="s">
        <v>32</v>
      </c>
      <c r="V565" s="20"/>
    </row>
    <row r="566" spans="1:22" ht="16.5" customHeight="1" x14ac:dyDescent="0.25">
      <c r="A566" s="131"/>
      <c r="B566" s="125"/>
      <c r="C566" s="89"/>
      <c r="D566" s="114" t="s">
        <v>78</v>
      </c>
      <c r="E566" s="114" t="s">
        <v>51</v>
      </c>
      <c r="F566" s="66" t="str">
        <f t="shared" si="199"/>
        <v/>
      </c>
      <c r="G566" s="66">
        <v>2.2000000000000002</v>
      </c>
      <c r="H566" s="66">
        <v>1.61</v>
      </c>
      <c r="I566" s="66" t="str">
        <f t="shared" si="200"/>
        <v/>
      </c>
      <c r="J566" s="66" t="str">
        <f t="shared" si="201"/>
        <v/>
      </c>
      <c r="K566" s="66" t="str">
        <f t="shared" si="197"/>
        <v/>
      </c>
      <c r="L566" s="82" t="str">
        <f t="shared" si="202"/>
        <v/>
      </c>
      <c r="M566" s="128"/>
      <c r="N566" s="20"/>
      <c r="O566" s="68" t="s">
        <v>93</v>
      </c>
      <c r="P566" s="54"/>
      <c r="Q566" s="69">
        <f t="shared" si="198"/>
        <v>-1</v>
      </c>
      <c r="R566" s="54"/>
      <c r="S566" s="70" t="str">
        <f t="shared" si="203"/>
        <v>a</v>
      </c>
      <c r="T566" s="54"/>
      <c r="U566" s="133">
        <f>IF(AND(NOT(M559=0)),U559/M559,0)</f>
        <v>0</v>
      </c>
      <c r="V566" s="20"/>
    </row>
    <row r="567" spans="1:22" ht="18" x14ac:dyDescent="0.25">
      <c r="A567" s="131"/>
      <c r="B567" s="125"/>
      <c r="C567" s="91"/>
      <c r="D567" s="115" t="s">
        <v>48</v>
      </c>
      <c r="E567" s="115" t="s">
        <v>47</v>
      </c>
      <c r="F567" s="13" t="str">
        <f t="shared" si="199"/>
        <v/>
      </c>
      <c r="G567" s="13">
        <v>1.83</v>
      </c>
      <c r="H567" s="13">
        <v>1.83</v>
      </c>
      <c r="I567" s="13" t="str">
        <f t="shared" si="200"/>
        <v/>
      </c>
      <c r="J567" s="13" t="str">
        <f t="shared" si="201"/>
        <v/>
      </c>
      <c r="K567" s="13" t="str">
        <f t="shared" si="197"/>
        <v/>
      </c>
      <c r="L567" s="73" t="str">
        <f t="shared" si="202"/>
        <v/>
      </c>
      <c r="M567" s="128"/>
      <c r="N567" s="20"/>
      <c r="O567" s="68" t="s">
        <v>92</v>
      </c>
      <c r="P567" s="54"/>
      <c r="Q567" s="69">
        <f t="shared" si="198"/>
        <v>-1</v>
      </c>
      <c r="R567" s="54"/>
      <c r="S567" s="70" t="str">
        <f t="shared" si="203"/>
        <v>r</v>
      </c>
      <c r="T567" s="54"/>
      <c r="U567" s="134"/>
      <c r="V567" s="20"/>
    </row>
    <row r="568" spans="1:22" ht="18.75" thickBot="1" x14ac:dyDescent="0.3">
      <c r="A568" s="132"/>
      <c r="B568" s="126"/>
      <c r="C568" s="95"/>
      <c r="D568" s="116" t="s">
        <v>77</v>
      </c>
      <c r="E568" s="116">
        <v>100</v>
      </c>
      <c r="F568" s="75" t="str">
        <f t="shared" si="199"/>
        <v/>
      </c>
      <c r="G568" s="75">
        <v>2.2000000000000002</v>
      </c>
      <c r="H568" s="75">
        <v>1.61</v>
      </c>
      <c r="I568" s="75" t="str">
        <f t="shared" si="200"/>
        <v/>
      </c>
      <c r="J568" s="75" t="str">
        <f t="shared" si="201"/>
        <v/>
      </c>
      <c r="K568" s="75" t="str">
        <f t="shared" si="197"/>
        <v/>
      </c>
      <c r="L568" s="85" t="str">
        <f t="shared" si="202"/>
        <v/>
      </c>
      <c r="M568" s="129"/>
      <c r="N568" s="20"/>
      <c r="O568" s="76" t="s">
        <v>93</v>
      </c>
      <c r="P568" s="20"/>
      <c r="Q568" s="77">
        <f>IF(OR(O568="",L568="NO BET"),0,IF(AND(K568=O568),IF(AND(K568="T2"),ROUNDUP(H568*0.95,2)-1,ROUNDUP(G568*0.95,2)-1),-1))</f>
        <v>-1</v>
      </c>
      <c r="R568" s="20"/>
      <c r="S568" s="78" t="str">
        <f t="shared" si="203"/>
        <v>a</v>
      </c>
      <c r="T568" s="20"/>
      <c r="U568" s="135"/>
      <c r="V568" s="20"/>
    </row>
    <row r="569" spans="1:22" x14ac:dyDescent="0.25">
      <c r="A569" s="20"/>
      <c r="B569" s="20"/>
      <c r="C569" s="22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2"/>
      <c r="R569" s="20"/>
      <c r="S569" s="20"/>
      <c r="T569" s="20"/>
      <c r="U569" s="23"/>
      <c r="V569" s="20"/>
    </row>
    <row r="570" spans="1:22" x14ac:dyDescent="0.25">
      <c r="A570" s="20"/>
      <c r="B570" s="20"/>
      <c r="C570" s="22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2"/>
      <c r="R570" s="20"/>
      <c r="S570" s="20"/>
      <c r="T570" s="20"/>
      <c r="U570" s="23"/>
      <c r="V570" s="20"/>
    </row>
    <row r="571" spans="1:22" ht="16.5" thickBot="1" x14ac:dyDescent="0.3">
      <c r="A571" s="20"/>
      <c r="B571" s="20"/>
      <c r="C571" s="22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2"/>
      <c r="R571" s="20"/>
      <c r="S571" s="20"/>
      <c r="T571" s="20"/>
      <c r="U571" s="23"/>
      <c r="V571" s="20"/>
    </row>
    <row r="572" spans="1:22" ht="22.5" customHeight="1" thickBot="1" x14ac:dyDescent="0.3">
      <c r="A572" s="100" t="s">
        <v>6</v>
      </c>
      <c r="B572" s="124" t="s">
        <v>28</v>
      </c>
      <c r="C572" s="232" t="s">
        <v>9</v>
      </c>
      <c r="D572" s="55" t="s">
        <v>10</v>
      </c>
      <c r="E572" s="55" t="s">
        <v>11</v>
      </c>
      <c r="F572" s="55" t="s">
        <v>12</v>
      </c>
      <c r="G572" s="55" t="s">
        <v>13</v>
      </c>
      <c r="H572" s="55" t="s">
        <v>14</v>
      </c>
      <c r="I572" s="55" t="s">
        <v>15</v>
      </c>
      <c r="J572" s="55" t="s">
        <v>16</v>
      </c>
      <c r="K572" s="55" t="s">
        <v>35</v>
      </c>
      <c r="L572" s="55" t="s">
        <v>17</v>
      </c>
      <c r="M572" s="56" t="s">
        <v>18</v>
      </c>
      <c r="N572" s="57"/>
      <c r="O572" s="58" t="s">
        <v>19</v>
      </c>
      <c r="P572" s="54"/>
      <c r="Q572" s="59" t="s">
        <v>36</v>
      </c>
      <c r="R572" s="54"/>
      <c r="S572" s="58" t="s">
        <v>37</v>
      </c>
      <c r="T572" s="54"/>
      <c r="U572" s="60" t="s">
        <v>30</v>
      </c>
      <c r="V572" s="20"/>
    </row>
    <row r="573" spans="1:22" ht="15.75" customHeight="1" x14ac:dyDescent="0.25">
      <c r="A573" s="101"/>
      <c r="B573" s="125"/>
      <c r="C573" s="86"/>
      <c r="D573" s="117">
        <v>100</v>
      </c>
      <c r="E573" s="117" t="s">
        <v>78</v>
      </c>
      <c r="F573" s="61" t="str">
        <f>IF(AND(C573=""),"",1-C573)</f>
        <v/>
      </c>
      <c r="G573" s="61">
        <v>2</v>
      </c>
      <c r="H573" s="61">
        <v>1.72</v>
      </c>
      <c r="I573" s="61" t="str">
        <f>IF(AND(C573=""),"",G573*C573)</f>
        <v/>
      </c>
      <c r="J573" s="61" t="str">
        <f>IF(AND(C573=""),"",H573*F573)</f>
        <v/>
      </c>
      <c r="K573" s="61" t="str">
        <f t="shared" ref="K573:K582" si="204">IF(AND(I573=""),"",IF(AND(I573&gt;J573),"T1","T2"))</f>
        <v/>
      </c>
      <c r="L573" s="62" t="str">
        <f>IF(AND(K573=""),"",IF(AND((J573*0.95-1)&lt;0,(I573*0.95-1)&lt;0),"NO BET", IF(AND(K573="T1"),I573*0.95 - 1,J573*0.95 - 1)))</f>
        <v/>
      </c>
      <c r="M573" s="127">
        <f>SUMIF(L573:L582,"&gt;0")</f>
        <v>0</v>
      </c>
      <c r="N573" s="57"/>
      <c r="O573" s="63" t="s">
        <v>92</v>
      </c>
      <c r="P573" s="57"/>
      <c r="Q573" s="64">
        <f t="shared" ref="Q573:Q581" si="205">IF(OR(O573="",L573="NO BET"),0,IF(AND(K573=O573),IF(AND(K573="T2"),ROUNDUP(H573*0.95,2)-1,ROUNDUP(G573*0.95,2)-1),-1))</f>
        <v>-1</v>
      </c>
      <c r="R573" s="54"/>
      <c r="S573" s="65" t="str">
        <f>IF(AND(O573=""),"",IF(AND(C573&gt;F573),IF(AND(O573="T1"),"a","r"),IF(AND(O573="T2"),"a","r")))</f>
        <v>r</v>
      </c>
      <c r="T573" s="54"/>
      <c r="U573" s="130">
        <f>SUM(Q573:Q582)</f>
        <v>-10</v>
      </c>
      <c r="V573" s="20"/>
    </row>
    <row r="574" spans="1:22" ht="15.75" customHeight="1" x14ac:dyDescent="0.25">
      <c r="A574" s="131" t="s">
        <v>7</v>
      </c>
      <c r="B574" s="125"/>
      <c r="C574" s="89"/>
      <c r="D574" s="114" t="s">
        <v>52</v>
      </c>
      <c r="E574" s="114" t="s">
        <v>50</v>
      </c>
      <c r="F574" s="66" t="str">
        <f t="shared" ref="F574:F582" si="206">IF(AND(C574=""),"",1-C574)</f>
        <v/>
      </c>
      <c r="G574" s="66">
        <v>3</v>
      </c>
      <c r="H574" s="66">
        <v>1.36</v>
      </c>
      <c r="I574" s="66" t="str">
        <f t="shared" ref="I574:I582" si="207">IF(AND(C574=""),"",G574*C574)</f>
        <v/>
      </c>
      <c r="J574" s="66" t="str">
        <f t="shared" ref="J574:J582" si="208">IF(AND(C574=""),"",H574*F574)</f>
        <v/>
      </c>
      <c r="K574" s="66" t="str">
        <f t="shared" si="204"/>
        <v/>
      </c>
      <c r="L574" s="67" t="str">
        <f t="shared" ref="L574:L582" si="209">IF(AND(K574=""),"",IF(AND((J574*0.95-1)&lt;0,(I574*0.95-1)&lt;0),"NO BET", IF(AND(K574="T1"),I574*0.95 - 1,J574*0.95 - 1)))</f>
        <v/>
      </c>
      <c r="M574" s="128"/>
      <c r="N574" s="20"/>
      <c r="O574" s="68" t="s">
        <v>93</v>
      </c>
      <c r="P574" s="54"/>
      <c r="Q574" s="69">
        <f t="shared" si="205"/>
        <v>-1</v>
      </c>
      <c r="R574" s="54"/>
      <c r="S574" s="70" t="str">
        <f t="shared" ref="S574:S582" si="210">IF(AND(O574=""),"",IF(AND(C574&gt;F574),IF(AND(O574="T1"),"a","r"),IF(AND(O574="T2"),"a","r")))</f>
        <v>a</v>
      </c>
      <c r="T574" s="54"/>
      <c r="U574" s="130"/>
      <c r="V574" s="20"/>
    </row>
    <row r="575" spans="1:22" ht="15.75" customHeight="1" x14ac:dyDescent="0.25">
      <c r="A575" s="131"/>
      <c r="B575" s="125"/>
      <c r="C575" s="91"/>
      <c r="D575" s="115" t="s">
        <v>51</v>
      </c>
      <c r="E575" s="115" t="s">
        <v>47</v>
      </c>
      <c r="F575" s="13" t="str">
        <f t="shared" si="206"/>
        <v/>
      </c>
      <c r="G575" s="13">
        <v>2.37</v>
      </c>
      <c r="H575" s="13">
        <v>1.53</v>
      </c>
      <c r="I575" s="13" t="str">
        <f t="shared" si="207"/>
        <v/>
      </c>
      <c r="J575" s="13" t="str">
        <f t="shared" si="208"/>
        <v/>
      </c>
      <c r="K575" s="13" t="str">
        <f t="shared" si="204"/>
        <v/>
      </c>
      <c r="L575" s="71" t="str">
        <f t="shared" si="209"/>
        <v/>
      </c>
      <c r="M575" s="128"/>
      <c r="N575" s="57"/>
      <c r="O575" s="68" t="s">
        <v>92</v>
      </c>
      <c r="P575" s="54"/>
      <c r="Q575" s="69">
        <f t="shared" si="205"/>
        <v>-1</v>
      </c>
      <c r="R575" s="54"/>
      <c r="S575" s="70" t="str">
        <f t="shared" si="210"/>
        <v>r</v>
      </c>
      <c r="T575" s="54"/>
      <c r="U575" s="130"/>
      <c r="V575" s="20"/>
    </row>
    <row r="576" spans="1:22" ht="15.75" customHeight="1" x14ac:dyDescent="0.25">
      <c r="A576" s="131"/>
      <c r="B576" s="125"/>
      <c r="C576" s="89"/>
      <c r="D576" s="114" t="s">
        <v>79</v>
      </c>
      <c r="E576" s="114" t="s">
        <v>48</v>
      </c>
      <c r="F576" s="66" t="str">
        <f t="shared" si="206"/>
        <v/>
      </c>
      <c r="G576" s="66">
        <v>3.25</v>
      </c>
      <c r="H576" s="66">
        <v>1.33</v>
      </c>
      <c r="I576" s="66" t="str">
        <f t="shared" si="207"/>
        <v/>
      </c>
      <c r="J576" s="66" t="str">
        <f t="shared" si="208"/>
        <v/>
      </c>
      <c r="K576" s="66" t="str">
        <f t="shared" si="204"/>
        <v/>
      </c>
      <c r="L576" s="67" t="str">
        <f t="shared" si="209"/>
        <v/>
      </c>
      <c r="M576" s="128"/>
      <c r="N576" s="72"/>
      <c r="O576" s="68" t="s">
        <v>93</v>
      </c>
      <c r="P576" s="54"/>
      <c r="Q576" s="69">
        <f t="shared" si="205"/>
        <v>-1</v>
      </c>
      <c r="R576" s="54"/>
      <c r="S576" s="70" t="str">
        <f t="shared" si="210"/>
        <v>a</v>
      </c>
      <c r="T576" s="54"/>
      <c r="U576" s="130"/>
      <c r="V576" s="20"/>
    </row>
    <row r="577" spans="1:22" ht="15.75" customHeight="1" x14ac:dyDescent="0.25">
      <c r="A577" s="131"/>
      <c r="B577" s="125"/>
      <c r="C577" s="91"/>
      <c r="D577" s="115" t="s">
        <v>49</v>
      </c>
      <c r="E577" s="115" t="s">
        <v>77</v>
      </c>
      <c r="F577" s="13" t="str">
        <f t="shared" si="206"/>
        <v/>
      </c>
      <c r="G577" s="13">
        <v>1.5</v>
      </c>
      <c r="H577" s="13">
        <v>2.5</v>
      </c>
      <c r="I577" s="13" t="str">
        <f t="shared" si="207"/>
        <v/>
      </c>
      <c r="J577" s="13" t="str">
        <f t="shared" si="208"/>
        <v/>
      </c>
      <c r="K577" s="13" t="str">
        <f t="shared" si="204"/>
        <v/>
      </c>
      <c r="L577" s="73" t="str">
        <f t="shared" si="209"/>
        <v/>
      </c>
      <c r="M577" s="128"/>
      <c r="N577" s="72"/>
      <c r="O577" s="68" t="s">
        <v>93</v>
      </c>
      <c r="P577" s="54"/>
      <c r="Q577" s="69">
        <f t="shared" si="205"/>
        <v>-1</v>
      </c>
      <c r="R577" s="54"/>
      <c r="S577" s="70" t="str">
        <f t="shared" si="210"/>
        <v>a</v>
      </c>
      <c r="T577" s="54"/>
      <c r="U577" s="130"/>
      <c r="V577" s="20"/>
    </row>
    <row r="578" spans="1:22" ht="15.75" customHeight="1" x14ac:dyDescent="0.25">
      <c r="A578" s="131"/>
      <c r="B578" s="125"/>
      <c r="C578" s="89"/>
      <c r="D578" s="114" t="s">
        <v>47</v>
      </c>
      <c r="E578" s="114" t="s">
        <v>52</v>
      </c>
      <c r="F578" s="66" t="str">
        <f t="shared" si="206"/>
        <v/>
      </c>
      <c r="G578" s="66">
        <v>1.36</v>
      </c>
      <c r="H578" s="66">
        <v>3</v>
      </c>
      <c r="I578" s="66" t="str">
        <f t="shared" si="207"/>
        <v/>
      </c>
      <c r="J578" s="66" t="str">
        <f t="shared" si="208"/>
        <v/>
      </c>
      <c r="K578" s="66" t="str">
        <f t="shared" si="204"/>
        <v/>
      </c>
      <c r="L578" s="67" t="str">
        <f t="shared" si="209"/>
        <v/>
      </c>
      <c r="M578" s="128"/>
      <c r="N578" s="72"/>
      <c r="O578" s="68" t="s">
        <v>93</v>
      </c>
      <c r="P578" s="54"/>
      <c r="Q578" s="69">
        <f t="shared" si="205"/>
        <v>-1</v>
      </c>
      <c r="R578" s="54"/>
      <c r="S578" s="70" t="str">
        <f t="shared" si="210"/>
        <v>a</v>
      </c>
      <c r="T578" s="54"/>
      <c r="U578" s="130"/>
      <c r="V578" s="20"/>
    </row>
    <row r="579" spans="1:22" ht="18.75" thickBot="1" x14ac:dyDescent="0.3">
      <c r="A579" s="131"/>
      <c r="B579" s="125"/>
      <c r="C579" s="91"/>
      <c r="D579" s="115" t="s">
        <v>79</v>
      </c>
      <c r="E579" s="115" t="s">
        <v>78</v>
      </c>
      <c r="F579" s="13" t="str">
        <f t="shared" si="206"/>
        <v/>
      </c>
      <c r="G579" s="13">
        <v>3.75</v>
      </c>
      <c r="H579" s="13">
        <v>1.25</v>
      </c>
      <c r="I579" s="13" t="str">
        <f t="shared" si="207"/>
        <v/>
      </c>
      <c r="J579" s="13" t="str">
        <f t="shared" si="208"/>
        <v/>
      </c>
      <c r="K579" s="13" t="str">
        <f t="shared" si="204"/>
        <v/>
      </c>
      <c r="L579" s="71" t="str">
        <f t="shared" si="209"/>
        <v/>
      </c>
      <c r="M579" s="128"/>
      <c r="N579" s="20"/>
      <c r="O579" s="68" t="s">
        <v>93</v>
      </c>
      <c r="P579" s="54"/>
      <c r="Q579" s="69">
        <f t="shared" si="205"/>
        <v>-1</v>
      </c>
      <c r="R579" s="54"/>
      <c r="S579" s="70" t="str">
        <f t="shared" si="210"/>
        <v>a</v>
      </c>
      <c r="T579" s="54"/>
      <c r="U579" s="74" t="s">
        <v>32</v>
      </c>
      <c r="V579" s="20"/>
    </row>
    <row r="580" spans="1:22" ht="16.5" customHeight="1" x14ac:dyDescent="0.25">
      <c r="A580" s="131"/>
      <c r="B580" s="125"/>
      <c r="C580" s="89"/>
      <c r="D580" s="114" t="s">
        <v>49</v>
      </c>
      <c r="E580" s="114" t="s">
        <v>48</v>
      </c>
      <c r="F580" s="66" t="str">
        <f t="shared" si="206"/>
        <v/>
      </c>
      <c r="G580" s="66">
        <v>2</v>
      </c>
      <c r="H580" s="66">
        <v>1.72</v>
      </c>
      <c r="I580" s="66" t="str">
        <f t="shared" si="207"/>
        <v/>
      </c>
      <c r="J580" s="66" t="str">
        <f t="shared" si="208"/>
        <v/>
      </c>
      <c r="K580" s="66" t="str">
        <f t="shared" si="204"/>
        <v/>
      </c>
      <c r="L580" s="82" t="str">
        <f t="shared" si="209"/>
        <v/>
      </c>
      <c r="M580" s="128"/>
      <c r="N580" s="20"/>
      <c r="O580" s="68" t="s">
        <v>93</v>
      </c>
      <c r="P580" s="54"/>
      <c r="Q580" s="69">
        <f t="shared" si="205"/>
        <v>-1</v>
      </c>
      <c r="R580" s="54"/>
      <c r="S580" s="70" t="str">
        <f t="shared" si="210"/>
        <v>a</v>
      </c>
      <c r="T580" s="54"/>
      <c r="U580" s="133">
        <f>IF(AND(NOT(M573=0)),U573/M573,0)</f>
        <v>0</v>
      </c>
      <c r="V580" s="20"/>
    </row>
    <row r="581" spans="1:22" ht="15.75" customHeight="1" x14ac:dyDescent="0.25">
      <c r="A581" s="131"/>
      <c r="B581" s="125"/>
      <c r="C581" s="91"/>
      <c r="D581" s="115" t="s">
        <v>50</v>
      </c>
      <c r="E581" s="115">
        <v>100</v>
      </c>
      <c r="F581" s="13" t="str">
        <f t="shared" si="206"/>
        <v/>
      </c>
      <c r="G581" s="13">
        <v>1.61</v>
      </c>
      <c r="H581" s="13">
        <v>2.2000000000000002</v>
      </c>
      <c r="I581" s="13" t="str">
        <f t="shared" si="207"/>
        <v/>
      </c>
      <c r="J581" s="13" t="str">
        <f t="shared" si="208"/>
        <v/>
      </c>
      <c r="K581" s="13" t="str">
        <f t="shared" si="204"/>
        <v/>
      </c>
      <c r="L581" s="73" t="str">
        <f t="shared" si="209"/>
        <v/>
      </c>
      <c r="M581" s="128"/>
      <c r="N581" s="20"/>
      <c r="O581" s="68" t="s">
        <v>93</v>
      </c>
      <c r="P581" s="54"/>
      <c r="Q581" s="69">
        <f t="shared" si="205"/>
        <v>-1</v>
      </c>
      <c r="R581" s="54"/>
      <c r="S581" s="70" t="str">
        <f t="shared" si="210"/>
        <v>a</v>
      </c>
      <c r="T581" s="54"/>
      <c r="U581" s="134"/>
      <c r="V581" s="20"/>
    </row>
    <row r="582" spans="1:22" ht="15.75" customHeight="1" thickBot="1" x14ac:dyDescent="0.3">
      <c r="A582" s="132"/>
      <c r="B582" s="126"/>
      <c r="C582" s="95"/>
      <c r="D582" s="116" t="s">
        <v>51</v>
      </c>
      <c r="E582" s="116" t="s">
        <v>77</v>
      </c>
      <c r="F582" s="75" t="str">
        <f t="shared" si="206"/>
        <v/>
      </c>
      <c r="G582" s="75">
        <v>1.36</v>
      </c>
      <c r="H582" s="75">
        <v>3</v>
      </c>
      <c r="I582" s="75" t="str">
        <f t="shared" si="207"/>
        <v/>
      </c>
      <c r="J582" s="75" t="str">
        <f t="shared" si="208"/>
        <v/>
      </c>
      <c r="K582" s="75" t="str">
        <f t="shared" si="204"/>
        <v/>
      </c>
      <c r="L582" s="85" t="str">
        <f t="shared" si="209"/>
        <v/>
      </c>
      <c r="M582" s="129"/>
      <c r="N582" s="20"/>
      <c r="O582" s="76" t="s">
        <v>92</v>
      </c>
      <c r="P582" s="20"/>
      <c r="Q582" s="77">
        <f>IF(OR(O582="",L582="NO BET"),0,IF(AND(K582=O582),IF(AND(K582="T2"),ROUNDUP(H582*0.95,2)-1,ROUNDUP(G582*0.95,2)-1),-1))</f>
        <v>-1</v>
      </c>
      <c r="R582" s="20"/>
      <c r="S582" s="78" t="str">
        <f t="shared" si="210"/>
        <v>r</v>
      </c>
      <c r="T582" s="20"/>
      <c r="U582" s="135"/>
      <c r="V582" s="20"/>
    </row>
    <row r="583" spans="1:22" ht="15.75" customHeight="1" x14ac:dyDescent="0.25">
      <c r="A583" s="20"/>
      <c r="B583" s="20"/>
      <c r="C583" s="22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2"/>
      <c r="R583" s="20"/>
      <c r="S583" s="20"/>
      <c r="T583" s="20"/>
      <c r="U583" s="23"/>
      <c r="V583" s="20"/>
    </row>
    <row r="584" spans="1:22" ht="15.75" customHeight="1" x14ac:dyDescent="0.25">
      <c r="A584" s="20"/>
      <c r="B584" s="20"/>
      <c r="C584" s="22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2"/>
      <c r="R584" s="20"/>
      <c r="S584" s="20"/>
      <c r="T584" s="20"/>
      <c r="U584" s="23"/>
      <c r="V584" s="20"/>
    </row>
    <row r="585" spans="1:22" ht="16.5" thickBot="1" x14ac:dyDescent="0.3">
      <c r="A585" s="20"/>
      <c r="B585" s="20"/>
      <c r="C585" s="22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2"/>
      <c r="R585" s="20"/>
      <c r="S585" s="20"/>
      <c r="T585" s="20"/>
      <c r="U585" s="23"/>
      <c r="V585" s="20"/>
    </row>
    <row r="586" spans="1:22" ht="22.5" customHeight="1" thickBot="1" x14ac:dyDescent="0.3">
      <c r="A586" s="100" t="s">
        <v>6</v>
      </c>
      <c r="B586" s="124" t="s">
        <v>29</v>
      </c>
      <c r="C586" s="232" t="s">
        <v>9</v>
      </c>
      <c r="D586" s="55" t="s">
        <v>10</v>
      </c>
      <c r="E586" s="55" t="s">
        <v>11</v>
      </c>
      <c r="F586" s="55" t="s">
        <v>12</v>
      </c>
      <c r="G586" s="55" t="s">
        <v>13</v>
      </c>
      <c r="H586" s="55" t="s">
        <v>14</v>
      </c>
      <c r="I586" s="55" t="s">
        <v>15</v>
      </c>
      <c r="J586" s="55" t="s">
        <v>16</v>
      </c>
      <c r="K586" s="55" t="s">
        <v>35</v>
      </c>
      <c r="L586" s="55" t="s">
        <v>17</v>
      </c>
      <c r="M586" s="56" t="s">
        <v>18</v>
      </c>
      <c r="N586" s="57"/>
      <c r="O586" s="58" t="s">
        <v>19</v>
      </c>
      <c r="P586" s="54"/>
      <c r="Q586" s="59" t="s">
        <v>36</v>
      </c>
      <c r="R586" s="54"/>
      <c r="S586" s="58" t="s">
        <v>37</v>
      </c>
      <c r="T586" s="54"/>
      <c r="U586" s="60" t="s">
        <v>30</v>
      </c>
      <c r="V586" s="20"/>
    </row>
    <row r="587" spans="1:22" ht="15.75" customHeight="1" x14ac:dyDescent="0.25">
      <c r="A587" s="101"/>
      <c r="B587" s="125"/>
      <c r="C587" s="86"/>
      <c r="D587" s="61"/>
      <c r="E587" s="61"/>
      <c r="F587" s="61" t="str">
        <f>IF(AND(C587=""),"",1-C587)</f>
        <v/>
      </c>
      <c r="G587" s="61"/>
      <c r="H587" s="61"/>
      <c r="I587" s="61" t="str">
        <f>IF(AND(C587=""),"",G587*C587)</f>
        <v/>
      </c>
      <c r="J587" s="61" t="str">
        <f>IF(AND(C587=""),"",H587*F587)</f>
        <v/>
      </c>
      <c r="K587" s="61" t="str">
        <f t="shared" ref="K587:K596" si="211">IF(AND(I587=""),"",IF(AND(I587&gt;J587),"T1","T2"))</f>
        <v/>
      </c>
      <c r="L587" s="62" t="str">
        <f>IF(AND(K587=""),"",IF(AND((J587*0.95-1)&lt;0,(I587*0.95-1)&lt;0),"NO BET", IF(AND(K587="T1"),I587*0.95 - 1,J587*0.95 - 1)))</f>
        <v/>
      </c>
      <c r="M587" s="127">
        <f>SUMIF(L587:L596,"&gt;0")</f>
        <v>0</v>
      </c>
      <c r="N587" s="57"/>
      <c r="O587" s="63"/>
      <c r="P587" s="57"/>
      <c r="Q587" s="64">
        <f t="shared" ref="Q587:Q595" si="212">IF(OR(O587="",L587="NO BET"),0,IF(AND(K587=O587),IF(AND(K587="T2"),ROUNDUP(H587*0.95,2)-1,ROUNDUP(G587*0.95,2)-1),-1))</f>
        <v>0</v>
      </c>
      <c r="R587" s="54"/>
      <c r="S587" s="65" t="str">
        <f>IF(AND(O587=""),"",IF(AND(C587&gt;F587),IF(AND(O587="T1"),"a","r"),IF(AND(O587="T2"),"a","r")))</f>
        <v/>
      </c>
      <c r="T587" s="54"/>
      <c r="U587" s="130">
        <f>SUM(Q587:Q596)</f>
        <v>0</v>
      </c>
      <c r="V587" s="20"/>
    </row>
    <row r="588" spans="1:22" ht="15.75" customHeight="1" x14ac:dyDescent="0.25">
      <c r="A588" s="131" t="s">
        <v>7</v>
      </c>
      <c r="B588" s="125"/>
      <c r="C588" s="89"/>
      <c r="D588" s="66"/>
      <c r="E588" s="66"/>
      <c r="F588" s="66" t="str">
        <f t="shared" ref="F588:F596" si="213">IF(AND(C588=""),"",1-C588)</f>
        <v/>
      </c>
      <c r="G588" s="66"/>
      <c r="H588" s="66"/>
      <c r="I588" s="66" t="str">
        <f t="shared" ref="I588:I596" si="214">IF(AND(C588=""),"",G588*C588)</f>
        <v/>
      </c>
      <c r="J588" s="66" t="str">
        <f t="shared" ref="J588:J596" si="215">IF(AND(C588=""),"",H588*F588)</f>
        <v/>
      </c>
      <c r="K588" s="66" t="str">
        <f t="shared" si="211"/>
        <v/>
      </c>
      <c r="L588" s="67" t="str">
        <f t="shared" ref="L588:L596" si="216">IF(AND(K588=""),"",IF(AND((J588*0.95-1)&lt;0,(I588*0.95-1)&lt;0),"NO BET", IF(AND(K588="T1"),I588*0.95 - 1,J588*0.95 - 1)))</f>
        <v/>
      </c>
      <c r="M588" s="128"/>
      <c r="N588" s="20"/>
      <c r="O588" s="68"/>
      <c r="P588" s="54"/>
      <c r="Q588" s="69">
        <f t="shared" si="212"/>
        <v>0</v>
      </c>
      <c r="R588" s="54"/>
      <c r="S588" s="70" t="str">
        <f t="shared" ref="S588:S596" si="217">IF(AND(O588=""),"",IF(AND(C588&gt;F588),IF(AND(O588="T1"),"a","r"),IF(AND(O588="T2"),"a","r")))</f>
        <v/>
      </c>
      <c r="T588" s="54"/>
      <c r="U588" s="130"/>
      <c r="V588" s="20"/>
    </row>
    <row r="589" spans="1:22" ht="15.75" customHeight="1" x14ac:dyDescent="0.25">
      <c r="A589" s="131"/>
      <c r="B589" s="125"/>
      <c r="C589" s="91"/>
      <c r="D589" s="13"/>
      <c r="E589" s="13"/>
      <c r="F589" s="13" t="str">
        <f t="shared" si="213"/>
        <v/>
      </c>
      <c r="G589" s="13"/>
      <c r="H589" s="13"/>
      <c r="I589" s="13" t="str">
        <f t="shared" si="214"/>
        <v/>
      </c>
      <c r="J589" s="13" t="str">
        <f t="shared" si="215"/>
        <v/>
      </c>
      <c r="K589" s="13" t="str">
        <f t="shared" si="211"/>
        <v/>
      </c>
      <c r="L589" s="71" t="str">
        <f t="shared" si="216"/>
        <v/>
      </c>
      <c r="M589" s="128"/>
      <c r="N589" s="57"/>
      <c r="O589" s="68"/>
      <c r="P589" s="54"/>
      <c r="Q589" s="69">
        <f t="shared" si="212"/>
        <v>0</v>
      </c>
      <c r="R589" s="54"/>
      <c r="S589" s="70" t="str">
        <f t="shared" si="217"/>
        <v/>
      </c>
      <c r="T589" s="54"/>
      <c r="U589" s="130"/>
      <c r="V589" s="20"/>
    </row>
    <row r="590" spans="1:22" ht="15.75" customHeight="1" x14ac:dyDescent="0.25">
      <c r="A590" s="131"/>
      <c r="B590" s="125"/>
      <c r="C590" s="89"/>
      <c r="D590" s="66"/>
      <c r="E590" s="66"/>
      <c r="F590" s="66" t="str">
        <f t="shared" si="213"/>
        <v/>
      </c>
      <c r="G590" s="66"/>
      <c r="H590" s="66"/>
      <c r="I590" s="66" t="str">
        <f t="shared" si="214"/>
        <v/>
      </c>
      <c r="J590" s="66" t="str">
        <f t="shared" si="215"/>
        <v/>
      </c>
      <c r="K590" s="66" t="str">
        <f t="shared" si="211"/>
        <v/>
      </c>
      <c r="L590" s="67" t="str">
        <f t="shared" si="216"/>
        <v/>
      </c>
      <c r="M590" s="128"/>
      <c r="N590" s="72"/>
      <c r="O590" s="68"/>
      <c r="P590" s="54"/>
      <c r="Q590" s="69">
        <f t="shared" si="212"/>
        <v>0</v>
      </c>
      <c r="R590" s="54"/>
      <c r="S590" s="70" t="str">
        <f t="shared" si="217"/>
        <v/>
      </c>
      <c r="T590" s="54"/>
      <c r="U590" s="130"/>
      <c r="V590" s="20"/>
    </row>
    <row r="591" spans="1:22" ht="15.75" customHeight="1" x14ac:dyDescent="0.25">
      <c r="A591" s="131"/>
      <c r="B591" s="125"/>
      <c r="C591" s="91"/>
      <c r="D591" s="13"/>
      <c r="E591" s="13"/>
      <c r="F591" s="13" t="str">
        <f t="shared" si="213"/>
        <v/>
      </c>
      <c r="G591" s="13"/>
      <c r="H591" s="13"/>
      <c r="I591" s="13" t="str">
        <f t="shared" si="214"/>
        <v/>
      </c>
      <c r="J591" s="13" t="str">
        <f t="shared" si="215"/>
        <v/>
      </c>
      <c r="K591" s="13" t="str">
        <f t="shared" si="211"/>
        <v/>
      </c>
      <c r="L591" s="73" t="str">
        <f t="shared" si="216"/>
        <v/>
      </c>
      <c r="M591" s="128"/>
      <c r="N591" s="72"/>
      <c r="O591" s="68"/>
      <c r="P591" s="54"/>
      <c r="Q591" s="69">
        <f t="shared" si="212"/>
        <v>0</v>
      </c>
      <c r="R591" s="54"/>
      <c r="S591" s="70" t="str">
        <f t="shared" si="217"/>
        <v/>
      </c>
      <c r="T591" s="54"/>
      <c r="U591" s="130"/>
      <c r="V591" s="20"/>
    </row>
    <row r="592" spans="1:22" ht="15.75" customHeight="1" x14ac:dyDescent="0.25">
      <c r="A592" s="131"/>
      <c r="B592" s="125"/>
      <c r="C592" s="89"/>
      <c r="D592" s="66"/>
      <c r="E592" s="66"/>
      <c r="F592" s="66" t="str">
        <f t="shared" si="213"/>
        <v/>
      </c>
      <c r="G592" s="66"/>
      <c r="H592" s="66"/>
      <c r="I592" s="66" t="str">
        <f t="shared" si="214"/>
        <v/>
      </c>
      <c r="J592" s="66" t="str">
        <f t="shared" si="215"/>
        <v/>
      </c>
      <c r="K592" s="66" t="str">
        <f t="shared" si="211"/>
        <v/>
      </c>
      <c r="L592" s="67" t="str">
        <f t="shared" si="216"/>
        <v/>
      </c>
      <c r="M592" s="128"/>
      <c r="N592" s="72"/>
      <c r="O592" s="68"/>
      <c r="P592" s="54"/>
      <c r="Q592" s="69">
        <f t="shared" si="212"/>
        <v>0</v>
      </c>
      <c r="R592" s="54"/>
      <c r="S592" s="70" t="str">
        <f t="shared" si="217"/>
        <v/>
      </c>
      <c r="T592" s="54"/>
      <c r="U592" s="130"/>
      <c r="V592" s="20"/>
    </row>
    <row r="593" spans="1:22" ht="15.75" customHeight="1" thickBot="1" x14ac:dyDescent="0.3">
      <c r="A593" s="131"/>
      <c r="B593" s="125"/>
      <c r="C593" s="91"/>
      <c r="D593" s="13"/>
      <c r="E593" s="13"/>
      <c r="F593" s="13" t="str">
        <f t="shared" si="213"/>
        <v/>
      </c>
      <c r="G593" s="13"/>
      <c r="H593" s="13"/>
      <c r="I593" s="13" t="str">
        <f t="shared" si="214"/>
        <v/>
      </c>
      <c r="J593" s="13" t="str">
        <f t="shared" si="215"/>
        <v/>
      </c>
      <c r="K593" s="13" t="str">
        <f t="shared" si="211"/>
        <v/>
      </c>
      <c r="L593" s="71" t="str">
        <f t="shared" si="216"/>
        <v/>
      </c>
      <c r="M593" s="128"/>
      <c r="N593" s="20"/>
      <c r="O593" s="68"/>
      <c r="P593" s="54"/>
      <c r="Q593" s="69">
        <f t="shared" si="212"/>
        <v>0</v>
      </c>
      <c r="R593" s="54"/>
      <c r="S593" s="70" t="str">
        <f t="shared" si="217"/>
        <v/>
      </c>
      <c r="T593" s="54"/>
      <c r="U593" s="74" t="s">
        <v>32</v>
      </c>
      <c r="V593" s="20"/>
    </row>
    <row r="594" spans="1:22" ht="16.5" customHeight="1" x14ac:dyDescent="0.25">
      <c r="A594" s="131"/>
      <c r="B594" s="125"/>
      <c r="C594" s="89"/>
      <c r="D594" s="66"/>
      <c r="E594" s="66"/>
      <c r="F594" s="66" t="str">
        <f t="shared" si="213"/>
        <v/>
      </c>
      <c r="G594" s="66"/>
      <c r="H594" s="66"/>
      <c r="I594" s="66" t="str">
        <f t="shared" si="214"/>
        <v/>
      </c>
      <c r="J594" s="66" t="str">
        <f t="shared" si="215"/>
        <v/>
      </c>
      <c r="K594" s="66" t="str">
        <f t="shared" si="211"/>
        <v/>
      </c>
      <c r="L594" s="82" t="str">
        <f t="shared" si="216"/>
        <v/>
      </c>
      <c r="M594" s="128"/>
      <c r="N594" s="20"/>
      <c r="O594" s="68"/>
      <c r="P594" s="54"/>
      <c r="Q594" s="69">
        <f t="shared" si="212"/>
        <v>0</v>
      </c>
      <c r="R594" s="54"/>
      <c r="S594" s="70" t="str">
        <f t="shared" si="217"/>
        <v/>
      </c>
      <c r="T594" s="54"/>
      <c r="U594" s="133">
        <f>IF(AND(NOT(M587=0)),U587/M587,0)</f>
        <v>0</v>
      </c>
      <c r="V594" s="20"/>
    </row>
    <row r="595" spans="1:22" ht="18" x14ac:dyDescent="0.25">
      <c r="A595" s="131"/>
      <c r="B595" s="125"/>
      <c r="C595" s="91"/>
      <c r="D595" s="13"/>
      <c r="E595" s="13"/>
      <c r="F595" s="13" t="str">
        <f t="shared" si="213"/>
        <v/>
      </c>
      <c r="G595" s="13"/>
      <c r="H595" s="13"/>
      <c r="I595" s="13" t="str">
        <f t="shared" si="214"/>
        <v/>
      </c>
      <c r="J595" s="13" t="str">
        <f t="shared" si="215"/>
        <v/>
      </c>
      <c r="K595" s="13" t="str">
        <f t="shared" si="211"/>
        <v/>
      </c>
      <c r="L595" s="73" t="str">
        <f t="shared" si="216"/>
        <v/>
      </c>
      <c r="M595" s="128"/>
      <c r="N595" s="20"/>
      <c r="O595" s="68"/>
      <c r="P595" s="54"/>
      <c r="Q595" s="69">
        <f t="shared" si="212"/>
        <v>0</v>
      </c>
      <c r="R595" s="54"/>
      <c r="S595" s="70" t="str">
        <f t="shared" si="217"/>
        <v/>
      </c>
      <c r="T595" s="54"/>
      <c r="U595" s="134"/>
      <c r="V595" s="20"/>
    </row>
    <row r="596" spans="1:22" ht="15.75" customHeight="1" thickBot="1" x14ac:dyDescent="0.3">
      <c r="A596" s="132"/>
      <c r="B596" s="126"/>
      <c r="C596" s="95"/>
      <c r="D596" s="75"/>
      <c r="E596" s="75"/>
      <c r="F596" s="75" t="str">
        <f t="shared" si="213"/>
        <v/>
      </c>
      <c r="G596" s="75"/>
      <c r="H596" s="75"/>
      <c r="I596" s="75" t="str">
        <f t="shared" si="214"/>
        <v/>
      </c>
      <c r="J596" s="75" t="str">
        <f t="shared" si="215"/>
        <v/>
      </c>
      <c r="K596" s="75" t="str">
        <f t="shared" si="211"/>
        <v/>
      </c>
      <c r="L596" s="85" t="str">
        <f t="shared" si="216"/>
        <v/>
      </c>
      <c r="M596" s="129"/>
      <c r="N596" s="20"/>
      <c r="O596" s="76"/>
      <c r="P596" s="20"/>
      <c r="Q596" s="77">
        <f>IF(OR(O596="",L596="NO BET"),0,IF(AND(K596=O596),IF(AND(K596="T2"),ROUNDUP(H596*0.95,2)-1,ROUNDUP(G596*0.95,2)-1),-1))</f>
        <v>0</v>
      </c>
      <c r="R596" s="20"/>
      <c r="S596" s="78" t="str">
        <f t="shared" si="217"/>
        <v/>
      </c>
      <c r="T596" s="20"/>
      <c r="U596" s="135"/>
      <c r="V596" s="20"/>
    </row>
    <row r="597" spans="1:22" ht="15.75" customHeight="1" x14ac:dyDescent="0.25">
      <c r="A597" s="20"/>
      <c r="B597" s="20"/>
      <c r="C597" s="22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54"/>
      <c r="O597" s="54"/>
      <c r="P597" s="54"/>
      <c r="Q597" s="106"/>
      <c r="R597" s="54"/>
      <c r="S597" s="54"/>
      <c r="T597" s="54"/>
      <c r="U597" s="107"/>
      <c r="V597" s="20"/>
    </row>
    <row r="598" spans="1:22" ht="15.75" customHeight="1" x14ac:dyDescent="0.25">
      <c r="A598" s="97"/>
      <c r="B598" s="97"/>
      <c r="C598" s="98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8"/>
      <c r="R598" s="97"/>
      <c r="S598" s="97"/>
      <c r="T598" s="97"/>
      <c r="U598" s="99"/>
      <c r="V598" s="20"/>
    </row>
    <row r="599" spans="1:22" x14ac:dyDescent="0.25">
      <c r="A599" s="97"/>
      <c r="B599" s="97"/>
      <c r="C599" s="98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8"/>
      <c r="R599" s="97"/>
      <c r="S599" s="97"/>
      <c r="T599" s="97"/>
      <c r="U599" s="99"/>
      <c r="V599" s="20"/>
    </row>
    <row r="600" spans="1:22" x14ac:dyDescent="0.25">
      <c r="A600" s="97"/>
      <c r="B600" s="97"/>
      <c r="C600" s="98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8"/>
      <c r="R600" s="97"/>
      <c r="S600" s="97"/>
      <c r="T600" s="97"/>
      <c r="U600" s="99"/>
      <c r="V600" s="20"/>
    </row>
    <row r="601" spans="1:22" x14ac:dyDescent="0.25">
      <c r="A601" s="97"/>
      <c r="B601" s="97"/>
      <c r="C601" s="98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8"/>
      <c r="R601" s="97"/>
      <c r="S601" s="97"/>
      <c r="T601" s="97"/>
      <c r="U601" s="99"/>
      <c r="V601" s="20"/>
    </row>
    <row r="602" spans="1:22" x14ac:dyDescent="0.25">
      <c r="A602" s="97"/>
      <c r="B602" s="97"/>
      <c r="C602" s="98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8"/>
      <c r="R602" s="97"/>
      <c r="S602" s="97"/>
      <c r="T602" s="97"/>
      <c r="U602" s="99"/>
      <c r="V602" s="20"/>
    </row>
    <row r="603" spans="1:22" ht="15.75" customHeight="1" x14ac:dyDescent="0.25">
      <c r="A603" s="97"/>
      <c r="B603" s="97"/>
      <c r="C603" s="98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8"/>
      <c r="R603" s="97"/>
      <c r="S603" s="97"/>
      <c r="T603" s="97"/>
      <c r="U603" s="99"/>
      <c r="V603" s="20"/>
    </row>
    <row r="604" spans="1:22" ht="15.75" customHeight="1" x14ac:dyDescent="0.25">
      <c r="A604" s="97"/>
      <c r="B604" s="97"/>
      <c r="C604" s="98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8"/>
      <c r="R604" s="97"/>
      <c r="S604" s="97"/>
      <c r="T604" s="97"/>
      <c r="U604" s="99"/>
      <c r="V604" s="20"/>
    </row>
    <row r="605" spans="1:22" ht="15.75" customHeight="1" x14ac:dyDescent="0.25">
      <c r="A605" s="97"/>
      <c r="B605" s="97"/>
      <c r="C605" s="98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8"/>
      <c r="R605" s="97"/>
      <c r="S605" s="97"/>
      <c r="T605" s="97"/>
      <c r="U605" s="99"/>
      <c r="V605" s="20"/>
    </row>
    <row r="606" spans="1:22" ht="15.75" customHeight="1" x14ac:dyDescent="0.25">
      <c r="A606" s="97"/>
      <c r="B606" s="97"/>
      <c r="C606" s="98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8"/>
      <c r="R606" s="97"/>
      <c r="S606" s="97"/>
      <c r="T606" s="97"/>
      <c r="U606" s="99"/>
      <c r="V606" s="20"/>
    </row>
    <row r="607" spans="1:22" ht="15.75" customHeight="1" x14ac:dyDescent="0.25">
      <c r="A607" s="97"/>
      <c r="B607" s="97"/>
      <c r="C607" s="98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8"/>
      <c r="R607" s="97"/>
      <c r="S607" s="97"/>
      <c r="T607" s="97"/>
      <c r="U607" s="99"/>
      <c r="V607" s="20"/>
    </row>
    <row r="608" spans="1:22" ht="15.75" customHeight="1" x14ac:dyDescent="0.25">
      <c r="A608" s="97"/>
      <c r="B608" s="97"/>
      <c r="C608" s="98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8"/>
      <c r="R608" s="97"/>
      <c r="S608" s="97"/>
      <c r="T608" s="97"/>
      <c r="U608" s="99"/>
      <c r="V608" s="20"/>
    </row>
    <row r="609" spans="1:22" x14ac:dyDescent="0.25">
      <c r="A609" s="97"/>
      <c r="B609" s="97"/>
      <c r="C609" s="98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8"/>
      <c r="R609" s="97"/>
      <c r="S609" s="97"/>
      <c r="T609" s="97"/>
      <c r="U609" s="99"/>
      <c r="V609" s="20"/>
    </row>
    <row r="610" spans="1:22" ht="15.75" customHeight="1" x14ac:dyDescent="0.25">
      <c r="A610" s="97"/>
      <c r="B610" s="97"/>
      <c r="C610" s="98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8"/>
      <c r="R610" s="97"/>
      <c r="S610" s="97"/>
      <c r="T610" s="97"/>
      <c r="U610" s="99"/>
      <c r="V610" s="20"/>
    </row>
    <row r="611" spans="1:22" ht="15.75" customHeight="1" x14ac:dyDescent="0.25">
      <c r="A611" s="97"/>
      <c r="B611" s="97"/>
      <c r="C611" s="98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8"/>
      <c r="R611" s="97"/>
      <c r="S611" s="97"/>
      <c r="T611" s="97"/>
      <c r="U611" s="99"/>
      <c r="V611" s="20"/>
    </row>
    <row r="612" spans="1:22" ht="15.75" customHeight="1" x14ac:dyDescent="0.25">
      <c r="A612" s="97"/>
      <c r="B612" s="97"/>
      <c r="C612" s="98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8"/>
      <c r="R612" s="97"/>
      <c r="S612" s="97"/>
      <c r="T612" s="97"/>
      <c r="U612" s="99"/>
      <c r="V612" s="20"/>
    </row>
    <row r="613" spans="1:22" x14ac:dyDescent="0.25">
      <c r="A613" s="97"/>
      <c r="B613" s="97"/>
      <c r="C613" s="98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8"/>
      <c r="R613" s="97"/>
      <c r="S613" s="97"/>
      <c r="T613" s="97"/>
      <c r="U613" s="99"/>
      <c r="V613" s="20"/>
    </row>
    <row r="614" spans="1:22" x14ac:dyDescent="0.25">
      <c r="A614" s="97"/>
      <c r="B614" s="97"/>
      <c r="C614" s="98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8"/>
      <c r="R614" s="97"/>
      <c r="S614" s="97"/>
      <c r="T614" s="97"/>
      <c r="U614" s="99"/>
      <c r="V614" s="20"/>
    </row>
    <row r="615" spans="1:22" ht="15.75" customHeight="1" thickBot="1" x14ac:dyDescent="0.3">
      <c r="A615" s="20"/>
      <c r="B615" s="20"/>
      <c r="C615" s="22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2"/>
      <c r="R615" s="20"/>
      <c r="S615" s="20"/>
      <c r="T615" s="20"/>
      <c r="U615" s="23"/>
      <c r="V615" s="20"/>
    </row>
    <row r="616" spans="1:22" ht="15.75" customHeight="1" thickBot="1" x14ac:dyDescent="0.3">
      <c r="A616" s="100" t="s">
        <v>6</v>
      </c>
      <c r="B616" s="124" t="s">
        <v>8</v>
      </c>
      <c r="C616" s="232" t="s">
        <v>9</v>
      </c>
      <c r="D616" s="55" t="s">
        <v>10</v>
      </c>
      <c r="E616" s="55" t="s">
        <v>11</v>
      </c>
      <c r="F616" s="55" t="s">
        <v>12</v>
      </c>
      <c r="G616" s="55" t="s">
        <v>13</v>
      </c>
      <c r="H616" s="55" t="s">
        <v>14</v>
      </c>
      <c r="I616" s="55" t="s">
        <v>15</v>
      </c>
      <c r="J616" s="55" t="s">
        <v>16</v>
      </c>
      <c r="K616" s="55" t="s">
        <v>35</v>
      </c>
      <c r="L616" s="55" t="s">
        <v>17</v>
      </c>
      <c r="M616" s="56" t="s">
        <v>18</v>
      </c>
      <c r="N616" s="57"/>
      <c r="O616" s="58" t="s">
        <v>19</v>
      </c>
      <c r="P616" s="54"/>
      <c r="Q616" s="59" t="s">
        <v>36</v>
      </c>
      <c r="R616" s="54"/>
      <c r="S616" s="58" t="s">
        <v>37</v>
      </c>
      <c r="T616" s="54"/>
      <c r="U616" s="60" t="s">
        <v>30</v>
      </c>
      <c r="V616" s="20"/>
    </row>
    <row r="617" spans="1:22" ht="15.75" customHeight="1" x14ac:dyDescent="0.25">
      <c r="A617" s="101"/>
      <c r="B617" s="125"/>
      <c r="C617" s="86"/>
      <c r="D617" s="117" t="s">
        <v>64</v>
      </c>
      <c r="E617" s="117" t="s">
        <v>74</v>
      </c>
      <c r="F617" s="61" t="str">
        <f>IF(AND(C617=""),"",1-C617)</f>
        <v/>
      </c>
      <c r="G617" s="61">
        <v>1.0620000000000001</v>
      </c>
      <c r="H617" s="61">
        <v>8</v>
      </c>
      <c r="I617" s="61" t="str">
        <f>IF(AND(C617=""),"",G617*C617)</f>
        <v/>
      </c>
      <c r="J617" s="61" t="str">
        <f>IF(AND(C617=""),"",H617*F617)</f>
        <v/>
      </c>
      <c r="K617" s="61" t="str">
        <f t="shared" ref="K617:K626" si="218">IF(AND(I617=""),"",IF(AND(I617&gt;J617),"T1","T2"))</f>
        <v/>
      </c>
      <c r="L617" s="62" t="str">
        <f>IF(AND(K617=""),"",IF(AND((J617*0.95-1)&lt;0,(I617*0.95-1)&lt;0),"NO BET", IF(AND(K617="T1"),I617*0.95 - 1,J617*0.95 - 1)))</f>
        <v/>
      </c>
      <c r="M617" s="127">
        <f>SUMIF(L617:L626,"&gt;0")</f>
        <v>0</v>
      </c>
      <c r="N617" s="57"/>
      <c r="O617" s="63"/>
      <c r="P617" s="57"/>
      <c r="Q617" s="64">
        <f t="shared" ref="Q617:Q625" si="219">IF(OR(O617="",L617="NO BET"),0,IF(AND(K617=O617),IF(AND(K617="T2"),ROUNDUP(H617*0.95,2)-1,ROUNDUP(G617*0.95,2)-1),-1))</f>
        <v>0</v>
      </c>
      <c r="R617" s="54"/>
      <c r="S617" s="65" t="str">
        <f>IF(AND(O617=""),"",IF(AND(C617&gt;F617),IF(AND(O617="T1"),"a","r"),IF(AND(O617="T2"),"a","r")))</f>
        <v/>
      </c>
      <c r="T617" s="54"/>
      <c r="U617" s="130">
        <f>SUM(Q617:Q626)</f>
        <v>0</v>
      </c>
      <c r="V617" s="20"/>
    </row>
    <row r="618" spans="1:22" ht="15.75" customHeight="1" x14ac:dyDescent="0.25">
      <c r="A618" s="131" t="s">
        <v>39</v>
      </c>
      <c r="B618" s="125"/>
      <c r="C618" s="89"/>
      <c r="D618" s="114" t="s">
        <v>66</v>
      </c>
      <c r="E618" s="114" t="s">
        <v>63</v>
      </c>
      <c r="F618" s="66" t="str">
        <f t="shared" ref="F618:F626" si="220">IF(AND(C618=""),"",1-C618)</f>
        <v/>
      </c>
      <c r="G618" s="66">
        <v>3.5</v>
      </c>
      <c r="H618" s="66">
        <v>1.28</v>
      </c>
      <c r="I618" s="66" t="str">
        <f t="shared" ref="I618:I626" si="221">IF(AND(C618=""),"",G618*C618)</f>
        <v/>
      </c>
      <c r="J618" s="66" t="str">
        <f t="shared" ref="J618:J626" si="222">IF(AND(C618=""),"",H618*F618)</f>
        <v/>
      </c>
      <c r="K618" s="66" t="str">
        <f t="shared" si="218"/>
        <v/>
      </c>
      <c r="L618" s="67" t="str">
        <f t="shared" ref="L618:L626" si="223">IF(AND(K618=""),"",IF(AND((J618*0.95-1)&lt;0,(I618*0.95-1)&lt;0),"NO BET", IF(AND(K618="T1"),I618*0.95 - 1,J618*0.95 - 1)))</f>
        <v/>
      </c>
      <c r="M618" s="128"/>
      <c r="N618" s="54"/>
      <c r="O618" s="68"/>
      <c r="P618" s="54"/>
      <c r="Q618" s="69">
        <f t="shared" si="219"/>
        <v>0</v>
      </c>
      <c r="R618" s="54"/>
      <c r="S618" s="70" t="str">
        <f t="shared" ref="S618:S626" si="224">IF(AND(O618=""),"",IF(AND(C618&gt;F618),IF(AND(O618="T1"),"a","r"),IF(AND(O618="T2"),"a","r")))</f>
        <v/>
      </c>
      <c r="T618" s="54"/>
      <c r="U618" s="130"/>
      <c r="V618" s="20"/>
    </row>
    <row r="619" spans="1:22" ht="15.75" customHeight="1" x14ac:dyDescent="0.25">
      <c r="A619" s="131"/>
      <c r="B619" s="125"/>
      <c r="C619" s="91"/>
      <c r="D619" s="115" t="s">
        <v>65</v>
      </c>
      <c r="E619" s="115" t="s">
        <v>66</v>
      </c>
      <c r="F619" s="13" t="str">
        <f t="shared" si="220"/>
        <v/>
      </c>
      <c r="G619" s="13">
        <v>22.2</v>
      </c>
      <c r="H619" s="13">
        <v>1.61</v>
      </c>
      <c r="I619" s="13" t="str">
        <f t="shared" si="221"/>
        <v/>
      </c>
      <c r="J619" s="13" t="str">
        <f t="shared" si="222"/>
        <v/>
      </c>
      <c r="K619" s="13" t="str">
        <f t="shared" si="218"/>
        <v/>
      </c>
      <c r="L619" s="71" t="str">
        <f t="shared" si="223"/>
        <v/>
      </c>
      <c r="M619" s="128"/>
      <c r="N619" s="57"/>
      <c r="O619" s="68"/>
      <c r="P619" s="54"/>
      <c r="Q619" s="69">
        <f t="shared" si="219"/>
        <v>0</v>
      </c>
      <c r="R619" s="54"/>
      <c r="S619" s="70" t="str">
        <f t="shared" si="224"/>
        <v/>
      </c>
      <c r="T619" s="54"/>
      <c r="U619" s="130"/>
      <c r="V619" s="20"/>
    </row>
    <row r="620" spans="1:22" ht="15.75" customHeight="1" x14ac:dyDescent="0.25">
      <c r="A620" s="131"/>
      <c r="B620" s="125"/>
      <c r="C620" s="89"/>
      <c r="D620" s="114" t="s">
        <v>56</v>
      </c>
      <c r="E620" s="114" t="s">
        <v>75</v>
      </c>
      <c r="F620" s="66" t="str">
        <f t="shared" si="220"/>
        <v/>
      </c>
      <c r="G620" s="66">
        <v>1.02</v>
      </c>
      <c r="H620" s="66">
        <v>11</v>
      </c>
      <c r="I620" s="66" t="str">
        <f t="shared" si="221"/>
        <v/>
      </c>
      <c r="J620" s="66" t="str">
        <f t="shared" si="222"/>
        <v/>
      </c>
      <c r="K620" s="66" t="str">
        <f t="shared" si="218"/>
        <v/>
      </c>
      <c r="L620" s="67" t="str">
        <f t="shared" si="223"/>
        <v/>
      </c>
      <c r="M620" s="128"/>
      <c r="N620" s="72"/>
      <c r="O620" s="68"/>
      <c r="P620" s="54"/>
      <c r="Q620" s="69">
        <f t="shared" si="219"/>
        <v>0</v>
      </c>
      <c r="R620" s="54"/>
      <c r="S620" s="70" t="str">
        <f t="shared" si="224"/>
        <v/>
      </c>
      <c r="T620" s="54"/>
      <c r="U620" s="130"/>
      <c r="V620" s="20"/>
    </row>
    <row r="621" spans="1:22" ht="15.75" customHeight="1" x14ac:dyDescent="0.25">
      <c r="A621" s="131"/>
      <c r="B621" s="125"/>
      <c r="C621" s="91"/>
      <c r="D621" s="115" t="s">
        <v>64</v>
      </c>
      <c r="E621" s="115" t="s">
        <v>66</v>
      </c>
      <c r="F621" s="13" t="str">
        <f t="shared" si="220"/>
        <v/>
      </c>
      <c r="G621" s="13">
        <v>1.28</v>
      </c>
      <c r="H621" s="13">
        <v>3.5</v>
      </c>
      <c r="I621" s="13" t="str">
        <f t="shared" si="221"/>
        <v/>
      </c>
      <c r="J621" s="13" t="str">
        <f t="shared" si="222"/>
        <v/>
      </c>
      <c r="K621" s="13" t="str">
        <f t="shared" si="218"/>
        <v/>
      </c>
      <c r="L621" s="73" t="str">
        <f t="shared" si="223"/>
        <v/>
      </c>
      <c r="M621" s="128"/>
      <c r="N621" s="72"/>
      <c r="O621" s="68"/>
      <c r="P621" s="54"/>
      <c r="Q621" s="69">
        <f t="shared" si="219"/>
        <v>0</v>
      </c>
      <c r="R621" s="54"/>
      <c r="S621" s="70" t="str">
        <f t="shared" si="224"/>
        <v/>
      </c>
      <c r="T621" s="54"/>
      <c r="U621" s="130"/>
      <c r="V621" s="20"/>
    </row>
    <row r="622" spans="1:22" ht="15.75" customHeight="1" x14ac:dyDescent="0.25">
      <c r="A622" s="131"/>
      <c r="B622" s="125"/>
      <c r="C622" s="89"/>
      <c r="D622" s="114" t="s">
        <v>75</v>
      </c>
      <c r="E622" s="114" t="s">
        <v>76</v>
      </c>
      <c r="F622" s="66" t="str">
        <f t="shared" si="220"/>
        <v/>
      </c>
      <c r="G622" s="66">
        <v>9</v>
      </c>
      <c r="H622" s="66">
        <v>1.04</v>
      </c>
      <c r="I622" s="66" t="str">
        <f t="shared" si="221"/>
        <v/>
      </c>
      <c r="J622" s="66" t="str">
        <f t="shared" si="222"/>
        <v/>
      </c>
      <c r="K622" s="66" t="str">
        <f t="shared" si="218"/>
        <v/>
      </c>
      <c r="L622" s="67" t="str">
        <f t="shared" si="223"/>
        <v/>
      </c>
      <c r="M622" s="128"/>
      <c r="N622" s="72"/>
      <c r="O622" s="68"/>
      <c r="P622" s="54"/>
      <c r="Q622" s="69">
        <f t="shared" si="219"/>
        <v>0</v>
      </c>
      <c r="R622" s="54"/>
      <c r="S622" s="70" t="str">
        <f t="shared" si="224"/>
        <v/>
      </c>
      <c r="T622" s="54"/>
      <c r="U622" s="130"/>
      <c r="V622" s="20"/>
    </row>
    <row r="623" spans="1:22" ht="15.75" customHeight="1" thickBot="1" x14ac:dyDescent="0.3">
      <c r="A623" s="131"/>
      <c r="B623" s="125"/>
      <c r="C623" s="91"/>
      <c r="D623" s="115" t="s">
        <v>63</v>
      </c>
      <c r="E623" s="115" t="s">
        <v>65</v>
      </c>
      <c r="F623" s="13" t="str">
        <f t="shared" si="220"/>
        <v/>
      </c>
      <c r="G623" s="13">
        <v>1.2</v>
      </c>
      <c r="H623" s="13">
        <v>4.33</v>
      </c>
      <c r="I623" s="13" t="str">
        <f t="shared" si="221"/>
        <v/>
      </c>
      <c r="J623" s="13" t="str">
        <f t="shared" si="222"/>
        <v/>
      </c>
      <c r="K623" s="13" t="str">
        <f t="shared" si="218"/>
        <v/>
      </c>
      <c r="L623" s="71" t="str">
        <f t="shared" si="223"/>
        <v/>
      </c>
      <c r="M623" s="128"/>
      <c r="N623" s="54"/>
      <c r="O623" s="68"/>
      <c r="P623" s="54"/>
      <c r="Q623" s="69">
        <f t="shared" si="219"/>
        <v>0</v>
      </c>
      <c r="R623" s="54"/>
      <c r="S623" s="70" t="str">
        <f t="shared" si="224"/>
        <v/>
      </c>
      <c r="T623" s="54"/>
      <c r="U623" s="74" t="s">
        <v>32</v>
      </c>
      <c r="V623" s="20"/>
    </row>
    <row r="624" spans="1:22" ht="15.75" customHeight="1" x14ac:dyDescent="0.25">
      <c r="A624" s="131"/>
      <c r="B624" s="125"/>
      <c r="C624" s="89"/>
      <c r="D624" s="114" t="s">
        <v>76</v>
      </c>
      <c r="E624" s="114" t="s">
        <v>74</v>
      </c>
      <c r="F624" s="66" t="str">
        <f t="shared" si="220"/>
        <v/>
      </c>
      <c r="G624" s="66">
        <v>1.04</v>
      </c>
      <c r="H624" s="66">
        <v>9</v>
      </c>
      <c r="I624" s="66" t="str">
        <f t="shared" si="221"/>
        <v/>
      </c>
      <c r="J624" s="66" t="str">
        <f t="shared" si="222"/>
        <v/>
      </c>
      <c r="K624" s="66" t="str">
        <f t="shared" si="218"/>
        <v/>
      </c>
      <c r="L624" s="82" t="str">
        <f t="shared" si="223"/>
        <v/>
      </c>
      <c r="M624" s="128"/>
      <c r="N624" s="54"/>
      <c r="O624" s="68"/>
      <c r="P624" s="54"/>
      <c r="Q624" s="69">
        <f t="shared" si="219"/>
        <v>0</v>
      </c>
      <c r="R624" s="54"/>
      <c r="S624" s="70" t="str">
        <f t="shared" si="224"/>
        <v/>
      </c>
      <c r="T624" s="54"/>
      <c r="U624" s="133">
        <f>IF(AND(NOT(M617=0)),U617/M617,0)</f>
        <v>0</v>
      </c>
      <c r="V624" s="20"/>
    </row>
    <row r="625" spans="1:22" ht="15.75" customHeight="1" x14ac:dyDescent="0.25">
      <c r="A625" s="131"/>
      <c r="B625" s="125"/>
      <c r="C625" s="91"/>
      <c r="D625" s="13"/>
      <c r="E625" s="13"/>
      <c r="F625" s="13" t="str">
        <f t="shared" si="220"/>
        <v/>
      </c>
      <c r="G625" s="13"/>
      <c r="H625" s="13"/>
      <c r="I625" s="13" t="str">
        <f t="shared" si="221"/>
        <v/>
      </c>
      <c r="J625" s="13" t="str">
        <f t="shared" si="222"/>
        <v/>
      </c>
      <c r="K625" s="13" t="str">
        <f t="shared" si="218"/>
        <v/>
      </c>
      <c r="L625" s="73" t="str">
        <f t="shared" si="223"/>
        <v/>
      </c>
      <c r="M625" s="128"/>
      <c r="N625" s="54"/>
      <c r="O625" s="68"/>
      <c r="P625" s="54"/>
      <c r="Q625" s="69">
        <f t="shared" si="219"/>
        <v>0</v>
      </c>
      <c r="R625" s="54"/>
      <c r="S625" s="70" t="str">
        <f t="shared" si="224"/>
        <v/>
      </c>
      <c r="T625" s="54"/>
      <c r="U625" s="134"/>
      <c r="V625" s="20"/>
    </row>
    <row r="626" spans="1:22" ht="15.75" customHeight="1" thickBot="1" x14ac:dyDescent="0.3">
      <c r="A626" s="132"/>
      <c r="B626" s="126"/>
      <c r="C626" s="95"/>
      <c r="D626" s="75"/>
      <c r="E626" s="75"/>
      <c r="F626" s="75" t="str">
        <f t="shared" si="220"/>
        <v/>
      </c>
      <c r="G626" s="75"/>
      <c r="H626" s="75"/>
      <c r="I626" s="75" t="str">
        <f t="shared" si="221"/>
        <v/>
      </c>
      <c r="J626" s="75" t="str">
        <f t="shared" si="222"/>
        <v/>
      </c>
      <c r="K626" s="75" t="str">
        <f t="shared" si="218"/>
        <v/>
      </c>
      <c r="L626" s="85" t="str">
        <f t="shared" si="223"/>
        <v/>
      </c>
      <c r="M626" s="129"/>
      <c r="N626" s="54"/>
      <c r="O626" s="76"/>
      <c r="P626" s="20"/>
      <c r="Q626" s="77">
        <f>IF(OR(O626="",L626="NO BET"),0,IF(AND(K626=O626),IF(AND(K626="T2"),ROUNDUP(H626*0.95,2)-1,ROUNDUP(G626*0.95,2)-1),-1))</f>
        <v>0</v>
      </c>
      <c r="R626" s="20"/>
      <c r="S626" s="78" t="str">
        <f t="shared" si="224"/>
        <v/>
      </c>
      <c r="T626" s="20"/>
      <c r="U626" s="135"/>
      <c r="V626" s="20"/>
    </row>
    <row r="627" spans="1:22" ht="15.75" customHeight="1" x14ac:dyDescent="0.25">
      <c r="A627" s="20"/>
      <c r="B627" s="20"/>
      <c r="C627" s="22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54"/>
      <c r="O627" s="54"/>
      <c r="P627" s="54"/>
      <c r="Q627" s="104"/>
      <c r="R627" s="54"/>
      <c r="S627" s="54"/>
      <c r="T627" s="54"/>
      <c r="U627" s="105"/>
      <c r="V627" s="20"/>
    </row>
    <row r="628" spans="1:22" ht="15.75" customHeight="1" x14ac:dyDescent="0.25">
      <c r="A628" s="20"/>
      <c r="B628" s="20"/>
      <c r="C628" s="22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54"/>
      <c r="O628" s="54"/>
      <c r="P628" s="54"/>
      <c r="Q628" s="104"/>
      <c r="R628" s="54"/>
      <c r="S628" s="54"/>
      <c r="T628" s="54"/>
      <c r="U628" s="105"/>
      <c r="V628" s="20"/>
    </row>
    <row r="629" spans="1:22" ht="15.75" customHeight="1" thickBot="1" x14ac:dyDescent="0.3">
      <c r="A629" s="20"/>
      <c r="B629" s="20"/>
      <c r="C629" s="22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54"/>
      <c r="O629" s="54"/>
      <c r="P629" s="54"/>
      <c r="Q629" s="104"/>
      <c r="R629" s="54"/>
      <c r="S629" s="54"/>
      <c r="T629" s="54"/>
      <c r="U629" s="105"/>
      <c r="V629" s="20"/>
    </row>
    <row r="630" spans="1:22" ht="15.75" customHeight="1" thickBot="1" x14ac:dyDescent="0.3">
      <c r="A630" s="100" t="s">
        <v>6</v>
      </c>
      <c r="B630" s="136" t="s">
        <v>21</v>
      </c>
      <c r="C630" s="232" t="s">
        <v>9</v>
      </c>
      <c r="D630" s="55" t="s">
        <v>10</v>
      </c>
      <c r="E630" s="55" t="s">
        <v>11</v>
      </c>
      <c r="F630" s="55" t="s">
        <v>12</v>
      </c>
      <c r="G630" s="55" t="s">
        <v>13</v>
      </c>
      <c r="H630" s="55" t="s">
        <v>14</v>
      </c>
      <c r="I630" s="55" t="s">
        <v>15</v>
      </c>
      <c r="J630" s="55" t="s">
        <v>16</v>
      </c>
      <c r="K630" s="55" t="s">
        <v>35</v>
      </c>
      <c r="L630" s="55" t="s">
        <v>17</v>
      </c>
      <c r="M630" s="56" t="s">
        <v>18</v>
      </c>
      <c r="N630" s="57"/>
      <c r="O630" s="58" t="s">
        <v>19</v>
      </c>
      <c r="P630" s="54"/>
      <c r="Q630" s="59" t="s">
        <v>36</v>
      </c>
      <c r="R630" s="54"/>
      <c r="S630" s="58" t="s">
        <v>37</v>
      </c>
      <c r="T630" s="54"/>
      <c r="U630" s="60" t="s">
        <v>30</v>
      </c>
      <c r="V630" s="20"/>
    </row>
    <row r="631" spans="1:22" ht="15.75" customHeight="1" x14ac:dyDescent="0.25">
      <c r="A631" s="101"/>
      <c r="B631" s="137"/>
      <c r="C631" s="86"/>
      <c r="D631" s="120"/>
      <c r="E631" s="120"/>
      <c r="F631" s="61" t="str">
        <f>IF(AND(C631=""),"",1-C631)</f>
        <v/>
      </c>
      <c r="G631" s="61"/>
      <c r="H631" s="61"/>
      <c r="I631" s="61" t="str">
        <f>IF(AND(C631=""),"",G631*C631)</f>
        <v/>
      </c>
      <c r="J631" s="61" t="str">
        <f>IF(AND(C631=""),"",H631*F631)</f>
        <v/>
      </c>
      <c r="K631" s="61" t="str">
        <f t="shared" ref="K631:K640" si="225">IF(AND(I631=""),"",IF(AND(I631&gt;J631),"T1","T2"))</f>
        <v/>
      </c>
      <c r="L631" s="62" t="str">
        <f>IF(AND(K631=""),"",IF(AND((J631*0.95-1)&lt;0,(I631*0.95-1)&lt;0),"NO BET", IF(AND(K631="T1"),I631*0.95 - 1,J631*0.95 - 1)))</f>
        <v/>
      </c>
      <c r="M631" s="127">
        <f>SUMIF(L631:L640,"&gt;0")</f>
        <v>0</v>
      </c>
      <c r="N631" s="57"/>
      <c r="O631" s="63"/>
      <c r="P631" s="57"/>
      <c r="Q631" s="64">
        <f t="shared" ref="Q631:Q639" si="226">IF(OR(O631="",L631="NO BET"),0,IF(AND(K631=O631),IF(AND(K631="T2"),ROUNDUP(H631*0.95,2)-1,ROUNDUP(G631*0.95,2)-1),-1))</f>
        <v>0</v>
      </c>
      <c r="R631" s="54"/>
      <c r="S631" s="65" t="str">
        <f>IF(AND(O631=""),"",IF(AND(C631&gt;F631),IF(AND(O631="T1"),"a","r"),IF(AND(O631="T2"),"a","r")))</f>
        <v/>
      </c>
      <c r="T631" s="54"/>
      <c r="U631" s="130">
        <f>SUM(Q631:Q640)</f>
        <v>0</v>
      </c>
      <c r="V631" s="20"/>
    </row>
    <row r="632" spans="1:22" ht="15.75" customHeight="1" x14ac:dyDescent="0.25">
      <c r="A632" s="131" t="s">
        <v>39</v>
      </c>
      <c r="B632" s="137"/>
      <c r="C632" s="89"/>
      <c r="D632" s="108"/>
      <c r="E632" s="108"/>
      <c r="F632" s="66" t="str">
        <f t="shared" ref="F632:F640" si="227">IF(AND(C632=""),"",1-C632)</f>
        <v/>
      </c>
      <c r="G632" s="66"/>
      <c r="H632" s="66"/>
      <c r="I632" s="66" t="str">
        <f t="shared" ref="I632:I640" si="228">IF(AND(C632=""),"",G632*C632)</f>
        <v/>
      </c>
      <c r="J632" s="66" t="str">
        <f t="shared" ref="J632:J640" si="229">IF(AND(C632=""),"",H632*F632)</f>
        <v/>
      </c>
      <c r="K632" s="66" t="str">
        <f t="shared" si="225"/>
        <v/>
      </c>
      <c r="L632" s="67" t="str">
        <f t="shared" ref="L632:L640" si="230">IF(AND(K632=""),"",IF(AND((J632*0.95-1)&lt;0,(I632*0.95-1)&lt;0),"NO BET", IF(AND(K632="T1"),I632*0.95 - 1,J632*0.95 - 1)))</f>
        <v/>
      </c>
      <c r="M632" s="128"/>
      <c r="N632" s="20"/>
      <c r="O632" s="68"/>
      <c r="P632" s="54"/>
      <c r="Q632" s="69">
        <f t="shared" si="226"/>
        <v>0</v>
      </c>
      <c r="R632" s="54"/>
      <c r="S632" s="70" t="str">
        <f t="shared" ref="S632:S640" si="231">IF(AND(O632=""),"",IF(AND(C632&gt;F632),IF(AND(O632="T1"),"a","r"),IF(AND(O632="T2"),"a","r")))</f>
        <v/>
      </c>
      <c r="T632" s="54"/>
      <c r="U632" s="130"/>
      <c r="V632" s="20"/>
    </row>
    <row r="633" spans="1:22" ht="15.75" customHeight="1" x14ac:dyDescent="0.25">
      <c r="A633" s="131"/>
      <c r="B633" s="137"/>
      <c r="C633" s="91"/>
      <c r="D633" s="102"/>
      <c r="E633" s="102"/>
      <c r="F633" s="13" t="str">
        <f t="shared" si="227"/>
        <v/>
      </c>
      <c r="G633" s="13"/>
      <c r="H633" s="13"/>
      <c r="I633" s="13" t="str">
        <f t="shared" si="228"/>
        <v/>
      </c>
      <c r="J633" s="13" t="str">
        <f t="shared" si="229"/>
        <v/>
      </c>
      <c r="K633" s="13" t="str">
        <f t="shared" si="225"/>
        <v/>
      </c>
      <c r="L633" s="71" t="str">
        <f t="shared" si="230"/>
        <v/>
      </c>
      <c r="M633" s="128"/>
      <c r="N633" s="57"/>
      <c r="O633" s="68"/>
      <c r="P633" s="54"/>
      <c r="Q633" s="69">
        <f t="shared" si="226"/>
        <v>0</v>
      </c>
      <c r="R633" s="54"/>
      <c r="S633" s="70" t="str">
        <f t="shared" si="231"/>
        <v/>
      </c>
      <c r="T633" s="54"/>
      <c r="U633" s="130"/>
      <c r="V633" s="20"/>
    </row>
    <row r="634" spans="1:22" ht="15.75" customHeight="1" x14ac:dyDescent="0.25">
      <c r="A634" s="131"/>
      <c r="B634" s="137"/>
      <c r="C634" s="89"/>
      <c r="D634" s="108"/>
      <c r="E634" s="108"/>
      <c r="F634" s="66" t="str">
        <f t="shared" si="227"/>
        <v/>
      </c>
      <c r="G634" s="66"/>
      <c r="H634" s="66"/>
      <c r="I634" s="66" t="str">
        <f t="shared" si="228"/>
        <v/>
      </c>
      <c r="J634" s="66" t="str">
        <f t="shared" si="229"/>
        <v/>
      </c>
      <c r="K634" s="66" t="str">
        <f t="shared" si="225"/>
        <v/>
      </c>
      <c r="L634" s="67" t="str">
        <f t="shared" si="230"/>
        <v/>
      </c>
      <c r="M634" s="128"/>
      <c r="N634" s="72"/>
      <c r="O634" s="68"/>
      <c r="P634" s="54"/>
      <c r="Q634" s="69">
        <f t="shared" si="226"/>
        <v>0</v>
      </c>
      <c r="R634" s="54"/>
      <c r="S634" s="70" t="str">
        <f t="shared" si="231"/>
        <v/>
      </c>
      <c r="T634" s="54"/>
      <c r="U634" s="130"/>
      <c r="V634" s="20"/>
    </row>
    <row r="635" spans="1:22" ht="15.75" customHeight="1" x14ac:dyDescent="0.25">
      <c r="A635" s="131"/>
      <c r="B635" s="137"/>
      <c r="C635" s="91"/>
      <c r="D635" s="102"/>
      <c r="E635" s="102"/>
      <c r="F635" s="13" t="str">
        <f t="shared" si="227"/>
        <v/>
      </c>
      <c r="G635" s="13"/>
      <c r="H635" s="13"/>
      <c r="I635" s="13" t="str">
        <f t="shared" si="228"/>
        <v/>
      </c>
      <c r="J635" s="13" t="str">
        <f t="shared" si="229"/>
        <v/>
      </c>
      <c r="K635" s="13" t="str">
        <f t="shared" si="225"/>
        <v/>
      </c>
      <c r="L635" s="73" t="str">
        <f t="shared" si="230"/>
        <v/>
      </c>
      <c r="M635" s="128"/>
      <c r="N635" s="72"/>
      <c r="O635" s="68"/>
      <c r="P635" s="54"/>
      <c r="Q635" s="69">
        <f t="shared" si="226"/>
        <v>0</v>
      </c>
      <c r="R635" s="54"/>
      <c r="S635" s="70" t="str">
        <f t="shared" si="231"/>
        <v/>
      </c>
      <c r="T635" s="54"/>
      <c r="U635" s="130"/>
      <c r="V635" s="20"/>
    </row>
    <row r="636" spans="1:22" ht="15.75" customHeight="1" x14ac:dyDescent="0.25">
      <c r="A636" s="131"/>
      <c r="B636" s="137"/>
      <c r="C636" s="89"/>
      <c r="D636" s="108"/>
      <c r="E636" s="108"/>
      <c r="F636" s="66" t="str">
        <f t="shared" si="227"/>
        <v/>
      </c>
      <c r="G636" s="66"/>
      <c r="H636" s="66"/>
      <c r="I636" s="66" t="str">
        <f t="shared" si="228"/>
        <v/>
      </c>
      <c r="J636" s="66" t="str">
        <f t="shared" si="229"/>
        <v/>
      </c>
      <c r="K636" s="66" t="str">
        <f t="shared" si="225"/>
        <v/>
      </c>
      <c r="L636" s="67" t="str">
        <f t="shared" si="230"/>
        <v/>
      </c>
      <c r="M636" s="128"/>
      <c r="N636" s="72"/>
      <c r="O636" s="68"/>
      <c r="P636" s="54"/>
      <c r="Q636" s="69">
        <f t="shared" si="226"/>
        <v>0</v>
      </c>
      <c r="R636" s="54"/>
      <c r="S636" s="70" t="str">
        <f t="shared" si="231"/>
        <v/>
      </c>
      <c r="T636" s="54"/>
      <c r="U636" s="130"/>
      <c r="V636" s="20"/>
    </row>
    <row r="637" spans="1:22" ht="15.75" customHeight="1" thickBot="1" x14ac:dyDescent="0.3">
      <c r="A637" s="131"/>
      <c r="B637" s="137"/>
      <c r="C637" s="91"/>
      <c r="D637" s="102"/>
      <c r="E637" s="102"/>
      <c r="F637" s="13" t="str">
        <f t="shared" si="227"/>
        <v/>
      </c>
      <c r="G637" s="13"/>
      <c r="H637" s="13"/>
      <c r="I637" s="13" t="str">
        <f t="shared" si="228"/>
        <v/>
      </c>
      <c r="J637" s="13" t="str">
        <f t="shared" si="229"/>
        <v/>
      </c>
      <c r="K637" s="13" t="str">
        <f t="shared" si="225"/>
        <v/>
      </c>
      <c r="L637" s="71" t="str">
        <f t="shared" si="230"/>
        <v/>
      </c>
      <c r="M637" s="128"/>
      <c r="N637" s="20"/>
      <c r="O637" s="68"/>
      <c r="P637" s="54"/>
      <c r="Q637" s="69">
        <f t="shared" si="226"/>
        <v>0</v>
      </c>
      <c r="R637" s="54"/>
      <c r="S637" s="70" t="str">
        <f t="shared" si="231"/>
        <v/>
      </c>
      <c r="T637" s="54"/>
      <c r="U637" s="74" t="s">
        <v>32</v>
      </c>
      <c r="V637" s="20"/>
    </row>
    <row r="638" spans="1:22" ht="15.75" customHeight="1" x14ac:dyDescent="0.25">
      <c r="A638" s="131"/>
      <c r="B638" s="137"/>
      <c r="C638" s="89"/>
      <c r="D638" s="108"/>
      <c r="E638" s="108"/>
      <c r="F638" s="66" t="str">
        <f t="shared" si="227"/>
        <v/>
      </c>
      <c r="G638" s="66"/>
      <c r="H638" s="66"/>
      <c r="I638" s="66" t="str">
        <f t="shared" si="228"/>
        <v/>
      </c>
      <c r="J638" s="66" t="str">
        <f t="shared" si="229"/>
        <v/>
      </c>
      <c r="K638" s="66" t="str">
        <f t="shared" si="225"/>
        <v/>
      </c>
      <c r="L638" s="82" t="str">
        <f t="shared" si="230"/>
        <v/>
      </c>
      <c r="M638" s="128"/>
      <c r="N638" s="20"/>
      <c r="O638" s="68"/>
      <c r="P638" s="54"/>
      <c r="Q638" s="69">
        <f t="shared" si="226"/>
        <v>0</v>
      </c>
      <c r="R638" s="54"/>
      <c r="S638" s="70" t="str">
        <f t="shared" si="231"/>
        <v/>
      </c>
      <c r="T638" s="54"/>
      <c r="U638" s="133">
        <f>IF(AND(NOT(M631=0)),U631/M631,0)</f>
        <v>0</v>
      </c>
      <c r="V638" s="20"/>
    </row>
    <row r="639" spans="1:22" ht="15.75" customHeight="1" x14ac:dyDescent="0.25">
      <c r="A639" s="131"/>
      <c r="B639" s="137"/>
      <c r="C639" s="91"/>
      <c r="D639" s="102"/>
      <c r="E639" s="102"/>
      <c r="F639" s="13" t="str">
        <f t="shared" si="227"/>
        <v/>
      </c>
      <c r="G639" s="13"/>
      <c r="H639" s="13"/>
      <c r="I639" s="13" t="str">
        <f t="shared" si="228"/>
        <v/>
      </c>
      <c r="J639" s="13" t="str">
        <f t="shared" si="229"/>
        <v/>
      </c>
      <c r="K639" s="13" t="str">
        <f t="shared" si="225"/>
        <v/>
      </c>
      <c r="L639" s="73" t="str">
        <f t="shared" si="230"/>
        <v/>
      </c>
      <c r="M639" s="128"/>
      <c r="N639" s="20"/>
      <c r="O639" s="68"/>
      <c r="P639" s="54"/>
      <c r="Q639" s="69">
        <f t="shared" si="226"/>
        <v>0</v>
      </c>
      <c r="R639" s="54"/>
      <c r="S639" s="70" t="str">
        <f t="shared" si="231"/>
        <v/>
      </c>
      <c r="T639" s="54"/>
      <c r="U639" s="134"/>
      <c r="V639" s="20"/>
    </row>
    <row r="640" spans="1:22" ht="15.75" customHeight="1" thickBot="1" x14ac:dyDescent="0.3">
      <c r="A640" s="132"/>
      <c r="B640" s="138"/>
      <c r="C640" s="95"/>
      <c r="D640" s="121"/>
      <c r="E640" s="121"/>
      <c r="F640" s="75" t="str">
        <f t="shared" si="227"/>
        <v/>
      </c>
      <c r="G640" s="75"/>
      <c r="H640" s="75"/>
      <c r="I640" s="75" t="str">
        <f t="shared" si="228"/>
        <v/>
      </c>
      <c r="J640" s="75" t="str">
        <f t="shared" si="229"/>
        <v/>
      </c>
      <c r="K640" s="75" t="str">
        <f t="shared" si="225"/>
        <v/>
      </c>
      <c r="L640" s="85" t="str">
        <f t="shared" si="230"/>
        <v/>
      </c>
      <c r="M640" s="129"/>
      <c r="N640" s="20"/>
      <c r="O640" s="76"/>
      <c r="P640" s="20"/>
      <c r="Q640" s="77">
        <f>IF(OR(O640="",L640="NO BET"),0,IF(AND(K640=O640),IF(AND(K640="T2"),ROUNDUP(H640*0.95,2)-1,ROUNDUP(G640*0.95,2)-1),-1))</f>
        <v>0</v>
      </c>
      <c r="R640" s="20"/>
      <c r="S640" s="78" t="str">
        <f t="shared" si="231"/>
        <v/>
      </c>
      <c r="T640" s="20"/>
      <c r="U640" s="135"/>
      <c r="V640" s="20"/>
    </row>
    <row r="641" spans="1:22" ht="15.75" customHeight="1" x14ac:dyDescent="0.25">
      <c r="A641" s="20"/>
      <c r="B641" s="20"/>
      <c r="C641" s="22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2"/>
      <c r="R641" s="20"/>
      <c r="S641" s="20"/>
      <c r="T641" s="20"/>
      <c r="U641" s="23"/>
      <c r="V641" s="20"/>
    </row>
    <row r="642" spans="1:22" ht="15.75" customHeight="1" x14ac:dyDescent="0.25">
      <c r="A642" s="20"/>
      <c r="B642" s="20"/>
      <c r="C642" s="22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2"/>
      <c r="R642" s="20"/>
      <c r="S642" s="20"/>
      <c r="T642" s="20"/>
      <c r="U642" s="23"/>
      <c r="V642" s="20"/>
    </row>
    <row r="643" spans="1:22" ht="15.75" customHeight="1" thickBot="1" x14ac:dyDescent="0.3">
      <c r="A643" s="20"/>
      <c r="B643" s="20"/>
      <c r="C643" s="22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2"/>
      <c r="R643" s="20"/>
      <c r="S643" s="20"/>
      <c r="T643" s="20"/>
      <c r="U643" s="23"/>
      <c r="V643" s="20"/>
    </row>
    <row r="644" spans="1:22" ht="15.75" customHeight="1" thickBot="1" x14ac:dyDescent="0.3">
      <c r="A644" s="100" t="s">
        <v>6</v>
      </c>
      <c r="B644" s="124" t="s">
        <v>22</v>
      </c>
      <c r="C644" s="232" t="s">
        <v>9</v>
      </c>
      <c r="D644" s="55" t="s">
        <v>10</v>
      </c>
      <c r="E644" s="55" t="s">
        <v>11</v>
      </c>
      <c r="F644" s="55" t="s">
        <v>12</v>
      </c>
      <c r="G644" s="55" t="s">
        <v>13</v>
      </c>
      <c r="H644" s="55" t="s">
        <v>14</v>
      </c>
      <c r="I644" s="55" t="s">
        <v>15</v>
      </c>
      <c r="J644" s="55" t="s">
        <v>16</v>
      </c>
      <c r="K644" s="55" t="s">
        <v>35</v>
      </c>
      <c r="L644" s="55" t="s">
        <v>17</v>
      </c>
      <c r="M644" s="56" t="s">
        <v>18</v>
      </c>
      <c r="N644" s="57"/>
      <c r="O644" s="58" t="s">
        <v>19</v>
      </c>
      <c r="P644" s="54"/>
      <c r="Q644" s="59" t="s">
        <v>36</v>
      </c>
      <c r="R644" s="54"/>
      <c r="S644" s="58" t="s">
        <v>37</v>
      </c>
      <c r="T644" s="54"/>
      <c r="U644" s="60" t="s">
        <v>30</v>
      </c>
      <c r="V644" s="20"/>
    </row>
    <row r="645" spans="1:22" ht="15.75" customHeight="1" x14ac:dyDescent="0.25">
      <c r="A645" s="101"/>
      <c r="B645" s="125"/>
      <c r="C645" s="86"/>
      <c r="D645" s="61"/>
      <c r="E645" s="61"/>
      <c r="F645" s="61" t="str">
        <f>IF(AND(C645=""),"",1-C645)</f>
        <v/>
      </c>
      <c r="G645" s="61"/>
      <c r="H645" s="61"/>
      <c r="I645" s="61" t="str">
        <f>IF(AND(C645=""),"",G645*C645)</f>
        <v/>
      </c>
      <c r="J645" s="61" t="str">
        <f>IF(AND(C645=""),"",H645*F645)</f>
        <v/>
      </c>
      <c r="K645" s="61" t="str">
        <f t="shared" ref="K645:K654" si="232">IF(AND(I645=""),"",IF(AND(I645&gt;J645),"T1","T2"))</f>
        <v/>
      </c>
      <c r="L645" s="62" t="str">
        <f>IF(AND(K645=""),"",IF(AND((J645*0.95-1)&lt;0,(I645*0.95-1)&lt;0),"NO BET", IF(AND(K645="T1"),I645*0.95 - 1,J645*0.95 - 1)))</f>
        <v/>
      </c>
      <c r="M645" s="127">
        <f>SUMIF(L645:L654,"&gt;0")</f>
        <v>0</v>
      </c>
      <c r="N645" s="57"/>
      <c r="O645" s="63"/>
      <c r="P645" s="57"/>
      <c r="Q645" s="64">
        <f t="shared" ref="Q645:Q653" si="233">IF(OR(O645="",L645="NO BET"),0,IF(AND(K645=O645),IF(AND(K645="T2"),ROUNDUP(H645*0.95,2)-1,ROUNDUP(G645*0.95,2)-1),-1))</f>
        <v>0</v>
      </c>
      <c r="R645" s="54"/>
      <c r="S645" s="65" t="str">
        <f>IF(AND(O645=""),"",IF(AND(C645&gt;F645),IF(AND(O645="T1"),"a","r"),IF(AND(O645="T2"),"a","r")))</f>
        <v/>
      </c>
      <c r="T645" s="54"/>
      <c r="U645" s="130">
        <f>SUM(Q645:Q654)</f>
        <v>0</v>
      </c>
      <c r="V645" s="20"/>
    </row>
    <row r="646" spans="1:22" ht="15.75" customHeight="1" x14ac:dyDescent="0.25">
      <c r="A646" s="131" t="s">
        <v>39</v>
      </c>
      <c r="B646" s="125"/>
      <c r="C646" s="89"/>
      <c r="D646" s="66"/>
      <c r="E646" s="81"/>
      <c r="F646" s="66" t="str">
        <f t="shared" ref="F646:F654" si="234">IF(AND(C646=""),"",1-C646)</f>
        <v/>
      </c>
      <c r="G646" s="66"/>
      <c r="H646" s="66"/>
      <c r="I646" s="66" t="str">
        <f t="shared" ref="I646:I654" si="235">IF(AND(C646=""),"",G646*C646)</f>
        <v/>
      </c>
      <c r="J646" s="66" t="str">
        <f t="shared" ref="J646:J654" si="236">IF(AND(C646=""),"",H646*F646)</f>
        <v/>
      </c>
      <c r="K646" s="66" t="str">
        <f t="shared" si="232"/>
        <v/>
      </c>
      <c r="L646" s="67" t="str">
        <f t="shared" ref="L646:L654" si="237">IF(AND(K646=""),"",IF(AND((J646*0.95-1)&lt;0,(I646*0.95-1)&lt;0),"NO BET", IF(AND(K646="T1"),I646*0.95 - 1,J646*0.95 - 1)))</f>
        <v/>
      </c>
      <c r="M646" s="128"/>
      <c r="N646" s="20"/>
      <c r="O646" s="68"/>
      <c r="P646" s="54"/>
      <c r="Q646" s="69">
        <f t="shared" si="233"/>
        <v>0</v>
      </c>
      <c r="R646" s="54"/>
      <c r="S646" s="70" t="str">
        <f t="shared" ref="S646:S654" si="238">IF(AND(O646=""),"",IF(AND(C646&gt;F646),IF(AND(O646="T1"),"a","r"),IF(AND(O646="T2"),"a","r")))</f>
        <v/>
      </c>
      <c r="T646" s="54"/>
      <c r="U646" s="130"/>
      <c r="V646" s="20"/>
    </row>
    <row r="647" spans="1:22" ht="15.75" customHeight="1" x14ac:dyDescent="0.25">
      <c r="A647" s="131"/>
      <c r="B647" s="125"/>
      <c r="C647" s="91"/>
      <c r="D647" s="13"/>
      <c r="E647" s="13"/>
      <c r="F647" s="13" t="str">
        <f t="shared" si="234"/>
        <v/>
      </c>
      <c r="G647" s="13"/>
      <c r="H647" s="13"/>
      <c r="I647" s="13" t="str">
        <f t="shared" si="235"/>
        <v/>
      </c>
      <c r="J647" s="13" t="str">
        <f t="shared" si="236"/>
        <v/>
      </c>
      <c r="K647" s="13" t="str">
        <f t="shared" si="232"/>
        <v/>
      </c>
      <c r="L647" s="71" t="str">
        <f t="shared" si="237"/>
        <v/>
      </c>
      <c r="M647" s="128"/>
      <c r="N647" s="57"/>
      <c r="O647" s="68"/>
      <c r="P647" s="54"/>
      <c r="Q647" s="69">
        <f t="shared" si="233"/>
        <v>0</v>
      </c>
      <c r="R647" s="54"/>
      <c r="S647" s="70" t="str">
        <f t="shared" si="238"/>
        <v/>
      </c>
      <c r="T647" s="54"/>
      <c r="U647" s="130"/>
      <c r="V647" s="20"/>
    </row>
    <row r="648" spans="1:22" ht="15.75" customHeight="1" x14ac:dyDescent="0.25">
      <c r="A648" s="131"/>
      <c r="B648" s="125"/>
      <c r="C648" s="89"/>
      <c r="D648" s="108"/>
      <c r="E648" s="81"/>
      <c r="F648" s="66" t="str">
        <f t="shared" si="234"/>
        <v/>
      </c>
      <c r="G648" s="66"/>
      <c r="H648" s="66"/>
      <c r="I648" s="66" t="str">
        <f t="shared" si="235"/>
        <v/>
      </c>
      <c r="J648" s="66" t="str">
        <f t="shared" si="236"/>
        <v/>
      </c>
      <c r="K648" s="66" t="str">
        <f t="shared" si="232"/>
        <v/>
      </c>
      <c r="L648" s="67" t="str">
        <f t="shared" si="237"/>
        <v/>
      </c>
      <c r="M648" s="128"/>
      <c r="N648" s="72"/>
      <c r="O648" s="68"/>
      <c r="P648" s="54"/>
      <c r="Q648" s="69">
        <f t="shared" si="233"/>
        <v>0</v>
      </c>
      <c r="R648" s="54"/>
      <c r="S648" s="70" t="str">
        <f t="shared" si="238"/>
        <v/>
      </c>
      <c r="T648" s="54"/>
      <c r="U648" s="130"/>
      <c r="V648" s="20"/>
    </row>
    <row r="649" spans="1:22" ht="15.75" customHeight="1" x14ac:dyDescent="0.25">
      <c r="A649" s="131"/>
      <c r="B649" s="125"/>
      <c r="C649" s="91"/>
      <c r="D649" s="13"/>
      <c r="E649" s="102"/>
      <c r="F649" s="13" t="str">
        <f t="shared" si="234"/>
        <v/>
      </c>
      <c r="G649" s="13"/>
      <c r="H649" s="13"/>
      <c r="I649" s="13" t="str">
        <f t="shared" si="235"/>
        <v/>
      </c>
      <c r="J649" s="13" t="str">
        <f t="shared" si="236"/>
        <v/>
      </c>
      <c r="K649" s="13" t="str">
        <f t="shared" si="232"/>
        <v/>
      </c>
      <c r="L649" s="73" t="str">
        <f t="shared" si="237"/>
        <v/>
      </c>
      <c r="M649" s="128"/>
      <c r="N649" s="72"/>
      <c r="O649" s="68"/>
      <c r="P649" s="54"/>
      <c r="Q649" s="69">
        <f t="shared" si="233"/>
        <v>0</v>
      </c>
      <c r="R649" s="54"/>
      <c r="S649" s="70" t="str">
        <f t="shared" si="238"/>
        <v/>
      </c>
      <c r="T649" s="54"/>
      <c r="U649" s="130"/>
      <c r="V649" s="20"/>
    </row>
    <row r="650" spans="1:22" ht="15.75" customHeight="1" x14ac:dyDescent="0.25">
      <c r="A650" s="131"/>
      <c r="B650" s="125"/>
      <c r="C650" s="89"/>
      <c r="D650" s="81"/>
      <c r="E650" s="66"/>
      <c r="F650" s="66" t="str">
        <f t="shared" si="234"/>
        <v/>
      </c>
      <c r="G650" s="66"/>
      <c r="H650" s="66"/>
      <c r="I650" s="66" t="str">
        <f t="shared" si="235"/>
        <v/>
      </c>
      <c r="J650" s="66" t="str">
        <f t="shared" si="236"/>
        <v/>
      </c>
      <c r="K650" s="66" t="str">
        <f t="shared" si="232"/>
        <v/>
      </c>
      <c r="L650" s="67" t="str">
        <f t="shared" si="237"/>
        <v/>
      </c>
      <c r="M650" s="128"/>
      <c r="N650" s="72"/>
      <c r="O650" s="68"/>
      <c r="P650" s="54"/>
      <c r="Q650" s="69">
        <f t="shared" si="233"/>
        <v>0</v>
      </c>
      <c r="R650" s="54"/>
      <c r="S650" s="70" t="str">
        <f t="shared" si="238"/>
        <v/>
      </c>
      <c r="T650" s="54"/>
      <c r="U650" s="130"/>
      <c r="V650" s="20"/>
    </row>
    <row r="651" spans="1:22" ht="15.75" customHeight="1" thickBot="1" x14ac:dyDescent="0.3">
      <c r="A651" s="131"/>
      <c r="B651" s="125"/>
      <c r="C651" s="91"/>
      <c r="D651" s="13"/>
      <c r="E651" s="13"/>
      <c r="F651" s="13" t="str">
        <f t="shared" si="234"/>
        <v/>
      </c>
      <c r="G651" s="13"/>
      <c r="H651" s="13"/>
      <c r="I651" s="13" t="str">
        <f t="shared" si="235"/>
        <v/>
      </c>
      <c r="J651" s="13" t="str">
        <f t="shared" si="236"/>
        <v/>
      </c>
      <c r="K651" s="13" t="str">
        <f t="shared" si="232"/>
        <v/>
      </c>
      <c r="L651" s="71" t="str">
        <f t="shared" si="237"/>
        <v/>
      </c>
      <c r="M651" s="128"/>
      <c r="N651" s="20"/>
      <c r="O651" s="68"/>
      <c r="P651" s="54"/>
      <c r="Q651" s="69">
        <f t="shared" si="233"/>
        <v>0</v>
      </c>
      <c r="R651" s="54"/>
      <c r="S651" s="70" t="str">
        <f t="shared" si="238"/>
        <v/>
      </c>
      <c r="T651" s="54"/>
      <c r="U651" s="74" t="s">
        <v>32</v>
      </c>
      <c r="V651" s="20"/>
    </row>
    <row r="652" spans="1:22" ht="15.75" customHeight="1" x14ac:dyDescent="0.25">
      <c r="A652" s="131"/>
      <c r="B652" s="125"/>
      <c r="C652" s="89"/>
      <c r="D652" s="66"/>
      <c r="E652" s="66"/>
      <c r="F652" s="66" t="str">
        <f t="shared" si="234"/>
        <v/>
      </c>
      <c r="G652" s="66"/>
      <c r="H652" s="66"/>
      <c r="I652" s="66" t="str">
        <f t="shared" si="235"/>
        <v/>
      </c>
      <c r="J652" s="66" t="str">
        <f t="shared" si="236"/>
        <v/>
      </c>
      <c r="K652" s="66" t="str">
        <f t="shared" si="232"/>
        <v/>
      </c>
      <c r="L652" s="82" t="str">
        <f t="shared" si="237"/>
        <v/>
      </c>
      <c r="M652" s="128"/>
      <c r="N652" s="20"/>
      <c r="O652" s="68"/>
      <c r="P652" s="54"/>
      <c r="Q652" s="69">
        <f t="shared" si="233"/>
        <v>0</v>
      </c>
      <c r="R652" s="54"/>
      <c r="S652" s="70" t="str">
        <f t="shared" si="238"/>
        <v/>
      </c>
      <c r="T652" s="54"/>
      <c r="U652" s="133">
        <f>IF(AND(NOT(M645=0)),U645/M645,0)</f>
        <v>0</v>
      </c>
      <c r="V652" s="20"/>
    </row>
    <row r="653" spans="1:22" ht="15.75" customHeight="1" x14ac:dyDescent="0.25">
      <c r="A653" s="131"/>
      <c r="B653" s="125"/>
      <c r="C653" s="91"/>
      <c r="D653" s="13"/>
      <c r="E653" s="13"/>
      <c r="F653" s="13" t="str">
        <f t="shared" si="234"/>
        <v/>
      </c>
      <c r="G653" s="13"/>
      <c r="H653" s="13"/>
      <c r="I653" s="13" t="str">
        <f t="shared" si="235"/>
        <v/>
      </c>
      <c r="J653" s="13" t="str">
        <f t="shared" si="236"/>
        <v/>
      </c>
      <c r="K653" s="13" t="str">
        <f t="shared" si="232"/>
        <v/>
      </c>
      <c r="L653" s="73" t="str">
        <f t="shared" si="237"/>
        <v/>
      </c>
      <c r="M653" s="128"/>
      <c r="N653" s="20"/>
      <c r="O653" s="68"/>
      <c r="P653" s="54"/>
      <c r="Q653" s="69">
        <f t="shared" si="233"/>
        <v>0</v>
      </c>
      <c r="R653" s="54"/>
      <c r="S653" s="70" t="str">
        <f t="shared" si="238"/>
        <v/>
      </c>
      <c r="T653" s="54"/>
      <c r="U653" s="134"/>
      <c r="V653" s="20"/>
    </row>
    <row r="654" spans="1:22" ht="15.75" customHeight="1" thickBot="1" x14ac:dyDescent="0.3">
      <c r="A654" s="132"/>
      <c r="B654" s="126"/>
      <c r="C654" s="95"/>
      <c r="D654" s="75"/>
      <c r="E654" s="75"/>
      <c r="F654" s="75" t="str">
        <f t="shared" si="234"/>
        <v/>
      </c>
      <c r="G654" s="75"/>
      <c r="H654" s="75"/>
      <c r="I654" s="75" t="str">
        <f t="shared" si="235"/>
        <v/>
      </c>
      <c r="J654" s="75" t="str">
        <f t="shared" si="236"/>
        <v/>
      </c>
      <c r="K654" s="75" t="str">
        <f t="shared" si="232"/>
        <v/>
      </c>
      <c r="L654" s="85" t="str">
        <f t="shared" si="237"/>
        <v/>
      </c>
      <c r="M654" s="129"/>
      <c r="N654" s="20"/>
      <c r="O654" s="76"/>
      <c r="P654" s="20"/>
      <c r="Q654" s="77">
        <f>IF(OR(O654="",L654="NO BET"),0,IF(AND(K654=O654),IF(AND(K654="T2"),ROUNDUP(H654*0.95,2)-1,ROUNDUP(G654*0.95,2)-1),-1))</f>
        <v>0</v>
      </c>
      <c r="R654" s="20"/>
      <c r="S654" s="78" t="str">
        <f t="shared" si="238"/>
        <v/>
      </c>
      <c r="T654" s="20"/>
      <c r="U654" s="135"/>
      <c r="V654" s="20"/>
    </row>
    <row r="655" spans="1:22" ht="15.75" customHeight="1" x14ac:dyDescent="0.25">
      <c r="A655" s="20"/>
      <c r="B655" s="20"/>
      <c r="C655" s="22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2"/>
      <c r="R655" s="20"/>
      <c r="S655" s="20"/>
      <c r="T655" s="20"/>
      <c r="U655" s="23"/>
      <c r="V655" s="20"/>
    </row>
    <row r="656" spans="1:22" ht="15.75" customHeight="1" x14ac:dyDescent="0.25">
      <c r="A656" s="20"/>
      <c r="B656" s="20"/>
      <c r="C656" s="22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2"/>
      <c r="R656" s="20"/>
      <c r="S656" s="20"/>
      <c r="T656" s="20"/>
      <c r="U656" s="23"/>
      <c r="V656" s="20"/>
    </row>
    <row r="657" spans="1:22" ht="15.75" customHeight="1" thickBot="1" x14ac:dyDescent="0.3">
      <c r="A657" s="20"/>
      <c r="B657" s="20"/>
      <c r="C657" s="22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2"/>
      <c r="R657" s="20"/>
      <c r="S657" s="20"/>
      <c r="T657" s="20"/>
      <c r="U657" s="23"/>
      <c r="V657" s="20"/>
    </row>
    <row r="658" spans="1:22" ht="15.75" customHeight="1" thickBot="1" x14ac:dyDescent="0.3">
      <c r="A658" s="100" t="s">
        <v>6</v>
      </c>
      <c r="B658" s="124" t="s">
        <v>23</v>
      </c>
      <c r="C658" s="232" t="s">
        <v>9</v>
      </c>
      <c r="D658" s="55" t="s">
        <v>10</v>
      </c>
      <c r="E658" s="55" t="s">
        <v>11</v>
      </c>
      <c r="F658" s="55" t="s">
        <v>12</v>
      </c>
      <c r="G658" s="55" t="s">
        <v>13</v>
      </c>
      <c r="H658" s="55" t="s">
        <v>14</v>
      </c>
      <c r="I658" s="55" t="s">
        <v>15</v>
      </c>
      <c r="J658" s="55" t="s">
        <v>16</v>
      </c>
      <c r="K658" s="55" t="s">
        <v>35</v>
      </c>
      <c r="L658" s="55" t="s">
        <v>17</v>
      </c>
      <c r="M658" s="56" t="s">
        <v>18</v>
      </c>
      <c r="N658" s="57"/>
      <c r="O658" s="58" t="s">
        <v>19</v>
      </c>
      <c r="P658" s="54"/>
      <c r="Q658" s="59" t="s">
        <v>36</v>
      </c>
      <c r="R658" s="54"/>
      <c r="S658" s="58" t="s">
        <v>37</v>
      </c>
      <c r="T658" s="54"/>
      <c r="U658" s="60" t="s">
        <v>30</v>
      </c>
      <c r="V658" s="20"/>
    </row>
    <row r="659" spans="1:22" ht="15.75" customHeight="1" x14ac:dyDescent="0.25">
      <c r="A659" s="101"/>
      <c r="B659" s="125"/>
      <c r="C659" s="86"/>
      <c r="D659" s="117" t="s">
        <v>65</v>
      </c>
      <c r="E659" s="117" t="s">
        <v>64</v>
      </c>
      <c r="F659" s="61" t="str">
        <f>IF(AND(C659=""),"",1-C659)</f>
        <v/>
      </c>
      <c r="G659" s="61">
        <v>3.75</v>
      </c>
      <c r="H659" s="61">
        <v>1.25</v>
      </c>
      <c r="I659" s="61" t="str">
        <f>IF(AND(C659=""),"",G659*C659)</f>
        <v/>
      </c>
      <c r="J659" s="61" t="str">
        <f>IF(AND(C659=""),"",H659*F659)</f>
        <v/>
      </c>
      <c r="K659" s="61" t="str">
        <f t="shared" ref="K659:K668" si="239">IF(AND(I659=""),"",IF(AND(I659&gt;J659),"T1","T2"))</f>
        <v/>
      </c>
      <c r="L659" s="62" t="str">
        <f>IF(AND(K659=""),"",IF(AND((J659*0.95-1)&lt;0,(I659*0.95-1)&lt;0),"NO BET", IF(AND(K659="T1"),I659*0.95 - 1,J659*0.95 - 1)))</f>
        <v/>
      </c>
      <c r="M659" s="127">
        <f>SUMIF(L659:L668,"&gt;0")</f>
        <v>0</v>
      </c>
      <c r="N659" s="57"/>
      <c r="O659" s="63"/>
      <c r="P659" s="57"/>
      <c r="Q659" s="64">
        <f t="shared" ref="Q659:Q667" si="240">IF(OR(O659="",L659="NO BET"),0,IF(AND(K659=O659),IF(AND(K659="T2"),ROUNDUP(H659*0.95,2)-1,ROUNDUP(G659*0.95,2)-1),-1))</f>
        <v>0</v>
      </c>
      <c r="R659" s="54"/>
      <c r="S659" s="65" t="str">
        <f>IF(AND(O659=""),"",IF(AND(C659&gt;F659),IF(AND(O659="T1"),"a","r"),IF(AND(O659="T2"),"a","r")))</f>
        <v/>
      </c>
      <c r="T659" s="54"/>
      <c r="U659" s="130">
        <f>SUM(Q659:Q668)</f>
        <v>0</v>
      </c>
      <c r="V659" s="20"/>
    </row>
    <row r="660" spans="1:22" ht="15.75" customHeight="1" x14ac:dyDescent="0.25">
      <c r="A660" s="131" t="s">
        <v>39</v>
      </c>
      <c r="B660" s="125"/>
      <c r="C660" s="89"/>
      <c r="D660" s="114" t="s">
        <v>66</v>
      </c>
      <c r="E660" s="114" t="s">
        <v>74</v>
      </c>
      <c r="F660" s="66" t="str">
        <f t="shared" ref="F660:F668" si="241">IF(AND(C660=""),"",1-C660)</f>
        <v/>
      </c>
      <c r="G660" s="66">
        <v>2.62</v>
      </c>
      <c r="H660" s="66">
        <v>1.44</v>
      </c>
      <c r="I660" s="66" t="str">
        <f t="shared" ref="I660:I668" si="242">IF(AND(C660=""),"",G660*C660)</f>
        <v/>
      </c>
      <c r="J660" s="66" t="str">
        <f t="shared" ref="J660:J668" si="243">IF(AND(C660=""),"",H660*F660)</f>
        <v/>
      </c>
      <c r="K660" s="66" t="str">
        <f t="shared" si="239"/>
        <v/>
      </c>
      <c r="L660" s="67" t="str">
        <f t="shared" ref="L660:L668" si="244">IF(AND(K660=""),"",IF(AND((J660*0.95-1)&lt;0,(I660*0.95-1)&lt;0),"NO BET", IF(AND(K660="T1"),I660*0.95 - 1,J660*0.95 - 1)))</f>
        <v/>
      </c>
      <c r="M660" s="128"/>
      <c r="N660" s="20"/>
      <c r="O660" s="68"/>
      <c r="P660" s="54"/>
      <c r="Q660" s="69">
        <f t="shared" si="240"/>
        <v>0</v>
      </c>
      <c r="R660" s="54"/>
      <c r="S660" s="70" t="str">
        <f t="shared" ref="S660:S668" si="245">IF(AND(O660=""),"",IF(AND(C660&gt;F660),IF(AND(O660="T1"),"a","r"),IF(AND(O660="T2"),"a","r")))</f>
        <v/>
      </c>
      <c r="T660" s="54"/>
      <c r="U660" s="130"/>
      <c r="V660" s="20"/>
    </row>
    <row r="661" spans="1:22" ht="15.75" customHeight="1" x14ac:dyDescent="0.25">
      <c r="A661" s="131"/>
      <c r="B661" s="125"/>
      <c r="C661" s="91"/>
      <c r="D661" s="13"/>
      <c r="E661" s="13"/>
      <c r="F661" s="13" t="str">
        <f t="shared" si="241"/>
        <v/>
      </c>
      <c r="G661" s="13"/>
      <c r="H661" s="13"/>
      <c r="I661" s="13" t="str">
        <f t="shared" si="242"/>
        <v/>
      </c>
      <c r="J661" s="13" t="str">
        <f t="shared" si="243"/>
        <v/>
      </c>
      <c r="K661" s="13" t="str">
        <f t="shared" si="239"/>
        <v/>
      </c>
      <c r="L661" s="71" t="str">
        <f t="shared" si="244"/>
        <v/>
      </c>
      <c r="M661" s="128"/>
      <c r="N661" s="57"/>
      <c r="O661" s="68"/>
      <c r="P661" s="54"/>
      <c r="Q661" s="69">
        <f t="shared" si="240"/>
        <v>0</v>
      </c>
      <c r="R661" s="54"/>
      <c r="S661" s="70" t="str">
        <f t="shared" si="245"/>
        <v/>
      </c>
      <c r="T661" s="54"/>
      <c r="U661" s="130"/>
      <c r="V661" s="20"/>
    </row>
    <row r="662" spans="1:22" ht="15.75" customHeight="1" x14ac:dyDescent="0.25">
      <c r="A662" s="131"/>
      <c r="B662" s="125"/>
      <c r="C662" s="89"/>
      <c r="D662" s="66"/>
      <c r="E662" s="66"/>
      <c r="F662" s="66" t="str">
        <f t="shared" si="241"/>
        <v/>
      </c>
      <c r="G662" s="66"/>
      <c r="H662" s="66"/>
      <c r="I662" s="66" t="str">
        <f t="shared" si="242"/>
        <v/>
      </c>
      <c r="J662" s="66" t="str">
        <f t="shared" si="243"/>
        <v/>
      </c>
      <c r="K662" s="66" t="str">
        <f t="shared" si="239"/>
        <v/>
      </c>
      <c r="L662" s="67" t="str">
        <f t="shared" si="244"/>
        <v/>
      </c>
      <c r="M662" s="128"/>
      <c r="N662" s="72"/>
      <c r="O662" s="68"/>
      <c r="P662" s="54"/>
      <c r="Q662" s="69">
        <f t="shared" si="240"/>
        <v>0</v>
      </c>
      <c r="R662" s="54"/>
      <c r="S662" s="70" t="str">
        <f t="shared" si="245"/>
        <v/>
      </c>
      <c r="T662" s="54"/>
      <c r="U662" s="130"/>
      <c r="V662" s="20"/>
    </row>
    <row r="663" spans="1:22" ht="15.75" customHeight="1" x14ac:dyDescent="0.25">
      <c r="A663" s="131"/>
      <c r="B663" s="125"/>
      <c r="C663" s="91"/>
      <c r="D663" s="13"/>
      <c r="E663" s="13"/>
      <c r="F663" s="13" t="str">
        <f t="shared" si="241"/>
        <v/>
      </c>
      <c r="G663" s="13"/>
      <c r="H663" s="13"/>
      <c r="I663" s="13" t="str">
        <f t="shared" si="242"/>
        <v/>
      </c>
      <c r="J663" s="13" t="str">
        <f t="shared" si="243"/>
        <v/>
      </c>
      <c r="K663" s="13" t="str">
        <f t="shared" si="239"/>
        <v/>
      </c>
      <c r="L663" s="73" t="str">
        <f t="shared" si="244"/>
        <v/>
      </c>
      <c r="M663" s="128"/>
      <c r="N663" s="72"/>
      <c r="O663" s="68"/>
      <c r="P663" s="54"/>
      <c r="Q663" s="69">
        <f t="shared" si="240"/>
        <v>0</v>
      </c>
      <c r="R663" s="54"/>
      <c r="S663" s="70" t="str">
        <f t="shared" si="245"/>
        <v/>
      </c>
      <c r="T663" s="54"/>
      <c r="U663" s="130"/>
      <c r="V663" s="20"/>
    </row>
    <row r="664" spans="1:22" ht="15.75" customHeight="1" x14ac:dyDescent="0.25">
      <c r="A664" s="131"/>
      <c r="B664" s="125"/>
      <c r="C664" s="89"/>
      <c r="D664" s="66"/>
      <c r="E664" s="66"/>
      <c r="F664" s="66" t="str">
        <f t="shared" si="241"/>
        <v/>
      </c>
      <c r="G664" s="66"/>
      <c r="H664" s="66"/>
      <c r="I664" s="66" t="str">
        <f t="shared" si="242"/>
        <v/>
      </c>
      <c r="J664" s="66" t="str">
        <f t="shared" si="243"/>
        <v/>
      </c>
      <c r="K664" s="66" t="str">
        <f t="shared" si="239"/>
        <v/>
      </c>
      <c r="L664" s="67" t="str">
        <f t="shared" si="244"/>
        <v/>
      </c>
      <c r="M664" s="128"/>
      <c r="N664" s="72"/>
      <c r="O664" s="68"/>
      <c r="P664" s="54"/>
      <c r="Q664" s="69">
        <f t="shared" si="240"/>
        <v>0</v>
      </c>
      <c r="R664" s="54"/>
      <c r="S664" s="70" t="str">
        <f t="shared" si="245"/>
        <v/>
      </c>
      <c r="T664" s="54"/>
      <c r="U664" s="130"/>
      <c r="V664" s="20"/>
    </row>
    <row r="665" spans="1:22" ht="15.75" customHeight="1" thickBot="1" x14ac:dyDescent="0.3">
      <c r="A665" s="131"/>
      <c r="B665" s="125"/>
      <c r="C665" s="91"/>
      <c r="D665" s="13"/>
      <c r="E665" s="13"/>
      <c r="F665" s="13" t="str">
        <f t="shared" si="241"/>
        <v/>
      </c>
      <c r="G665" s="13"/>
      <c r="H665" s="13"/>
      <c r="I665" s="13" t="str">
        <f t="shared" si="242"/>
        <v/>
      </c>
      <c r="J665" s="13" t="str">
        <f t="shared" si="243"/>
        <v/>
      </c>
      <c r="K665" s="13" t="str">
        <f t="shared" si="239"/>
        <v/>
      </c>
      <c r="L665" s="71" t="str">
        <f t="shared" si="244"/>
        <v/>
      </c>
      <c r="M665" s="128"/>
      <c r="N665" s="20"/>
      <c r="O665" s="68"/>
      <c r="P665" s="54"/>
      <c r="Q665" s="69">
        <f t="shared" si="240"/>
        <v>0</v>
      </c>
      <c r="R665" s="54"/>
      <c r="S665" s="70" t="str">
        <f t="shared" si="245"/>
        <v/>
      </c>
      <c r="T665" s="54"/>
      <c r="U665" s="74" t="s">
        <v>32</v>
      </c>
      <c r="V665" s="20"/>
    </row>
    <row r="666" spans="1:22" ht="15.75" customHeight="1" x14ac:dyDescent="0.25">
      <c r="A666" s="131"/>
      <c r="B666" s="125"/>
      <c r="C666" s="89"/>
      <c r="D666" s="66"/>
      <c r="E666" s="66"/>
      <c r="F666" s="66" t="str">
        <f t="shared" si="241"/>
        <v/>
      </c>
      <c r="G666" s="66"/>
      <c r="H666" s="66"/>
      <c r="I666" s="66" t="str">
        <f t="shared" si="242"/>
        <v/>
      </c>
      <c r="J666" s="66" t="str">
        <f t="shared" si="243"/>
        <v/>
      </c>
      <c r="K666" s="66" t="str">
        <f t="shared" si="239"/>
        <v/>
      </c>
      <c r="L666" s="82" t="str">
        <f t="shared" si="244"/>
        <v/>
      </c>
      <c r="M666" s="128"/>
      <c r="N666" s="20"/>
      <c r="O666" s="68"/>
      <c r="P666" s="54"/>
      <c r="Q666" s="69">
        <f t="shared" si="240"/>
        <v>0</v>
      </c>
      <c r="R666" s="54"/>
      <c r="S666" s="70" t="str">
        <f t="shared" si="245"/>
        <v/>
      </c>
      <c r="T666" s="54"/>
      <c r="U666" s="133">
        <f>IF(AND(NOT(M659=0)),U659/M659,0)</f>
        <v>0</v>
      </c>
      <c r="V666" s="20"/>
    </row>
    <row r="667" spans="1:22" ht="15.75" customHeight="1" x14ac:dyDescent="0.25">
      <c r="A667" s="131"/>
      <c r="B667" s="125"/>
      <c r="C667" s="91"/>
      <c r="D667" s="13"/>
      <c r="E667" s="13"/>
      <c r="F667" s="13" t="str">
        <f t="shared" si="241"/>
        <v/>
      </c>
      <c r="G667" s="13"/>
      <c r="H667" s="13"/>
      <c r="I667" s="13" t="str">
        <f t="shared" si="242"/>
        <v/>
      </c>
      <c r="J667" s="13" t="str">
        <f t="shared" si="243"/>
        <v/>
      </c>
      <c r="K667" s="13" t="str">
        <f t="shared" si="239"/>
        <v/>
      </c>
      <c r="L667" s="73" t="str">
        <f t="shared" si="244"/>
        <v/>
      </c>
      <c r="M667" s="128"/>
      <c r="N667" s="20"/>
      <c r="O667" s="68"/>
      <c r="P667" s="54"/>
      <c r="Q667" s="69">
        <f t="shared" si="240"/>
        <v>0</v>
      </c>
      <c r="R667" s="54"/>
      <c r="S667" s="70" t="str">
        <f t="shared" si="245"/>
        <v/>
      </c>
      <c r="T667" s="54"/>
      <c r="U667" s="134"/>
      <c r="V667" s="20"/>
    </row>
    <row r="668" spans="1:22" ht="15.75" customHeight="1" thickBot="1" x14ac:dyDescent="0.3">
      <c r="A668" s="132"/>
      <c r="B668" s="126"/>
      <c r="C668" s="95"/>
      <c r="D668" s="75"/>
      <c r="E668" s="75"/>
      <c r="F668" s="75" t="str">
        <f t="shared" si="241"/>
        <v/>
      </c>
      <c r="G668" s="75"/>
      <c r="H668" s="75"/>
      <c r="I668" s="75" t="str">
        <f t="shared" si="242"/>
        <v/>
      </c>
      <c r="J668" s="75" t="str">
        <f t="shared" si="243"/>
        <v/>
      </c>
      <c r="K668" s="75" t="str">
        <f t="shared" si="239"/>
        <v/>
      </c>
      <c r="L668" s="85" t="str">
        <f t="shared" si="244"/>
        <v/>
      </c>
      <c r="M668" s="129"/>
      <c r="N668" s="20"/>
      <c r="O668" s="76"/>
      <c r="P668" s="20"/>
      <c r="Q668" s="77">
        <f>IF(OR(O668="",L668="NO BET"),0,IF(AND(K668=O668),IF(AND(K668="T2"),ROUNDUP(H668*0.95,2)-1,ROUNDUP(G668*0.95,2)-1),-1))</f>
        <v>0</v>
      </c>
      <c r="R668" s="20"/>
      <c r="S668" s="78" t="str">
        <f t="shared" si="245"/>
        <v/>
      </c>
      <c r="T668" s="20"/>
      <c r="U668" s="135"/>
      <c r="V668" s="20"/>
    </row>
    <row r="669" spans="1:22" ht="15.75" customHeight="1" x14ac:dyDescent="0.25">
      <c r="A669" s="20"/>
      <c r="B669" s="20"/>
      <c r="C669" s="22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2"/>
      <c r="R669" s="20"/>
      <c r="S669" s="20"/>
      <c r="T669" s="20"/>
      <c r="U669" s="23"/>
      <c r="V669" s="20"/>
    </row>
    <row r="670" spans="1:22" ht="15.75" customHeight="1" x14ac:dyDescent="0.25">
      <c r="A670" s="20"/>
      <c r="B670" s="20"/>
      <c r="C670" s="22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2"/>
      <c r="R670" s="20"/>
      <c r="S670" s="20"/>
      <c r="T670" s="20"/>
      <c r="U670" s="23"/>
      <c r="V670" s="20"/>
    </row>
    <row r="671" spans="1:22" ht="15.75" customHeight="1" thickBot="1" x14ac:dyDescent="0.3">
      <c r="A671" s="20"/>
      <c r="B671" s="20"/>
      <c r="C671" s="22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2"/>
      <c r="R671" s="20"/>
      <c r="S671" s="20"/>
      <c r="T671" s="20"/>
      <c r="U671" s="23"/>
      <c r="V671" s="20"/>
    </row>
    <row r="672" spans="1:22" ht="15.75" customHeight="1" thickBot="1" x14ac:dyDescent="0.3">
      <c r="A672" s="100" t="s">
        <v>6</v>
      </c>
      <c r="B672" s="124" t="s">
        <v>24</v>
      </c>
      <c r="C672" s="232" t="s">
        <v>9</v>
      </c>
      <c r="D672" s="55" t="s">
        <v>10</v>
      </c>
      <c r="E672" s="55" t="s">
        <v>11</v>
      </c>
      <c r="F672" s="55" t="s">
        <v>12</v>
      </c>
      <c r="G672" s="55" t="s">
        <v>13</v>
      </c>
      <c r="H672" s="55" t="s">
        <v>14</v>
      </c>
      <c r="I672" s="55" t="s">
        <v>15</v>
      </c>
      <c r="J672" s="55" t="s">
        <v>16</v>
      </c>
      <c r="K672" s="55" t="s">
        <v>35</v>
      </c>
      <c r="L672" s="55" t="s">
        <v>17</v>
      </c>
      <c r="M672" s="56" t="s">
        <v>18</v>
      </c>
      <c r="N672" s="57"/>
      <c r="O672" s="58" t="s">
        <v>19</v>
      </c>
      <c r="P672" s="54"/>
      <c r="Q672" s="59" t="s">
        <v>36</v>
      </c>
      <c r="R672" s="54"/>
      <c r="S672" s="58" t="s">
        <v>37</v>
      </c>
      <c r="T672" s="54"/>
      <c r="U672" s="60" t="s">
        <v>30</v>
      </c>
      <c r="V672" s="20"/>
    </row>
    <row r="673" spans="1:22" ht="15.75" customHeight="1" x14ac:dyDescent="0.25">
      <c r="A673" s="101"/>
      <c r="B673" s="125"/>
      <c r="C673" s="86"/>
      <c r="D673" s="61"/>
      <c r="E673" s="61"/>
      <c r="F673" s="61"/>
      <c r="G673" s="61"/>
      <c r="H673" s="61"/>
      <c r="I673" s="61"/>
      <c r="J673" s="61"/>
      <c r="K673" s="61"/>
      <c r="L673" s="62"/>
      <c r="M673" s="127">
        <f>SUMIF(L687:L696,"&gt;0")</f>
        <v>0</v>
      </c>
      <c r="N673" s="57"/>
      <c r="O673" s="63"/>
      <c r="P673" s="57"/>
      <c r="Q673" s="64">
        <f t="shared" ref="Q673:Q682" si="246">IF(OR(O673="",L687="NO BET"),0,IF(AND(K687=O673),IF(AND(K687="T2"),ROUNDUP(H687*0.95,2)-1,ROUNDUP(G687*0.95,2)-1),-1))</f>
        <v>0</v>
      </c>
      <c r="R673" s="54"/>
      <c r="S673" s="65" t="str">
        <f t="shared" ref="S673:S682" si="247">IF(AND(O673=""),"",IF(AND(C687&gt;F687),IF(AND(O673="T1"),"a","r"),IF(AND(O673="T2"),"a","r")))</f>
        <v/>
      </c>
      <c r="T673" s="54"/>
      <c r="U673" s="130">
        <f>SUM(Q673:Q682)</f>
        <v>0</v>
      </c>
      <c r="V673" s="20"/>
    </row>
    <row r="674" spans="1:22" ht="15.75" customHeight="1" x14ac:dyDescent="0.25">
      <c r="A674" s="131" t="s">
        <v>39</v>
      </c>
      <c r="B674" s="125"/>
      <c r="C674" s="89"/>
      <c r="D674" s="66"/>
      <c r="E674" s="66"/>
      <c r="F674" s="66"/>
      <c r="G674" s="66"/>
      <c r="H674" s="66"/>
      <c r="I674" s="66"/>
      <c r="J674" s="66"/>
      <c r="K674" s="66"/>
      <c r="L674" s="67"/>
      <c r="M674" s="128"/>
      <c r="N674" s="20"/>
      <c r="O674" s="68"/>
      <c r="P674" s="54"/>
      <c r="Q674" s="69">
        <f t="shared" si="246"/>
        <v>0</v>
      </c>
      <c r="R674" s="54"/>
      <c r="S674" s="70" t="str">
        <f t="shared" si="247"/>
        <v/>
      </c>
      <c r="T674" s="54"/>
      <c r="U674" s="130"/>
      <c r="V674" s="20"/>
    </row>
    <row r="675" spans="1:22" ht="15.75" customHeight="1" x14ac:dyDescent="0.25">
      <c r="A675" s="131"/>
      <c r="B675" s="125"/>
      <c r="C675" s="91"/>
      <c r="D675" s="13"/>
      <c r="E675" s="13"/>
      <c r="F675" s="13"/>
      <c r="G675" s="13"/>
      <c r="H675" s="13"/>
      <c r="I675" s="13"/>
      <c r="J675" s="13"/>
      <c r="K675" s="13"/>
      <c r="L675" s="71"/>
      <c r="M675" s="128"/>
      <c r="N675" s="57"/>
      <c r="O675" s="68"/>
      <c r="P675" s="54"/>
      <c r="Q675" s="69">
        <f t="shared" si="246"/>
        <v>0</v>
      </c>
      <c r="R675" s="54"/>
      <c r="S675" s="70" t="str">
        <f t="shared" si="247"/>
        <v/>
      </c>
      <c r="T675" s="54"/>
      <c r="U675" s="130"/>
      <c r="V675" s="20"/>
    </row>
    <row r="676" spans="1:22" ht="15.75" customHeight="1" x14ac:dyDescent="0.25">
      <c r="A676" s="131"/>
      <c r="B676" s="125"/>
      <c r="C676" s="89"/>
      <c r="D676" s="66"/>
      <c r="E676" s="66"/>
      <c r="F676" s="66"/>
      <c r="G676" s="66"/>
      <c r="H676" s="66"/>
      <c r="I676" s="66"/>
      <c r="J676" s="66"/>
      <c r="K676" s="66"/>
      <c r="L676" s="67"/>
      <c r="M676" s="128"/>
      <c r="N676" s="72"/>
      <c r="O676" s="68"/>
      <c r="P676" s="54"/>
      <c r="Q676" s="69">
        <f t="shared" si="246"/>
        <v>0</v>
      </c>
      <c r="R676" s="54"/>
      <c r="S676" s="70" t="str">
        <f t="shared" si="247"/>
        <v/>
      </c>
      <c r="T676" s="54"/>
      <c r="U676" s="130"/>
      <c r="V676" s="20"/>
    </row>
    <row r="677" spans="1:22" ht="15.75" customHeight="1" x14ac:dyDescent="0.25">
      <c r="A677" s="131"/>
      <c r="B677" s="125"/>
      <c r="C677" s="91"/>
      <c r="D677" s="13"/>
      <c r="E677" s="13"/>
      <c r="F677" s="13"/>
      <c r="G677" s="13"/>
      <c r="H677" s="13"/>
      <c r="I677" s="13"/>
      <c r="J677" s="13"/>
      <c r="K677" s="13"/>
      <c r="L677" s="73"/>
      <c r="M677" s="128"/>
      <c r="N677" s="72"/>
      <c r="O677" s="68"/>
      <c r="P677" s="54"/>
      <c r="Q677" s="69">
        <f t="shared" si="246"/>
        <v>0</v>
      </c>
      <c r="R677" s="54"/>
      <c r="S677" s="70" t="str">
        <f t="shared" si="247"/>
        <v/>
      </c>
      <c r="T677" s="54"/>
      <c r="U677" s="130"/>
      <c r="V677" s="20"/>
    </row>
    <row r="678" spans="1:22" ht="15.75" customHeight="1" x14ac:dyDescent="0.25">
      <c r="A678" s="131"/>
      <c r="B678" s="125"/>
      <c r="C678" s="89"/>
      <c r="D678" s="66"/>
      <c r="E678" s="66"/>
      <c r="F678" s="66"/>
      <c r="G678" s="66"/>
      <c r="H678" s="66"/>
      <c r="I678" s="66"/>
      <c r="J678" s="66"/>
      <c r="K678" s="66"/>
      <c r="L678" s="67"/>
      <c r="M678" s="128"/>
      <c r="N678" s="72"/>
      <c r="O678" s="68"/>
      <c r="P678" s="54"/>
      <c r="Q678" s="69">
        <f t="shared" si="246"/>
        <v>0</v>
      </c>
      <c r="R678" s="54"/>
      <c r="S678" s="70" t="str">
        <f t="shared" si="247"/>
        <v/>
      </c>
      <c r="T678" s="54"/>
      <c r="U678" s="130"/>
      <c r="V678" s="20"/>
    </row>
    <row r="679" spans="1:22" ht="15.75" customHeight="1" thickBot="1" x14ac:dyDescent="0.3">
      <c r="A679" s="131"/>
      <c r="B679" s="125"/>
      <c r="C679" s="91"/>
      <c r="D679" s="13"/>
      <c r="E679" s="13"/>
      <c r="F679" s="13"/>
      <c r="G679" s="13"/>
      <c r="H679" s="13"/>
      <c r="I679" s="13"/>
      <c r="J679" s="13"/>
      <c r="K679" s="13"/>
      <c r="L679" s="71"/>
      <c r="M679" s="128"/>
      <c r="N679" s="20"/>
      <c r="O679" s="68"/>
      <c r="P679" s="54"/>
      <c r="Q679" s="69">
        <f t="shared" si="246"/>
        <v>0</v>
      </c>
      <c r="R679" s="54"/>
      <c r="S679" s="70" t="str">
        <f t="shared" si="247"/>
        <v/>
      </c>
      <c r="T679" s="54"/>
      <c r="U679" s="74" t="s">
        <v>32</v>
      </c>
      <c r="V679" s="20"/>
    </row>
    <row r="680" spans="1:22" ht="15.75" customHeight="1" x14ac:dyDescent="0.25">
      <c r="A680" s="131"/>
      <c r="B680" s="125"/>
      <c r="C680" s="89"/>
      <c r="D680" s="66"/>
      <c r="E680" s="66"/>
      <c r="F680" s="66"/>
      <c r="G680" s="66"/>
      <c r="H680" s="66"/>
      <c r="I680" s="66"/>
      <c r="J680" s="66"/>
      <c r="K680" s="66"/>
      <c r="L680" s="82"/>
      <c r="M680" s="128"/>
      <c r="N680" s="20"/>
      <c r="O680" s="68"/>
      <c r="P680" s="54"/>
      <c r="Q680" s="69">
        <f t="shared" si="246"/>
        <v>0</v>
      </c>
      <c r="R680" s="54"/>
      <c r="S680" s="70" t="str">
        <f t="shared" si="247"/>
        <v/>
      </c>
      <c r="T680" s="54"/>
      <c r="U680" s="133">
        <f>IF(AND(NOT(M673=0)),U673/M673,0)</f>
        <v>0</v>
      </c>
      <c r="V680" s="20"/>
    </row>
    <row r="681" spans="1:22" ht="15.75" customHeight="1" x14ac:dyDescent="0.25">
      <c r="A681" s="131"/>
      <c r="B681" s="125"/>
      <c r="C681" s="91"/>
      <c r="D681" s="13"/>
      <c r="E681" s="13"/>
      <c r="F681" s="13"/>
      <c r="G681" s="13"/>
      <c r="H681" s="13"/>
      <c r="I681" s="13"/>
      <c r="J681" s="13"/>
      <c r="K681" s="13"/>
      <c r="L681" s="73"/>
      <c r="M681" s="128"/>
      <c r="N681" s="20"/>
      <c r="O681" s="68"/>
      <c r="P681" s="54"/>
      <c r="Q681" s="69">
        <f t="shared" si="246"/>
        <v>0</v>
      </c>
      <c r="R681" s="54"/>
      <c r="S681" s="70" t="str">
        <f t="shared" si="247"/>
        <v/>
      </c>
      <c r="T681" s="54"/>
      <c r="U681" s="134"/>
      <c r="V681" s="20"/>
    </row>
    <row r="682" spans="1:22" ht="15.75" customHeight="1" thickBot="1" x14ac:dyDescent="0.3">
      <c r="A682" s="132"/>
      <c r="B682" s="126"/>
      <c r="C682" s="95"/>
      <c r="D682" s="75"/>
      <c r="E682" s="75"/>
      <c r="F682" s="75"/>
      <c r="G682" s="75"/>
      <c r="H682" s="75"/>
      <c r="I682" s="75"/>
      <c r="J682" s="75"/>
      <c r="K682" s="75"/>
      <c r="L682" s="85"/>
      <c r="M682" s="129"/>
      <c r="N682" s="20"/>
      <c r="O682" s="76"/>
      <c r="P682" s="20"/>
      <c r="Q682" s="77">
        <f t="shared" si="246"/>
        <v>0</v>
      </c>
      <c r="R682" s="20"/>
      <c r="S682" s="78" t="str">
        <f t="shared" si="247"/>
        <v/>
      </c>
      <c r="T682" s="20"/>
      <c r="U682" s="135"/>
      <c r="V682" s="20"/>
    </row>
    <row r="683" spans="1:22" ht="15.75" customHeight="1" x14ac:dyDescent="0.25">
      <c r="A683" s="20"/>
      <c r="B683" s="20"/>
      <c r="C683" s="22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2"/>
      <c r="R683" s="20"/>
      <c r="S683" s="20"/>
      <c r="T683" s="20"/>
      <c r="U683" s="23"/>
      <c r="V683" s="20"/>
    </row>
    <row r="684" spans="1:22" ht="15.75" customHeight="1" x14ac:dyDescent="0.25">
      <c r="A684" s="20"/>
      <c r="B684" s="20"/>
      <c r="C684" s="22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2"/>
      <c r="R684" s="20"/>
      <c r="S684" s="20"/>
      <c r="T684" s="20"/>
      <c r="U684" s="23"/>
      <c r="V684" s="20"/>
    </row>
    <row r="685" spans="1:22" ht="15.75" customHeight="1" thickBot="1" x14ac:dyDescent="0.3">
      <c r="A685" s="20"/>
      <c r="B685" s="20"/>
      <c r="C685" s="22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2"/>
      <c r="R685" s="20"/>
      <c r="S685" s="20"/>
      <c r="T685" s="20"/>
      <c r="U685" s="23"/>
      <c r="V685" s="20"/>
    </row>
    <row r="686" spans="1:22" ht="15.75" customHeight="1" thickBot="1" x14ac:dyDescent="0.3">
      <c r="A686" s="100" t="s">
        <v>6</v>
      </c>
      <c r="B686" s="124" t="s">
        <v>25</v>
      </c>
      <c r="C686" s="232" t="s">
        <v>9</v>
      </c>
      <c r="D686" s="55" t="s">
        <v>10</v>
      </c>
      <c r="E686" s="55" t="s">
        <v>11</v>
      </c>
      <c r="F686" s="55" t="s">
        <v>12</v>
      </c>
      <c r="G686" s="55" t="s">
        <v>13</v>
      </c>
      <c r="H686" s="55" t="s">
        <v>14</v>
      </c>
      <c r="I686" s="55" t="s">
        <v>15</v>
      </c>
      <c r="J686" s="55" t="s">
        <v>16</v>
      </c>
      <c r="K686" s="55" t="s">
        <v>35</v>
      </c>
      <c r="L686" s="55" t="s">
        <v>17</v>
      </c>
      <c r="M686" s="56" t="s">
        <v>18</v>
      </c>
      <c r="N686" s="57"/>
      <c r="O686" s="58" t="s">
        <v>19</v>
      </c>
      <c r="P686" s="54"/>
      <c r="Q686" s="59" t="s">
        <v>36</v>
      </c>
      <c r="R686" s="54"/>
      <c r="S686" s="58" t="s">
        <v>37</v>
      </c>
      <c r="T686" s="54"/>
      <c r="U686" s="60" t="s">
        <v>30</v>
      </c>
      <c r="V686" s="20"/>
    </row>
    <row r="687" spans="1:22" ht="15.75" customHeight="1" x14ac:dyDescent="0.25">
      <c r="A687" s="101"/>
      <c r="B687" s="125"/>
      <c r="C687" s="86"/>
      <c r="D687" s="117"/>
      <c r="E687" s="117"/>
      <c r="F687" s="61" t="str">
        <f>IF(AND(C687=""),"",1-C687)</f>
        <v/>
      </c>
      <c r="G687" s="61"/>
      <c r="H687" s="61"/>
      <c r="I687" s="61" t="str">
        <f>IF(AND(C687=""),"",G687*C687)</f>
        <v/>
      </c>
      <c r="J687" s="61" t="str">
        <f>IF(AND(C687=""),"",H687*F687)</f>
        <v/>
      </c>
      <c r="K687" s="61" t="str">
        <f t="shared" ref="K687:K696" si="248">IF(AND(I687=""),"",IF(AND(I687&gt;J687),"T1","T2"))</f>
        <v/>
      </c>
      <c r="L687" s="62" t="str">
        <f>IF(AND(K687=""),"",IF(AND((J687*0.95-1)&lt;0,(I687*0.95-1)&lt;0),"NO BET", IF(AND(K687="T1"),I687*0.95 - 1,J687*0.95 - 1)))</f>
        <v/>
      </c>
      <c r="M687" s="127">
        <f>SUMIF(L701:L710,"&gt;0")</f>
        <v>0</v>
      </c>
      <c r="N687" s="57"/>
      <c r="O687" s="63"/>
      <c r="P687" s="57"/>
      <c r="Q687" s="64">
        <f t="shared" ref="Q687:Q695" si="249">IF(OR(O687="",L687="NO BET"),0,IF(AND(K687=O687),IF(AND(K687="T2"),ROUNDUP(H687*0.95,2)-1,ROUNDUP(G687*0.95,2)-1),-1))</f>
        <v>0</v>
      </c>
      <c r="R687" s="54"/>
      <c r="S687" s="65" t="str">
        <f t="shared" ref="S687:S696" si="250">IF(AND(O687=""),"",IF(AND(C701&gt;F701),IF(AND(O687="T1"),"a","r"),IF(AND(O687="T2"),"a","r")))</f>
        <v/>
      </c>
      <c r="T687" s="54"/>
      <c r="U687" s="130">
        <f>SUM(Q687:Q696)</f>
        <v>0</v>
      </c>
      <c r="V687" s="20"/>
    </row>
    <row r="688" spans="1:22" ht="15.75" customHeight="1" x14ac:dyDescent="0.25">
      <c r="A688" s="131" t="s">
        <v>39</v>
      </c>
      <c r="B688" s="125"/>
      <c r="C688" s="89"/>
      <c r="D688" s="114"/>
      <c r="E688" s="114"/>
      <c r="F688" s="66" t="str">
        <f t="shared" ref="F688:F696" si="251">IF(AND(C688=""),"",1-C688)</f>
        <v/>
      </c>
      <c r="G688" s="66"/>
      <c r="H688" s="66"/>
      <c r="I688" s="66" t="str">
        <f t="shared" ref="I688:I696" si="252">IF(AND(C688=""),"",G688*C688)</f>
        <v/>
      </c>
      <c r="J688" s="66" t="str">
        <f t="shared" ref="J688:J696" si="253">IF(AND(C688=""),"",H688*F688)</f>
        <v/>
      </c>
      <c r="K688" s="66" t="str">
        <f t="shared" si="248"/>
        <v/>
      </c>
      <c r="L688" s="67" t="str">
        <f t="shared" ref="L688:L696" si="254">IF(AND(K688=""),"",IF(AND((J688*0.95-1)&lt;0,(I688*0.95-1)&lt;0),"NO BET", IF(AND(K688="T1"),I688*0.95 - 1,J688*0.95 - 1)))</f>
        <v/>
      </c>
      <c r="M688" s="128"/>
      <c r="N688" s="20"/>
      <c r="O688" s="68"/>
      <c r="P688" s="54"/>
      <c r="Q688" s="69">
        <f t="shared" si="249"/>
        <v>0</v>
      </c>
      <c r="R688" s="54"/>
      <c r="S688" s="70" t="str">
        <f t="shared" si="250"/>
        <v/>
      </c>
      <c r="T688" s="54"/>
      <c r="U688" s="130"/>
      <c r="V688" s="20"/>
    </row>
    <row r="689" spans="1:22" ht="15.75" customHeight="1" x14ac:dyDescent="0.25">
      <c r="A689" s="131"/>
      <c r="B689" s="125"/>
      <c r="C689" s="91"/>
      <c r="D689" s="115"/>
      <c r="E689" s="115"/>
      <c r="F689" s="13" t="str">
        <f t="shared" si="251"/>
        <v/>
      </c>
      <c r="G689" s="13"/>
      <c r="H689" s="13"/>
      <c r="I689" s="13" t="str">
        <f t="shared" si="252"/>
        <v/>
      </c>
      <c r="J689" s="13" t="str">
        <f t="shared" si="253"/>
        <v/>
      </c>
      <c r="K689" s="13" t="str">
        <f t="shared" si="248"/>
        <v/>
      </c>
      <c r="L689" s="71" t="str">
        <f t="shared" si="254"/>
        <v/>
      </c>
      <c r="M689" s="128"/>
      <c r="N689" s="57"/>
      <c r="O689" s="68"/>
      <c r="P689" s="54"/>
      <c r="Q689" s="69">
        <f t="shared" si="249"/>
        <v>0</v>
      </c>
      <c r="R689" s="54"/>
      <c r="S689" s="70" t="str">
        <f t="shared" si="250"/>
        <v/>
      </c>
      <c r="T689" s="54"/>
      <c r="U689" s="130"/>
      <c r="V689" s="20"/>
    </row>
    <row r="690" spans="1:22" ht="15.75" customHeight="1" x14ac:dyDescent="0.25">
      <c r="A690" s="131"/>
      <c r="B690" s="125"/>
      <c r="C690" s="89"/>
      <c r="D690" s="114"/>
      <c r="E690" s="114"/>
      <c r="F690" s="66" t="str">
        <f t="shared" si="251"/>
        <v/>
      </c>
      <c r="G690" s="66"/>
      <c r="H690" s="66"/>
      <c r="I690" s="66" t="str">
        <f t="shared" si="252"/>
        <v/>
      </c>
      <c r="J690" s="66" t="str">
        <f t="shared" si="253"/>
        <v/>
      </c>
      <c r="K690" s="66" t="str">
        <f t="shared" si="248"/>
        <v/>
      </c>
      <c r="L690" s="67" t="str">
        <f t="shared" si="254"/>
        <v/>
      </c>
      <c r="M690" s="128"/>
      <c r="N690" s="72"/>
      <c r="O690" s="68"/>
      <c r="P690" s="54"/>
      <c r="Q690" s="69">
        <f t="shared" si="249"/>
        <v>0</v>
      </c>
      <c r="R690" s="54"/>
      <c r="S690" s="70" t="str">
        <f t="shared" si="250"/>
        <v/>
      </c>
      <c r="T690" s="54"/>
      <c r="U690" s="130"/>
      <c r="V690" s="20"/>
    </row>
    <row r="691" spans="1:22" ht="15.75" customHeight="1" x14ac:dyDescent="0.25">
      <c r="A691" s="131"/>
      <c r="B691" s="125"/>
      <c r="C691" s="91"/>
      <c r="D691" s="115"/>
      <c r="E691" s="115"/>
      <c r="F691" s="13" t="str">
        <f t="shared" si="251"/>
        <v/>
      </c>
      <c r="G691" s="13"/>
      <c r="H691" s="13"/>
      <c r="I691" s="13" t="str">
        <f t="shared" si="252"/>
        <v/>
      </c>
      <c r="J691" s="13" t="str">
        <f t="shared" si="253"/>
        <v/>
      </c>
      <c r="K691" s="13" t="str">
        <f t="shared" si="248"/>
        <v/>
      </c>
      <c r="L691" s="73" t="str">
        <f t="shared" si="254"/>
        <v/>
      </c>
      <c r="M691" s="128"/>
      <c r="N691" s="72"/>
      <c r="O691" s="68"/>
      <c r="P691" s="54"/>
      <c r="Q691" s="69">
        <f t="shared" si="249"/>
        <v>0</v>
      </c>
      <c r="R691" s="54"/>
      <c r="S691" s="70" t="str">
        <f t="shared" si="250"/>
        <v/>
      </c>
      <c r="T691" s="54"/>
      <c r="U691" s="130"/>
      <c r="V691" s="20"/>
    </row>
    <row r="692" spans="1:22" ht="15.75" customHeight="1" x14ac:dyDescent="0.25">
      <c r="A692" s="131"/>
      <c r="B692" s="125"/>
      <c r="C692" s="89"/>
      <c r="D692" s="114"/>
      <c r="E692" s="114"/>
      <c r="F692" s="66" t="str">
        <f t="shared" si="251"/>
        <v/>
      </c>
      <c r="G692" s="66"/>
      <c r="H692" s="66"/>
      <c r="I692" s="66" t="str">
        <f t="shared" si="252"/>
        <v/>
      </c>
      <c r="J692" s="66" t="str">
        <f t="shared" si="253"/>
        <v/>
      </c>
      <c r="K692" s="66" t="str">
        <f t="shared" si="248"/>
        <v/>
      </c>
      <c r="L692" s="67" t="str">
        <f t="shared" si="254"/>
        <v/>
      </c>
      <c r="M692" s="128"/>
      <c r="N692" s="72"/>
      <c r="O692" s="68"/>
      <c r="P692" s="54"/>
      <c r="Q692" s="69">
        <f t="shared" si="249"/>
        <v>0</v>
      </c>
      <c r="R692" s="54"/>
      <c r="S692" s="70" t="str">
        <f t="shared" si="250"/>
        <v/>
      </c>
      <c r="T692" s="54"/>
      <c r="U692" s="130"/>
      <c r="V692" s="20"/>
    </row>
    <row r="693" spans="1:22" ht="15.75" customHeight="1" thickBot="1" x14ac:dyDescent="0.3">
      <c r="A693" s="131"/>
      <c r="B693" s="125"/>
      <c r="C693" s="91"/>
      <c r="D693" s="13"/>
      <c r="E693" s="13"/>
      <c r="F693" s="13" t="str">
        <f t="shared" si="251"/>
        <v/>
      </c>
      <c r="G693" s="13"/>
      <c r="H693" s="13"/>
      <c r="I693" s="13" t="str">
        <f t="shared" si="252"/>
        <v/>
      </c>
      <c r="J693" s="13" t="str">
        <f t="shared" si="253"/>
        <v/>
      </c>
      <c r="K693" s="13" t="str">
        <f t="shared" si="248"/>
        <v/>
      </c>
      <c r="L693" s="71" t="str">
        <f t="shared" si="254"/>
        <v/>
      </c>
      <c r="M693" s="128"/>
      <c r="N693" s="20"/>
      <c r="O693" s="68"/>
      <c r="P693" s="54"/>
      <c r="Q693" s="69">
        <f t="shared" si="249"/>
        <v>0</v>
      </c>
      <c r="R693" s="54"/>
      <c r="S693" s="70" t="str">
        <f t="shared" si="250"/>
        <v/>
      </c>
      <c r="T693" s="54"/>
      <c r="U693" s="74" t="s">
        <v>32</v>
      </c>
      <c r="V693" s="20"/>
    </row>
    <row r="694" spans="1:22" ht="15.75" customHeight="1" x14ac:dyDescent="0.25">
      <c r="A694" s="131"/>
      <c r="B694" s="125"/>
      <c r="C694" s="89"/>
      <c r="D694" s="66"/>
      <c r="E694" s="66"/>
      <c r="F694" s="66" t="str">
        <f t="shared" si="251"/>
        <v/>
      </c>
      <c r="G694" s="66"/>
      <c r="H694" s="66"/>
      <c r="I694" s="66" t="str">
        <f t="shared" si="252"/>
        <v/>
      </c>
      <c r="J694" s="66" t="str">
        <f t="shared" si="253"/>
        <v/>
      </c>
      <c r="K694" s="66" t="str">
        <f t="shared" si="248"/>
        <v/>
      </c>
      <c r="L694" s="82" t="str">
        <f t="shared" si="254"/>
        <v/>
      </c>
      <c r="M694" s="128"/>
      <c r="N694" s="20"/>
      <c r="O694" s="68"/>
      <c r="P694" s="54"/>
      <c r="Q694" s="69">
        <f t="shared" si="249"/>
        <v>0</v>
      </c>
      <c r="R694" s="54"/>
      <c r="S694" s="70" t="str">
        <f t="shared" si="250"/>
        <v/>
      </c>
      <c r="T694" s="54"/>
      <c r="U694" s="133">
        <f>IF(AND(NOT(M687=0)),U687/M687,0)</f>
        <v>0</v>
      </c>
      <c r="V694" s="20"/>
    </row>
    <row r="695" spans="1:22" ht="15.75" customHeight="1" x14ac:dyDescent="0.25">
      <c r="A695" s="131"/>
      <c r="B695" s="125"/>
      <c r="C695" s="91"/>
      <c r="D695" s="13"/>
      <c r="E695" s="13"/>
      <c r="F695" s="13" t="str">
        <f t="shared" si="251"/>
        <v/>
      </c>
      <c r="G695" s="13"/>
      <c r="H695" s="13"/>
      <c r="I695" s="13" t="str">
        <f t="shared" si="252"/>
        <v/>
      </c>
      <c r="J695" s="13" t="str">
        <f t="shared" si="253"/>
        <v/>
      </c>
      <c r="K695" s="13" t="str">
        <f t="shared" si="248"/>
        <v/>
      </c>
      <c r="L695" s="73" t="str">
        <f t="shared" si="254"/>
        <v/>
      </c>
      <c r="M695" s="128"/>
      <c r="N695" s="20"/>
      <c r="O695" s="68"/>
      <c r="P695" s="54"/>
      <c r="Q695" s="69">
        <f t="shared" si="249"/>
        <v>0</v>
      </c>
      <c r="R695" s="54"/>
      <c r="S695" s="70" t="str">
        <f t="shared" si="250"/>
        <v/>
      </c>
      <c r="T695" s="54"/>
      <c r="U695" s="134"/>
      <c r="V695" s="20"/>
    </row>
    <row r="696" spans="1:22" ht="15.75" customHeight="1" thickBot="1" x14ac:dyDescent="0.3">
      <c r="A696" s="132"/>
      <c r="B696" s="126"/>
      <c r="C696" s="95"/>
      <c r="D696" s="75"/>
      <c r="E696" s="75"/>
      <c r="F696" s="75" t="str">
        <f t="shared" si="251"/>
        <v/>
      </c>
      <c r="G696" s="75"/>
      <c r="H696" s="75"/>
      <c r="I696" s="75" t="str">
        <f t="shared" si="252"/>
        <v/>
      </c>
      <c r="J696" s="75" t="str">
        <f t="shared" si="253"/>
        <v/>
      </c>
      <c r="K696" s="75" t="str">
        <f t="shared" si="248"/>
        <v/>
      </c>
      <c r="L696" s="85" t="str">
        <f t="shared" si="254"/>
        <v/>
      </c>
      <c r="M696" s="129"/>
      <c r="N696" s="20"/>
      <c r="O696" s="76"/>
      <c r="P696" s="20"/>
      <c r="Q696" s="77">
        <f>IF(OR(O696="",L696="NO BET"),0,IF(AND(K696=O696),IF(AND(K696="T2"),ROUNDUP(H696*0.95,2)-1,ROUNDUP(G696*0.95,2)-1),-1))</f>
        <v>0</v>
      </c>
      <c r="R696" s="20"/>
      <c r="S696" s="78" t="str">
        <f t="shared" si="250"/>
        <v/>
      </c>
      <c r="T696" s="20"/>
      <c r="U696" s="135"/>
      <c r="V696" s="20"/>
    </row>
    <row r="697" spans="1:22" ht="15.75" customHeight="1" x14ac:dyDescent="0.25">
      <c r="A697" s="20"/>
      <c r="B697" s="20"/>
      <c r="C697" s="22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2"/>
      <c r="R697" s="20"/>
      <c r="S697" s="20"/>
      <c r="T697" s="20"/>
      <c r="U697" s="23"/>
      <c r="V697" s="20"/>
    </row>
    <row r="698" spans="1:22" ht="15.75" customHeight="1" x14ac:dyDescent="0.25">
      <c r="A698" s="20"/>
      <c r="B698" s="20"/>
      <c r="C698" s="22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 t="s">
        <v>67</v>
      </c>
      <c r="P698" s="20"/>
      <c r="Q698" s="22"/>
      <c r="R698" s="20"/>
      <c r="S698" s="20"/>
      <c r="T698" s="20"/>
      <c r="U698" s="23"/>
      <c r="V698" s="20"/>
    </row>
    <row r="699" spans="1:22" ht="15.75" customHeight="1" thickBot="1" x14ac:dyDescent="0.3">
      <c r="A699" s="20"/>
      <c r="B699" s="20"/>
      <c r="C699" s="22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2"/>
      <c r="R699" s="20"/>
      <c r="S699" s="20"/>
      <c r="T699" s="20"/>
      <c r="U699" s="23"/>
      <c r="V699" s="20"/>
    </row>
    <row r="700" spans="1:22" ht="15.75" customHeight="1" thickBot="1" x14ac:dyDescent="0.3">
      <c r="A700" s="100" t="s">
        <v>6</v>
      </c>
      <c r="B700" s="124" t="s">
        <v>26</v>
      </c>
      <c r="C700" s="232" t="s">
        <v>9</v>
      </c>
      <c r="D700" s="55" t="s">
        <v>10</v>
      </c>
      <c r="E700" s="55" t="s">
        <v>11</v>
      </c>
      <c r="F700" s="55" t="s">
        <v>12</v>
      </c>
      <c r="G700" s="55" t="s">
        <v>13</v>
      </c>
      <c r="H700" s="55" t="s">
        <v>14</v>
      </c>
      <c r="I700" s="55" t="s">
        <v>15</v>
      </c>
      <c r="J700" s="55" t="s">
        <v>16</v>
      </c>
      <c r="K700" s="55" t="s">
        <v>35</v>
      </c>
      <c r="L700" s="55" t="s">
        <v>17</v>
      </c>
      <c r="M700" s="56" t="s">
        <v>18</v>
      </c>
      <c r="N700" s="57"/>
      <c r="O700" s="58" t="s">
        <v>19</v>
      </c>
      <c r="P700" s="54"/>
      <c r="Q700" s="59" t="s">
        <v>36</v>
      </c>
      <c r="R700" s="54"/>
      <c r="S700" s="58" t="s">
        <v>37</v>
      </c>
      <c r="T700" s="54"/>
      <c r="U700" s="60" t="s">
        <v>30</v>
      </c>
      <c r="V700" s="20"/>
    </row>
    <row r="701" spans="1:22" ht="15.75" customHeight="1" x14ac:dyDescent="0.25">
      <c r="A701" s="101"/>
      <c r="B701" s="125"/>
      <c r="C701" s="86"/>
      <c r="D701" s="117"/>
      <c r="E701" s="117"/>
      <c r="F701" s="61" t="str">
        <f>IF(AND(C701=""),"",1-C701)</f>
        <v/>
      </c>
      <c r="G701" s="61"/>
      <c r="H701" s="61"/>
      <c r="I701" s="61" t="str">
        <f>IF(AND(C701=""),"",G701*C701)</f>
        <v/>
      </c>
      <c r="J701" s="61" t="str">
        <f>IF(AND(C701=""),"",H701*F701)</f>
        <v/>
      </c>
      <c r="K701" s="61" t="str">
        <f t="shared" ref="K701:K710" si="255">IF(AND(I701=""),"",IF(AND(I701&gt;J701),"T1","T2"))</f>
        <v/>
      </c>
      <c r="L701" s="62" t="str">
        <f>IF(AND(K701=""),"",IF(AND((J701*0.95-1)&lt;0,(I701*0.95-1)&lt;0),"NO BET", IF(AND(K701="T1"),I701*0.95 - 1,J701*0.95 - 1)))</f>
        <v/>
      </c>
      <c r="M701" s="127">
        <f>SUMIF(L701:L710,"&gt;0")</f>
        <v>0</v>
      </c>
      <c r="N701" s="57"/>
      <c r="O701" s="63"/>
      <c r="P701" s="57"/>
      <c r="Q701" s="64">
        <f t="shared" ref="Q701:Q709" si="256">IF(OR(O701="",L701="NO BET"),0,IF(AND(K701=O701),IF(AND(K701="T2"),ROUNDUP(H701*0.95,2)-1,ROUNDUP(G701*0.95,2)-1),-1))</f>
        <v>0</v>
      </c>
      <c r="R701" s="54"/>
      <c r="S701" s="65" t="str">
        <f>IF(AND(O701=""),"",IF(AND(C701&gt;F701),IF(AND(O701="T1"),"a","r"),IF(AND(O701="T2"),"a","r")))</f>
        <v/>
      </c>
      <c r="T701" s="54"/>
      <c r="U701" s="130">
        <f>SUM(Q701:Q710)</f>
        <v>0</v>
      </c>
      <c r="V701" s="20"/>
    </row>
    <row r="702" spans="1:22" ht="15.75" customHeight="1" x14ac:dyDescent="0.25">
      <c r="A702" s="131" t="s">
        <v>39</v>
      </c>
      <c r="B702" s="125"/>
      <c r="C702" s="89"/>
      <c r="D702" s="114"/>
      <c r="E702" s="114"/>
      <c r="F702" s="66" t="str">
        <f t="shared" ref="F702:F710" si="257">IF(AND(C702=""),"",1-C702)</f>
        <v/>
      </c>
      <c r="G702" s="66"/>
      <c r="H702" s="66"/>
      <c r="I702" s="66" t="str">
        <f t="shared" ref="I702:I710" si="258">IF(AND(C702=""),"",G702*C702)</f>
        <v/>
      </c>
      <c r="J702" s="66" t="str">
        <f t="shared" ref="J702:J710" si="259">IF(AND(C702=""),"",H702*F702)</f>
        <v/>
      </c>
      <c r="K702" s="66" t="str">
        <f t="shared" si="255"/>
        <v/>
      </c>
      <c r="L702" s="67" t="str">
        <f t="shared" ref="L702:L710" si="260">IF(AND(K702=""),"",IF(AND((J702*0.95-1)&lt;0,(I702*0.95-1)&lt;0),"NO BET", IF(AND(K702="T1"),I702*0.95 - 1,J702*0.95 - 1)))</f>
        <v/>
      </c>
      <c r="M702" s="128"/>
      <c r="N702" s="20"/>
      <c r="O702" s="68"/>
      <c r="P702" s="54"/>
      <c r="Q702" s="69">
        <f t="shared" si="256"/>
        <v>0</v>
      </c>
      <c r="R702" s="54"/>
      <c r="S702" s="70" t="str">
        <f t="shared" ref="S702:S710" si="261">IF(AND(O702=""),"",IF(AND(C702&gt;F702),IF(AND(O702="T1"),"a","r"),IF(AND(O702="T2"),"a","r")))</f>
        <v/>
      </c>
      <c r="T702" s="54"/>
      <c r="U702" s="130"/>
      <c r="V702" s="20"/>
    </row>
    <row r="703" spans="1:22" ht="15.75" customHeight="1" x14ac:dyDescent="0.25">
      <c r="A703" s="131"/>
      <c r="B703" s="125"/>
      <c r="C703" s="91"/>
      <c r="D703" s="115"/>
      <c r="E703" s="115"/>
      <c r="F703" s="13" t="str">
        <f t="shared" si="257"/>
        <v/>
      </c>
      <c r="G703" s="13"/>
      <c r="H703" s="13"/>
      <c r="I703" s="13" t="str">
        <f t="shared" si="258"/>
        <v/>
      </c>
      <c r="J703" s="13" t="str">
        <f t="shared" si="259"/>
        <v/>
      </c>
      <c r="K703" s="13" t="str">
        <f t="shared" si="255"/>
        <v/>
      </c>
      <c r="L703" s="71" t="str">
        <f t="shared" si="260"/>
        <v/>
      </c>
      <c r="M703" s="128"/>
      <c r="N703" s="57"/>
      <c r="O703" s="68"/>
      <c r="P703" s="54"/>
      <c r="Q703" s="69">
        <f t="shared" si="256"/>
        <v>0</v>
      </c>
      <c r="R703" s="54"/>
      <c r="S703" s="70" t="str">
        <f t="shared" si="261"/>
        <v/>
      </c>
      <c r="T703" s="54"/>
      <c r="U703" s="130"/>
      <c r="V703" s="20"/>
    </row>
    <row r="704" spans="1:22" ht="15.75" customHeight="1" x14ac:dyDescent="0.25">
      <c r="A704" s="131"/>
      <c r="B704" s="125"/>
      <c r="C704" s="89"/>
      <c r="D704" s="114"/>
      <c r="E704" s="114"/>
      <c r="F704" s="66" t="str">
        <f t="shared" si="257"/>
        <v/>
      </c>
      <c r="G704" s="66"/>
      <c r="H704" s="66"/>
      <c r="I704" s="66" t="str">
        <f t="shared" si="258"/>
        <v/>
      </c>
      <c r="J704" s="66" t="str">
        <f t="shared" si="259"/>
        <v/>
      </c>
      <c r="K704" s="66" t="str">
        <f t="shared" si="255"/>
        <v/>
      </c>
      <c r="L704" s="67" t="str">
        <f t="shared" si="260"/>
        <v/>
      </c>
      <c r="M704" s="128"/>
      <c r="N704" s="72"/>
      <c r="O704" s="68"/>
      <c r="P704" s="54"/>
      <c r="Q704" s="69">
        <f t="shared" si="256"/>
        <v>0</v>
      </c>
      <c r="R704" s="54"/>
      <c r="S704" s="70" t="str">
        <f t="shared" si="261"/>
        <v/>
      </c>
      <c r="T704" s="54"/>
      <c r="U704" s="130"/>
      <c r="V704" s="20"/>
    </row>
    <row r="705" spans="1:22" ht="15.75" customHeight="1" x14ac:dyDescent="0.25">
      <c r="A705" s="131"/>
      <c r="B705" s="125"/>
      <c r="C705" s="91"/>
      <c r="D705" s="115"/>
      <c r="E705" s="115"/>
      <c r="F705" s="13" t="str">
        <f t="shared" si="257"/>
        <v/>
      </c>
      <c r="G705" s="13"/>
      <c r="H705" s="13"/>
      <c r="I705" s="13" t="str">
        <f t="shared" si="258"/>
        <v/>
      </c>
      <c r="J705" s="13" t="str">
        <f t="shared" si="259"/>
        <v/>
      </c>
      <c r="K705" s="13" t="str">
        <f t="shared" si="255"/>
        <v/>
      </c>
      <c r="L705" s="73" t="str">
        <f t="shared" si="260"/>
        <v/>
      </c>
      <c r="M705" s="128"/>
      <c r="N705" s="72"/>
      <c r="O705" s="68"/>
      <c r="P705" s="54"/>
      <c r="Q705" s="69">
        <f t="shared" si="256"/>
        <v>0</v>
      </c>
      <c r="R705" s="54"/>
      <c r="S705" s="70" t="str">
        <f t="shared" si="261"/>
        <v/>
      </c>
      <c r="T705" s="54"/>
      <c r="U705" s="130"/>
      <c r="V705" s="20"/>
    </row>
    <row r="706" spans="1:22" ht="15.75" customHeight="1" x14ac:dyDescent="0.25">
      <c r="A706" s="131"/>
      <c r="B706" s="125"/>
      <c r="C706" s="89"/>
      <c r="D706" s="114"/>
      <c r="E706" s="114"/>
      <c r="F706" s="66" t="str">
        <f t="shared" si="257"/>
        <v/>
      </c>
      <c r="G706" s="66"/>
      <c r="H706" s="66"/>
      <c r="I706" s="66" t="str">
        <f t="shared" si="258"/>
        <v/>
      </c>
      <c r="J706" s="66" t="str">
        <f t="shared" si="259"/>
        <v/>
      </c>
      <c r="K706" s="66" t="str">
        <f t="shared" si="255"/>
        <v/>
      </c>
      <c r="L706" s="67" t="str">
        <f t="shared" si="260"/>
        <v/>
      </c>
      <c r="M706" s="128"/>
      <c r="N706" s="72"/>
      <c r="O706" s="68"/>
      <c r="P706" s="54"/>
      <c r="Q706" s="69">
        <f t="shared" si="256"/>
        <v>0</v>
      </c>
      <c r="R706" s="54"/>
      <c r="S706" s="70" t="str">
        <f t="shared" si="261"/>
        <v/>
      </c>
      <c r="T706" s="54"/>
      <c r="U706" s="130"/>
      <c r="V706" s="20"/>
    </row>
    <row r="707" spans="1:22" ht="15.75" customHeight="1" thickBot="1" x14ac:dyDescent="0.3">
      <c r="A707" s="131"/>
      <c r="B707" s="125"/>
      <c r="C707" s="91"/>
      <c r="D707" s="115"/>
      <c r="E707" s="115"/>
      <c r="F707" s="13" t="str">
        <f t="shared" si="257"/>
        <v/>
      </c>
      <c r="G707" s="13"/>
      <c r="H707" s="13"/>
      <c r="I707" s="13" t="str">
        <f t="shared" si="258"/>
        <v/>
      </c>
      <c r="J707" s="13" t="str">
        <f t="shared" si="259"/>
        <v/>
      </c>
      <c r="K707" s="13" t="str">
        <f t="shared" si="255"/>
        <v/>
      </c>
      <c r="L707" s="71" t="str">
        <f t="shared" si="260"/>
        <v/>
      </c>
      <c r="M707" s="128"/>
      <c r="N707" s="20"/>
      <c r="O707" s="68"/>
      <c r="P707" s="54"/>
      <c r="Q707" s="69">
        <f t="shared" si="256"/>
        <v>0</v>
      </c>
      <c r="R707" s="54"/>
      <c r="S707" s="70" t="str">
        <f t="shared" si="261"/>
        <v/>
      </c>
      <c r="T707" s="54"/>
      <c r="U707" s="74" t="s">
        <v>32</v>
      </c>
      <c r="V707" s="20"/>
    </row>
    <row r="708" spans="1:22" ht="15.75" customHeight="1" x14ac:dyDescent="0.25">
      <c r="A708" s="131"/>
      <c r="B708" s="125"/>
      <c r="C708" s="89"/>
      <c r="D708" s="114"/>
      <c r="E708" s="114"/>
      <c r="F708" s="66" t="str">
        <f t="shared" si="257"/>
        <v/>
      </c>
      <c r="G708" s="66"/>
      <c r="H708" s="66"/>
      <c r="I708" s="66" t="str">
        <f t="shared" si="258"/>
        <v/>
      </c>
      <c r="J708" s="66" t="str">
        <f t="shared" si="259"/>
        <v/>
      </c>
      <c r="K708" s="66" t="str">
        <f t="shared" si="255"/>
        <v/>
      </c>
      <c r="L708" s="82" t="str">
        <f t="shared" si="260"/>
        <v/>
      </c>
      <c r="M708" s="128"/>
      <c r="N708" s="20"/>
      <c r="O708" s="68"/>
      <c r="P708" s="54"/>
      <c r="Q708" s="69">
        <f t="shared" si="256"/>
        <v>0</v>
      </c>
      <c r="R708" s="54"/>
      <c r="S708" s="70" t="str">
        <f t="shared" si="261"/>
        <v/>
      </c>
      <c r="T708" s="54"/>
      <c r="U708" s="133">
        <f>IF(AND(NOT(M701=0)),U701/M701,0)</f>
        <v>0</v>
      </c>
      <c r="V708" s="20"/>
    </row>
    <row r="709" spans="1:22" ht="15.75" customHeight="1" x14ac:dyDescent="0.25">
      <c r="A709" s="131"/>
      <c r="B709" s="125"/>
      <c r="C709" s="91"/>
      <c r="D709" s="13"/>
      <c r="E709" s="13"/>
      <c r="F709" s="13" t="str">
        <f t="shared" si="257"/>
        <v/>
      </c>
      <c r="G709" s="13"/>
      <c r="H709" s="13"/>
      <c r="I709" s="13" t="str">
        <f t="shared" si="258"/>
        <v/>
      </c>
      <c r="J709" s="13" t="str">
        <f t="shared" si="259"/>
        <v/>
      </c>
      <c r="K709" s="13" t="str">
        <f t="shared" si="255"/>
        <v/>
      </c>
      <c r="L709" s="73" t="str">
        <f t="shared" si="260"/>
        <v/>
      </c>
      <c r="M709" s="128"/>
      <c r="N709" s="20"/>
      <c r="O709" s="68"/>
      <c r="P709" s="54"/>
      <c r="Q709" s="69">
        <f t="shared" si="256"/>
        <v>0</v>
      </c>
      <c r="R709" s="54"/>
      <c r="S709" s="70" t="str">
        <f t="shared" si="261"/>
        <v/>
      </c>
      <c r="T709" s="54"/>
      <c r="U709" s="134"/>
      <c r="V709" s="20"/>
    </row>
    <row r="710" spans="1:22" ht="15.75" customHeight="1" thickBot="1" x14ac:dyDescent="0.3">
      <c r="A710" s="132"/>
      <c r="B710" s="126"/>
      <c r="C710" s="95"/>
      <c r="D710" s="75"/>
      <c r="E710" s="75"/>
      <c r="F710" s="75" t="str">
        <f t="shared" si="257"/>
        <v/>
      </c>
      <c r="G710" s="75"/>
      <c r="H710" s="75"/>
      <c r="I710" s="75" t="str">
        <f t="shared" si="258"/>
        <v/>
      </c>
      <c r="J710" s="75" t="str">
        <f t="shared" si="259"/>
        <v/>
      </c>
      <c r="K710" s="75" t="str">
        <f t="shared" si="255"/>
        <v/>
      </c>
      <c r="L710" s="85" t="str">
        <f t="shared" si="260"/>
        <v/>
      </c>
      <c r="M710" s="129"/>
      <c r="N710" s="20"/>
      <c r="O710" s="76"/>
      <c r="P710" s="20"/>
      <c r="Q710" s="77">
        <f>IF(OR(O710="",L710="NO BET"),0,IF(AND(K710=O710),IF(AND(K710="T2"),ROUNDUP(H710*0.95,2)-1,ROUNDUP(G710*0.95,2)-1),-1))</f>
        <v>0</v>
      </c>
      <c r="R710" s="20"/>
      <c r="S710" s="78" t="str">
        <f t="shared" si="261"/>
        <v/>
      </c>
      <c r="T710" s="20"/>
      <c r="U710" s="135"/>
      <c r="V710" s="20"/>
    </row>
    <row r="711" spans="1:22" ht="15.75" customHeight="1" x14ac:dyDescent="0.25">
      <c r="A711" s="20"/>
      <c r="B711" s="20"/>
      <c r="C711" s="22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2"/>
      <c r="R711" s="20"/>
      <c r="S711" s="20"/>
      <c r="T711" s="20"/>
      <c r="U711" s="23"/>
      <c r="V711" s="20"/>
    </row>
    <row r="712" spans="1:22" ht="15.75" customHeight="1" x14ac:dyDescent="0.25">
      <c r="A712" s="20"/>
      <c r="B712" s="20"/>
      <c r="C712" s="22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2"/>
      <c r="R712" s="20"/>
      <c r="S712" s="20"/>
      <c r="T712" s="20"/>
      <c r="U712" s="23"/>
      <c r="V712" s="20"/>
    </row>
    <row r="713" spans="1:22" ht="15.75" customHeight="1" thickBot="1" x14ac:dyDescent="0.3">
      <c r="A713" s="20"/>
      <c r="B713" s="20"/>
      <c r="C713" s="22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2"/>
      <c r="R713" s="20"/>
      <c r="S713" s="20"/>
      <c r="T713" s="20"/>
      <c r="U713" s="23"/>
      <c r="V713" s="20"/>
    </row>
    <row r="714" spans="1:22" ht="15.75" customHeight="1" thickBot="1" x14ac:dyDescent="0.3">
      <c r="A714" s="100" t="s">
        <v>6</v>
      </c>
      <c r="B714" s="124" t="s">
        <v>27</v>
      </c>
      <c r="C714" s="239" t="s">
        <v>9</v>
      </c>
      <c r="D714" s="55" t="s">
        <v>10</v>
      </c>
      <c r="E714" s="55" t="s">
        <v>11</v>
      </c>
      <c r="F714" s="55" t="s">
        <v>12</v>
      </c>
      <c r="G714" s="55" t="s">
        <v>13</v>
      </c>
      <c r="H714" s="55" t="s">
        <v>14</v>
      </c>
      <c r="I714" s="55" t="s">
        <v>15</v>
      </c>
      <c r="J714" s="55" t="s">
        <v>16</v>
      </c>
      <c r="K714" s="55" t="s">
        <v>35</v>
      </c>
      <c r="L714" s="55" t="s">
        <v>17</v>
      </c>
      <c r="M714" s="56" t="s">
        <v>18</v>
      </c>
      <c r="N714" s="57"/>
      <c r="O714" s="58" t="s">
        <v>19</v>
      </c>
      <c r="P714" s="54"/>
      <c r="Q714" s="59" t="s">
        <v>36</v>
      </c>
      <c r="R714" s="54"/>
      <c r="S714" s="58" t="s">
        <v>37</v>
      </c>
      <c r="T714" s="54"/>
      <c r="U714" s="60" t="s">
        <v>30</v>
      </c>
      <c r="V714" s="20"/>
    </row>
    <row r="715" spans="1:22" ht="15.75" customHeight="1" x14ac:dyDescent="0.25">
      <c r="A715" s="101"/>
      <c r="B715" s="125"/>
      <c r="C715" s="233"/>
      <c r="D715" s="117"/>
      <c r="E715" s="117"/>
      <c r="F715" s="61" t="str">
        <f>IF(AND(C715=""),"",1-C715)</f>
        <v/>
      </c>
      <c r="G715" s="61"/>
      <c r="H715" s="61"/>
      <c r="I715" s="61" t="str">
        <f>IF(AND(C715=""),"",G715*C715)</f>
        <v/>
      </c>
      <c r="J715" s="61" t="str">
        <f>IF(AND(C715=""),"",H715*F715)</f>
        <v/>
      </c>
      <c r="K715" s="61" t="str">
        <f t="shared" ref="K715:K724" si="262">IF(AND(I715=""),"",IF(AND(I715&gt;J715),"T1","T2"))</f>
        <v/>
      </c>
      <c r="L715" s="62" t="str">
        <f>IF(AND(K715=""),"",IF(AND((J715*0.95-1)&lt;0,(I715*0.95-1)&lt;0),"NO BET", IF(AND(K715="T1"),I715*0.95 - 1,J715*0.95 - 1)))</f>
        <v/>
      </c>
      <c r="M715" s="127">
        <f>SUMIF(L715:L724,"&gt;0")</f>
        <v>0</v>
      </c>
      <c r="N715" s="57"/>
      <c r="O715" s="63"/>
      <c r="P715" s="57"/>
      <c r="Q715" s="64">
        <f t="shared" ref="Q715:Q723" si="263">IF(OR(O715="",L715="NO BET"),0,IF(AND(K715=O715),IF(AND(K715="T2"),ROUNDUP(H715*0.95,2)-1,ROUNDUP(G715*0.95,2)-1),-1))</f>
        <v>0</v>
      </c>
      <c r="R715" s="54"/>
      <c r="S715" s="65" t="str">
        <f>IF(AND(O715=""),"",IF(AND(C715&gt;F715),IF(AND(O715="T1"),"a","r"),IF(AND(O715="T2"),"a","r")))</f>
        <v/>
      </c>
      <c r="T715" s="54"/>
      <c r="U715" s="130">
        <f>SUM(Q715:Q724)</f>
        <v>0</v>
      </c>
      <c r="V715" s="20"/>
    </row>
    <row r="716" spans="1:22" ht="15.75" customHeight="1" x14ac:dyDescent="0.25">
      <c r="A716" s="131" t="s">
        <v>39</v>
      </c>
      <c r="B716" s="125"/>
      <c r="C716" s="234"/>
      <c r="D716" s="114"/>
      <c r="E716" s="114"/>
      <c r="F716" s="66" t="str">
        <f t="shared" ref="F716:F724" si="264">IF(AND(C716=""),"",1-C716)</f>
        <v/>
      </c>
      <c r="G716" s="66"/>
      <c r="H716" s="66"/>
      <c r="I716" s="66" t="str">
        <f t="shared" ref="I716:I724" si="265">IF(AND(C716=""),"",G716*C716)</f>
        <v/>
      </c>
      <c r="J716" s="66" t="str">
        <f t="shared" ref="J716:J724" si="266">IF(AND(C716=""),"",H716*F716)</f>
        <v/>
      </c>
      <c r="K716" s="66" t="str">
        <f t="shared" si="262"/>
        <v/>
      </c>
      <c r="L716" s="67" t="str">
        <f t="shared" ref="L716:L724" si="267">IF(AND(K716=""),"",IF(AND((J716*0.95-1)&lt;0,(I716*0.95-1)&lt;0),"NO BET", IF(AND(K716="T1"),I716*0.95 - 1,J716*0.95 - 1)))</f>
        <v/>
      </c>
      <c r="M716" s="128"/>
      <c r="N716" s="20"/>
      <c r="O716" s="68"/>
      <c r="P716" s="54"/>
      <c r="Q716" s="69">
        <f t="shared" si="263"/>
        <v>0</v>
      </c>
      <c r="R716" s="54"/>
      <c r="S716" s="70" t="str">
        <f t="shared" ref="S716:S724" si="268">IF(AND(O716=""),"",IF(AND(C716&gt;F716),IF(AND(O716="T1"),"a","r"),IF(AND(O716="T2"),"a","r")))</f>
        <v/>
      </c>
      <c r="T716" s="54"/>
      <c r="U716" s="130"/>
      <c r="V716" s="20"/>
    </row>
    <row r="717" spans="1:22" ht="15.75" customHeight="1" x14ac:dyDescent="0.25">
      <c r="A717" s="131"/>
      <c r="B717" s="125"/>
      <c r="C717" s="235"/>
      <c r="D717" s="115"/>
      <c r="E717" s="115"/>
      <c r="F717" s="13" t="str">
        <f t="shared" si="264"/>
        <v/>
      </c>
      <c r="G717" s="13"/>
      <c r="H717" s="13"/>
      <c r="I717" s="13" t="str">
        <f t="shared" si="265"/>
        <v/>
      </c>
      <c r="J717" s="13" t="str">
        <f t="shared" si="266"/>
        <v/>
      </c>
      <c r="K717" s="13" t="str">
        <f t="shared" si="262"/>
        <v/>
      </c>
      <c r="L717" s="71" t="str">
        <f t="shared" si="267"/>
        <v/>
      </c>
      <c r="M717" s="128"/>
      <c r="N717" s="57"/>
      <c r="O717" s="68"/>
      <c r="P717" s="54"/>
      <c r="Q717" s="69">
        <f t="shared" si="263"/>
        <v>0</v>
      </c>
      <c r="R717" s="54"/>
      <c r="S717" s="70" t="str">
        <f t="shared" si="268"/>
        <v/>
      </c>
      <c r="T717" s="54"/>
      <c r="U717" s="130"/>
      <c r="V717" s="20"/>
    </row>
    <row r="718" spans="1:22" ht="15.75" customHeight="1" x14ac:dyDescent="0.25">
      <c r="A718" s="131"/>
      <c r="B718" s="125"/>
      <c r="C718" s="234"/>
      <c r="D718" s="114"/>
      <c r="E718" s="114"/>
      <c r="F718" s="66" t="str">
        <f t="shared" si="264"/>
        <v/>
      </c>
      <c r="G718" s="66"/>
      <c r="H718" s="66"/>
      <c r="I718" s="66" t="str">
        <f t="shared" si="265"/>
        <v/>
      </c>
      <c r="J718" s="66" t="str">
        <f t="shared" si="266"/>
        <v/>
      </c>
      <c r="K718" s="66" t="str">
        <f t="shared" si="262"/>
        <v/>
      </c>
      <c r="L718" s="67" t="str">
        <f t="shared" si="267"/>
        <v/>
      </c>
      <c r="M718" s="128"/>
      <c r="N718" s="72"/>
      <c r="O718" s="68"/>
      <c r="P718" s="54"/>
      <c r="Q718" s="69">
        <f t="shared" si="263"/>
        <v>0</v>
      </c>
      <c r="R718" s="54"/>
      <c r="S718" s="70" t="str">
        <f t="shared" si="268"/>
        <v/>
      </c>
      <c r="T718" s="54"/>
      <c r="U718" s="130"/>
      <c r="V718" s="20"/>
    </row>
    <row r="719" spans="1:22" ht="15.75" customHeight="1" x14ac:dyDescent="0.25">
      <c r="A719" s="131"/>
      <c r="B719" s="125"/>
      <c r="C719" s="235"/>
      <c r="D719" s="115"/>
      <c r="E719" s="115"/>
      <c r="F719" s="13" t="str">
        <f t="shared" si="264"/>
        <v/>
      </c>
      <c r="G719" s="13"/>
      <c r="H719" s="13"/>
      <c r="I719" s="13" t="str">
        <f t="shared" si="265"/>
        <v/>
      </c>
      <c r="J719" s="13" t="str">
        <f t="shared" si="266"/>
        <v/>
      </c>
      <c r="K719" s="13" t="str">
        <f t="shared" si="262"/>
        <v/>
      </c>
      <c r="L719" s="73" t="str">
        <f t="shared" si="267"/>
        <v/>
      </c>
      <c r="M719" s="128"/>
      <c r="N719" s="72"/>
      <c r="O719" s="68"/>
      <c r="P719" s="54"/>
      <c r="Q719" s="69">
        <f t="shared" si="263"/>
        <v>0</v>
      </c>
      <c r="R719" s="54"/>
      <c r="S719" s="70" t="str">
        <f t="shared" si="268"/>
        <v/>
      </c>
      <c r="T719" s="54"/>
      <c r="U719" s="130"/>
      <c r="V719" s="20"/>
    </row>
    <row r="720" spans="1:22" ht="15.75" customHeight="1" x14ac:dyDescent="0.25">
      <c r="A720" s="131"/>
      <c r="B720" s="125"/>
      <c r="C720" s="234"/>
      <c r="D720" s="114"/>
      <c r="E720" s="114"/>
      <c r="F720" s="66" t="str">
        <f t="shared" si="264"/>
        <v/>
      </c>
      <c r="G720" s="66"/>
      <c r="H720" s="66"/>
      <c r="I720" s="66" t="str">
        <f t="shared" si="265"/>
        <v/>
      </c>
      <c r="J720" s="66" t="str">
        <f t="shared" si="266"/>
        <v/>
      </c>
      <c r="K720" s="66" t="str">
        <f t="shared" si="262"/>
        <v/>
      </c>
      <c r="L720" s="67" t="str">
        <f t="shared" si="267"/>
        <v/>
      </c>
      <c r="M720" s="128"/>
      <c r="N720" s="72"/>
      <c r="O720" s="68"/>
      <c r="P720" s="54"/>
      <c r="Q720" s="69">
        <f t="shared" si="263"/>
        <v>0</v>
      </c>
      <c r="R720" s="54"/>
      <c r="S720" s="70" t="str">
        <f t="shared" si="268"/>
        <v/>
      </c>
      <c r="T720" s="54"/>
      <c r="U720" s="130"/>
      <c r="V720" s="20"/>
    </row>
    <row r="721" spans="1:22" ht="15.75" customHeight="1" thickBot="1" x14ac:dyDescent="0.3">
      <c r="A721" s="131"/>
      <c r="B721" s="125"/>
      <c r="C721" s="235"/>
      <c r="D721" s="115"/>
      <c r="E721" s="115"/>
      <c r="F721" s="13" t="str">
        <f t="shared" si="264"/>
        <v/>
      </c>
      <c r="G721" s="13"/>
      <c r="H721" s="13"/>
      <c r="I721" s="13" t="str">
        <f t="shared" si="265"/>
        <v/>
      </c>
      <c r="J721" s="13" t="str">
        <f t="shared" si="266"/>
        <v/>
      </c>
      <c r="K721" s="13" t="str">
        <f t="shared" si="262"/>
        <v/>
      </c>
      <c r="L721" s="71" t="str">
        <f t="shared" si="267"/>
        <v/>
      </c>
      <c r="M721" s="128"/>
      <c r="N721" s="20"/>
      <c r="O721" s="68"/>
      <c r="P721" s="54"/>
      <c r="Q721" s="69">
        <f t="shared" si="263"/>
        <v>0</v>
      </c>
      <c r="R721" s="54"/>
      <c r="S721" s="70" t="str">
        <f t="shared" si="268"/>
        <v/>
      </c>
      <c r="T721" s="54"/>
      <c r="U721" s="74" t="s">
        <v>32</v>
      </c>
      <c r="V721" s="20"/>
    </row>
    <row r="722" spans="1:22" ht="15.75" customHeight="1" x14ac:dyDescent="0.25">
      <c r="A722" s="131"/>
      <c r="B722" s="125"/>
      <c r="C722" s="234"/>
      <c r="D722" s="114"/>
      <c r="E722" s="114"/>
      <c r="F722" s="66" t="str">
        <f t="shared" si="264"/>
        <v/>
      </c>
      <c r="G722" s="66"/>
      <c r="H722" s="66"/>
      <c r="I722" s="66" t="str">
        <f t="shared" si="265"/>
        <v/>
      </c>
      <c r="J722" s="66" t="str">
        <f t="shared" si="266"/>
        <v/>
      </c>
      <c r="K722" s="66" t="str">
        <f t="shared" si="262"/>
        <v/>
      </c>
      <c r="L722" s="82" t="str">
        <f t="shared" si="267"/>
        <v/>
      </c>
      <c r="M722" s="128"/>
      <c r="N722" s="20"/>
      <c r="O722" s="68"/>
      <c r="P722" s="54"/>
      <c r="Q722" s="69">
        <f t="shared" si="263"/>
        <v>0</v>
      </c>
      <c r="R722" s="54"/>
      <c r="S722" s="70" t="str">
        <f t="shared" si="268"/>
        <v/>
      </c>
      <c r="T722" s="54"/>
      <c r="U722" s="133">
        <f>IF(AND(NOT(M715=0)),U715/M715,0)</f>
        <v>0</v>
      </c>
      <c r="V722" s="20"/>
    </row>
    <row r="723" spans="1:22" ht="15.75" customHeight="1" x14ac:dyDescent="0.25">
      <c r="A723" s="131"/>
      <c r="B723" s="125"/>
      <c r="C723" s="235"/>
      <c r="D723" s="13"/>
      <c r="E723" s="13"/>
      <c r="F723" s="13" t="str">
        <f t="shared" si="264"/>
        <v/>
      </c>
      <c r="G723" s="13"/>
      <c r="H723" s="13"/>
      <c r="I723" s="13" t="str">
        <f t="shared" si="265"/>
        <v/>
      </c>
      <c r="J723" s="13" t="str">
        <f t="shared" si="266"/>
        <v/>
      </c>
      <c r="K723" s="13" t="str">
        <f t="shared" si="262"/>
        <v/>
      </c>
      <c r="L723" s="73" t="str">
        <f t="shared" si="267"/>
        <v/>
      </c>
      <c r="M723" s="128"/>
      <c r="N723" s="20"/>
      <c r="O723" s="68"/>
      <c r="P723" s="54"/>
      <c r="Q723" s="69">
        <f t="shared" si="263"/>
        <v>0</v>
      </c>
      <c r="R723" s="54"/>
      <c r="S723" s="70" t="str">
        <f t="shared" si="268"/>
        <v/>
      </c>
      <c r="T723" s="54"/>
      <c r="U723" s="134"/>
      <c r="V723" s="20"/>
    </row>
    <row r="724" spans="1:22" ht="15.75" customHeight="1" thickBot="1" x14ac:dyDescent="0.3">
      <c r="A724" s="132"/>
      <c r="B724" s="126"/>
      <c r="C724" s="236"/>
      <c r="D724" s="75"/>
      <c r="E724" s="75"/>
      <c r="F724" s="75" t="str">
        <f t="shared" si="264"/>
        <v/>
      </c>
      <c r="G724" s="75"/>
      <c r="H724" s="75"/>
      <c r="I724" s="75" t="str">
        <f t="shared" si="265"/>
        <v/>
      </c>
      <c r="J724" s="75" t="str">
        <f t="shared" si="266"/>
        <v/>
      </c>
      <c r="K724" s="75" t="str">
        <f t="shared" si="262"/>
        <v/>
      </c>
      <c r="L724" s="85" t="str">
        <f t="shared" si="267"/>
        <v/>
      </c>
      <c r="M724" s="129"/>
      <c r="N724" s="20"/>
      <c r="O724" s="76"/>
      <c r="P724" s="20"/>
      <c r="Q724" s="77">
        <f>IF(OR(O724="",L724="NO BET"),0,IF(AND(K724=O724),IF(AND(K724="T2"),ROUNDUP(H724*0.95,2)-1,ROUNDUP(G724*0.95,2)-1),-1))</f>
        <v>0</v>
      </c>
      <c r="R724" s="20"/>
      <c r="S724" s="78" t="str">
        <f t="shared" si="268"/>
        <v/>
      </c>
      <c r="T724" s="20"/>
      <c r="U724" s="135"/>
      <c r="V724" s="20"/>
    </row>
    <row r="725" spans="1:22" ht="15.75" customHeight="1" x14ac:dyDescent="0.25">
      <c r="A725" s="20"/>
      <c r="B725" s="20"/>
      <c r="C725" s="22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2"/>
      <c r="R725" s="20"/>
      <c r="S725" s="20"/>
      <c r="T725" s="20"/>
      <c r="U725" s="23"/>
      <c r="V725" s="20"/>
    </row>
    <row r="726" spans="1:22" ht="15.75" customHeight="1" x14ac:dyDescent="0.25">
      <c r="A726" s="20"/>
      <c r="B726" s="20"/>
      <c r="C726" s="22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2"/>
      <c r="R726" s="20"/>
      <c r="S726" s="20"/>
      <c r="T726" s="20"/>
      <c r="U726" s="23"/>
      <c r="V726" s="20"/>
    </row>
    <row r="727" spans="1:22" ht="15.75" customHeight="1" thickBot="1" x14ac:dyDescent="0.3">
      <c r="A727" s="20"/>
      <c r="B727" s="20"/>
      <c r="C727" s="22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2"/>
      <c r="R727" s="20"/>
      <c r="S727" s="20"/>
      <c r="T727" s="20"/>
      <c r="U727" s="23"/>
      <c r="V727" s="20"/>
    </row>
    <row r="728" spans="1:22" ht="15.75" customHeight="1" thickBot="1" x14ac:dyDescent="0.3">
      <c r="A728" s="100" t="s">
        <v>6</v>
      </c>
      <c r="B728" s="124" t="s">
        <v>28</v>
      </c>
      <c r="C728" s="239" t="s">
        <v>9</v>
      </c>
      <c r="D728" s="55" t="s">
        <v>10</v>
      </c>
      <c r="E728" s="55" t="s">
        <v>11</v>
      </c>
      <c r="F728" s="55" t="s">
        <v>12</v>
      </c>
      <c r="G728" s="55" t="s">
        <v>13</v>
      </c>
      <c r="H728" s="55" t="s">
        <v>14</v>
      </c>
      <c r="I728" s="55" t="s">
        <v>15</v>
      </c>
      <c r="J728" s="55" t="s">
        <v>16</v>
      </c>
      <c r="K728" s="55" t="s">
        <v>35</v>
      </c>
      <c r="L728" s="55" t="s">
        <v>17</v>
      </c>
      <c r="M728" s="56" t="s">
        <v>18</v>
      </c>
      <c r="N728" s="57"/>
      <c r="O728" s="58" t="s">
        <v>19</v>
      </c>
      <c r="P728" s="54"/>
      <c r="Q728" s="59" t="s">
        <v>36</v>
      </c>
      <c r="R728" s="54"/>
      <c r="S728" s="58" t="s">
        <v>37</v>
      </c>
      <c r="T728" s="54"/>
      <c r="U728" s="60" t="s">
        <v>30</v>
      </c>
      <c r="V728" s="20"/>
    </row>
    <row r="729" spans="1:22" ht="15.75" customHeight="1" x14ac:dyDescent="0.25">
      <c r="A729" s="101"/>
      <c r="B729" s="125"/>
      <c r="C729" s="233"/>
      <c r="D729" s="117"/>
      <c r="E729" s="117"/>
      <c r="F729" s="61" t="str">
        <f>IF(AND(C729=""),"",1-C729)</f>
        <v/>
      </c>
      <c r="G729" s="61"/>
      <c r="H729" s="61"/>
      <c r="I729" s="61" t="str">
        <f>IF(AND(C729=""),"",G729*C729)</f>
        <v/>
      </c>
      <c r="J729" s="61" t="str">
        <f>IF(AND(C729=""),"",H729*F729)</f>
        <v/>
      </c>
      <c r="K729" s="61" t="str">
        <f t="shared" ref="K729:K738" si="269">IF(AND(I729=""),"",IF(AND(I729&gt;J729),"T1","T2"))</f>
        <v/>
      </c>
      <c r="L729" s="62" t="str">
        <f>IF(AND(K729=""),"",IF(AND((J729*0.95-1)&lt;0,(I729*0.95-1)&lt;0),"NO BET", IF(AND(K729="T1"),I729*0.95 - 1,J729*0.95 - 1)))</f>
        <v/>
      </c>
      <c r="M729" s="127">
        <f>SUMIF(L729:L738,"&gt;0")</f>
        <v>0</v>
      </c>
      <c r="N729" s="57"/>
      <c r="O729" s="63"/>
      <c r="P729" s="57"/>
      <c r="Q729" s="64">
        <f t="shared" ref="Q729:Q737" si="270">IF(OR(O729="",L729="NO BET"),0,IF(AND(K729=O729),IF(AND(K729="T2"),ROUNDUP(H729*0.95,2)-1,ROUNDUP(G729*0.95,2)-1),-1))</f>
        <v>0</v>
      </c>
      <c r="R729" s="54"/>
      <c r="S729" s="65" t="str">
        <f>IF(AND(O729=""),"",IF(AND(C729&gt;F729),IF(AND(O729="T1"),"a","r"),IF(AND(O729="T2"),"a","r")))</f>
        <v/>
      </c>
      <c r="T729" s="54"/>
      <c r="U729" s="130">
        <f>SUM(Q729:Q738)</f>
        <v>0</v>
      </c>
      <c r="V729" s="20"/>
    </row>
    <row r="730" spans="1:22" ht="15.75" customHeight="1" x14ac:dyDescent="0.25">
      <c r="A730" s="131" t="s">
        <v>39</v>
      </c>
      <c r="B730" s="125"/>
      <c r="C730" s="234"/>
      <c r="D730" s="114"/>
      <c r="E730" s="114"/>
      <c r="F730" s="66" t="str">
        <f t="shared" ref="F730:F738" si="271">IF(AND(C730=""),"",1-C730)</f>
        <v/>
      </c>
      <c r="G730" s="66"/>
      <c r="H730" s="66"/>
      <c r="I730" s="66" t="str">
        <f t="shared" ref="I730:I738" si="272">IF(AND(C730=""),"",G730*C730)</f>
        <v/>
      </c>
      <c r="J730" s="66" t="str">
        <f t="shared" ref="J730:J738" si="273">IF(AND(C730=""),"",H730*F730)</f>
        <v/>
      </c>
      <c r="K730" s="66" t="str">
        <f t="shared" si="269"/>
        <v/>
      </c>
      <c r="L730" s="67" t="str">
        <f t="shared" ref="L730:L738" si="274">IF(AND(K730=""),"",IF(AND((J730*0.95-1)&lt;0,(I730*0.95-1)&lt;0),"NO BET", IF(AND(K730="T1"),I730*0.95 - 1,J730*0.95 - 1)))</f>
        <v/>
      </c>
      <c r="M730" s="128"/>
      <c r="N730" s="20"/>
      <c r="O730" s="68"/>
      <c r="P730" s="54"/>
      <c r="Q730" s="69">
        <f t="shared" si="270"/>
        <v>0</v>
      </c>
      <c r="R730" s="54"/>
      <c r="S730" s="70" t="str">
        <f t="shared" ref="S730:S738" si="275">IF(AND(O730=""),"",IF(AND(C730&gt;F730),IF(AND(O730="T1"),"a","r"),IF(AND(O730="T2"),"a","r")))</f>
        <v/>
      </c>
      <c r="T730" s="54"/>
      <c r="U730" s="130"/>
      <c r="V730" s="20"/>
    </row>
    <row r="731" spans="1:22" ht="15.75" customHeight="1" x14ac:dyDescent="0.25">
      <c r="A731" s="131"/>
      <c r="B731" s="125"/>
      <c r="C731" s="235"/>
      <c r="D731" s="115"/>
      <c r="E731" s="115"/>
      <c r="F731" s="13" t="str">
        <f t="shared" si="271"/>
        <v/>
      </c>
      <c r="G731" s="13"/>
      <c r="H731" s="13"/>
      <c r="I731" s="13" t="str">
        <f t="shared" si="272"/>
        <v/>
      </c>
      <c r="J731" s="13" t="str">
        <f t="shared" si="273"/>
        <v/>
      </c>
      <c r="K731" s="13" t="str">
        <f t="shared" si="269"/>
        <v/>
      </c>
      <c r="L731" s="71" t="str">
        <f t="shared" si="274"/>
        <v/>
      </c>
      <c r="M731" s="128"/>
      <c r="N731" s="57"/>
      <c r="O731" s="68"/>
      <c r="P731" s="54"/>
      <c r="Q731" s="69">
        <f t="shared" si="270"/>
        <v>0</v>
      </c>
      <c r="R731" s="54"/>
      <c r="S731" s="70" t="str">
        <f t="shared" si="275"/>
        <v/>
      </c>
      <c r="T731" s="54"/>
      <c r="U731" s="130"/>
      <c r="V731" s="20"/>
    </row>
    <row r="732" spans="1:22" ht="15.75" customHeight="1" x14ac:dyDescent="0.25">
      <c r="A732" s="131"/>
      <c r="B732" s="125"/>
      <c r="C732" s="234"/>
      <c r="D732" s="114"/>
      <c r="E732" s="114"/>
      <c r="F732" s="66" t="str">
        <f t="shared" si="271"/>
        <v/>
      </c>
      <c r="G732" s="66"/>
      <c r="H732" s="66"/>
      <c r="I732" s="66" t="str">
        <f t="shared" si="272"/>
        <v/>
      </c>
      <c r="J732" s="66" t="str">
        <f t="shared" si="273"/>
        <v/>
      </c>
      <c r="K732" s="66" t="str">
        <f t="shared" si="269"/>
        <v/>
      </c>
      <c r="L732" s="67" t="str">
        <f t="shared" si="274"/>
        <v/>
      </c>
      <c r="M732" s="128"/>
      <c r="N732" s="72"/>
      <c r="O732" s="68"/>
      <c r="P732" s="54"/>
      <c r="Q732" s="69">
        <f t="shared" si="270"/>
        <v>0</v>
      </c>
      <c r="R732" s="54"/>
      <c r="S732" s="70" t="str">
        <f t="shared" si="275"/>
        <v/>
      </c>
      <c r="T732" s="54"/>
      <c r="U732" s="130"/>
      <c r="V732" s="20"/>
    </row>
    <row r="733" spans="1:22" ht="15.75" customHeight="1" x14ac:dyDescent="0.25">
      <c r="A733" s="131"/>
      <c r="B733" s="125"/>
      <c r="C733" s="235"/>
      <c r="D733" s="115"/>
      <c r="E733" s="115"/>
      <c r="F733" s="13" t="str">
        <f t="shared" si="271"/>
        <v/>
      </c>
      <c r="G733" s="13"/>
      <c r="H733" s="13"/>
      <c r="I733" s="13" t="str">
        <f t="shared" si="272"/>
        <v/>
      </c>
      <c r="J733" s="13" t="str">
        <f t="shared" si="273"/>
        <v/>
      </c>
      <c r="K733" s="13" t="str">
        <f t="shared" si="269"/>
        <v/>
      </c>
      <c r="L733" s="73" t="str">
        <f t="shared" si="274"/>
        <v/>
      </c>
      <c r="M733" s="128"/>
      <c r="N733" s="72"/>
      <c r="O733" s="68"/>
      <c r="P733" s="54"/>
      <c r="Q733" s="69">
        <f t="shared" si="270"/>
        <v>0</v>
      </c>
      <c r="R733" s="54"/>
      <c r="S733" s="70" t="str">
        <f t="shared" si="275"/>
        <v/>
      </c>
      <c r="T733" s="54"/>
      <c r="U733" s="130"/>
      <c r="V733" s="20"/>
    </row>
    <row r="734" spans="1:22" ht="15.75" customHeight="1" x14ac:dyDescent="0.25">
      <c r="A734" s="131"/>
      <c r="B734" s="125"/>
      <c r="C734" s="234"/>
      <c r="D734" s="114"/>
      <c r="E734" s="114"/>
      <c r="F734" s="66" t="str">
        <f t="shared" si="271"/>
        <v/>
      </c>
      <c r="G734" s="66"/>
      <c r="H734" s="66"/>
      <c r="I734" s="66" t="str">
        <f t="shared" si="272"/>
        <v/>
      </c>
      <c r="J734" s="66" t="str">
        <f t="shared" si="273"/>
        <v/>
      </c>
      <c r="K734" s="66" t="str">
        <f t="shared" si="269"/>
        <v/>
      </c>
      <c r="L734" s="67" t="str">
        <f t="shared" si="274"/>
        <v/>
      </c>
      <c r="M734" s="128"/>
      <c r="N734" s="72"/>
      <c r="O734" s="68"/>
      <c r="P734" s="54"/>
      <c r="Q734" s="69">
        <f t="shared" si="270"/>
        <v>0</v>
      </c>
      <c r="R734" s="54"/>
      <c r="S734" s="70" t="str">
        <f t="shared" si="275"/>
        <v/>
      </c>
      <c r="T734" s="54"/>
      <c r="U734" s="130"/>
      <c r="V734" s="20"/>
    </row>
    <row r="735" spans="1:22" ht="15.75" customHeight="1" thickBot="1" x14ac:dyDescent="0.3">
      <c r="A735" s="131"/>
      <c r="B735" s="125"/>
      <c r="C735" s="235"/>
      <c r="D735" s="115"/>
      <c r="E735" s="115"/>
      <c r="F735" s="13" t="str">
        <f t="shared" si="271"/>
        <v/>
      </c>
      <c r="G735" s="13"/>
      <c r="H735" s="13"/>
      <c r="I735" s="13" t="str">
        <f t="shared" si="272"/>
        <v/>
      </c>
      <c r="J735" s="13" t="str">
        <f t="shared" si="273"/>
        <v/>
      </c>
      <c r="K735" s="13" t="str">
        <f t="shared" si="269"/>
        <v/>
      </c>
      <c r="L735" s="71" t="str">
        <f t="shared" si="274"/>
        <v/>
      </c>
      <c r="M735" s="128"/>
      <c r="N735" s="20"/>
      <c r="O735" s="68"/>
      <c r="P735" s="54"/>
      <c r="Q735" s="69">
        <f t="shared" si="270"/>
        <v>0</v>
      </c>
      <c r="R735" s="54"/>
      <c r="S735" s="70" t="str">
        <f t="shared" si="275"/>
        <v/>
      </c>
      <c r="T735" s="54"/>
      <c r="U735" s="74" t="s">
        <v>32</v>
      </c>
      <c r="V735" s="20"/>
    </row>
    <row r="736" spans="1:22" ht="15.75" customHeight="1" x14ac:dyDescent="0.25">
      <c r="A736" s="131"/>
      <c r="B736" s="125"/>
      <c r="C736" s="234"/>
      <c r="D736" s="114"/>
      <c r="E736" s="114"/>
      <c r="F736" s="66" t="str">
        <f t="shared" si="271"/>
        <v/>
      </c>
      <c r="G736" s="66"/>
      <c r="H736" s="66"/>
      <c r="I736" s="66" t="str">
        <f t="shared" si="272"/>
        <v/>
      </c>
      <c r="J736" s="66" t="str">
        <f t="shared" si="273"/>
        <v/>
      </c>
      <c r="K736" s="66" t="str">
        <f t="shared" si="269"/>
        <v/>
      </c>
      <c r="L736" s="82" t="str">
        <f t="shared" si="274"/>
        <v/>
      </c>
      <c r="M736" s="128"/>
      <c r="N736" s="20"/>
      <c r="O736" s="68"/>
      <c r="P736" s="54"/>
      <c r="Q736" s="69">
        <f t="shared" si="270"/>
        <v>0</v>
      </c>
      <c r="R736" s="54"/>
      <c r="S736" s="70" t="str">
        <f t="shared" si="275"/>
        <v/>
      </c>
      <c r="T736" s="54"/>
      <c r="U736" s="133">
        <f>IF(AND(NOT(M729=0)),U729/M729,0)</f>
        <v>0</v>
      </c>
      <c r="V736" s="20"/>
    </row>
    <row r="737" spans="1:22" ht="15.75" customHeight="1" x14ac:dyDescent="0.25">
      <c r="A737" s="131"/>
      <c r="B737" s="125"/>
      <c r="C737" s="235"/>
      <c r="D737" s="115"/>
      <c r="E737" s="115"/>
      <c r="F737" s="13" t="str">
        <f t="shared" si="271"/>
        <v/>
      </c>
      <c r="G737" s="13"/>
      <c r="H737" s="13"/>
      <c r="I737" s="13" t="str">
        <f t="shared" si="272"/>
        <v/>
      </c>
      <c r="J737" s="13" t="str">
        <f t="shared" si="273"/>
        <v/>
      </c>
      <c r="K737" s="13" t="str">
        <f t="shared" si="269"/>
        <v/>
      </c>
      <c r="L737" s="73" t="str">
        <f t="shared" si="274"/>
        <v/>
      </c>
      <c r="M737" s="128"/>
      <c r="N737" s="20"/>
      <c r="O737" s="68"/>
      <c r="P737" s="54"/>
      <c r="Q737" s="69">
        <f t="shared" si="270"/>
        <v>0</v>
      </c>
      <c r="R737" s="54"/>
      <c r="S737" s="70" t="str">
        <f t="shared" si="275"/>
        <v/>
      </c>
      <c r="T737" s="54"/>
      <c r="U737" s="134"/>
      <c r="V737" s="20"/>
    </row>
    <row r="738" spans="1:22" ht="15.75" customHeight="1" thickBot="1" x14ac:dyDescent="0.3">
      <c r="A738" s="132"/>
      <c r="B738" s="126"/>
      <c r="C738" s="236"/>
      <c r="D738" s="75"/>
      <c r="E738" s="75"/>
      <c r="F738" s="75" t="str">
        <f t="shared" si="271"/>
        <v/>
      </c>
      <c r="G738" s="75"/>
      <c r="H738" s="75"/>
      <c r="I738" s="75" t="str">
        <f t="shared" si="272"/>
        <v/>
      </c>
      <c r="J738" s="75" t="str">
        <f t="shared" si="273"/>
        <v/>
      </c>
      <c r="K738" s="75" t="str">
        <f t="shared" si="269"/>
        <v/>
      </c>
      <c r="L738" s="85" t="str">
        <f t="shared" si="274"/>
        <v/>
      </c>
      <c r="M738" s="129"/>
      <c r="N738" s="20"/>
      <c r="O738" s="76"/>
      <c r="P738" s="20"/>
      <c r="Q738" s="77">
        <f>IF(OR(O738="",L738="NO BET"),0,IF(AND(K738=O738),IF(AND(K738="T2"),ROUNDUP(H738*0.95,2)-1,ROUNDUP(G738*0.95,2)-1),-1))</f>
        <v>0</v>
      </c>
      <c r="R738" s="20"/>
      <c r="S738" s="78" t="str">
        <f t="shared" si="275"/>
        <v/>
      </c>
      <c r="T738" s="20"/>
      <c r="U738" s="135"/>
      <c r="V738" s="20"/>
    </row>
    <row r="739" spans="1:22" ht="15.75" customHeight="1" x14ac:dyDescent="0.25">
      <c r="A739" s="20"/>
      <c r="B739" s="20"/>
      <c r="C739" s="22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2"/>
      <c r="R739" s="20"/>
      <c r="S739" s="20"/>
      <c r="T739" s="20"/>
      <c r="U739" s="23"/>
      <c r="V739" s="20"/>
    </row>
    <row r="740" spans="1:22" ht="15.75" customHeight="1" x14ac:dyDescent="0.25">
      <c r="A740" s="20"/>
      <c r="B740" s="20"/>
      <c r="C740" s="22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2"/>
      <c r="R740" s="20"/>
      <c r="S740" s="20"/>
      <c r="T740" s="20"/>
      <c r="U740" s="23"/>
      <c r="V740" s="20"/>
    </row>
    <row r="741" spans="1:22" ht="15.75" customHeight="1" thickBot="1" x14ac:dyDescent="0.3">
      <c r="A741" s="20"/>
      <c r="B741" s="20"/>
      <c r="C741" s="22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2"/>
      <c r="R741" s="20"/>
      <c r="S741" s="20"/>
      <c r="T741" s="20"/>
      <c r="U741" s="23"/>
      <c r="V741" s="20"/>
    </row>
    <row r="742" spans="1:22" ht="15.75" customHeight="1" thickBot="1" x14ac:dyDescent="0.3">
      <c r="A742" s="100" t="s">
        <v>6</v>
      </c>
      <c r="B742" s="124" t="s">
        <v>29</v>
      </c>
      <c r="C742" s="239" t="s">
        <v>9</v>
      </c>
      <c r="D742" s="55" t="s">
        <v>10</v>
      </c>
      <c r="E742" s="55" t="s">
        <v>11</v>
      </c>
      <c r="F742" s="55" t="s">
        <v>12</v>
      </c>
      <c r="G742" s="55" t="s">
        <v>13</v>
      </c>
      <c r="H742" s="55" t="s">
        <v>14</v>
      </c>
      <c r="I742" s="55" t="s">
        <v>15</v>
      </c>
      <c r="J742" s="55" t="s">
        <v>16</v>
      </c>
      <c r="K742" s="55" t="s">
        <v>35</v>
      </c>
      <c r="L742" s="55" t="s">
        <v>17</v>
      </c>
      <c r="M742" s="56" t="s">
        <v>18</v>
      </c>
      <c r="N742" s="57"/>
      <c r="O742" s="58" t="s">
        <v>19</v>
      </c>
      <c r="P742" s="54"/>
      <c r="Q742" s="59" t="s">
        <v>36</v>
      </c>
      <c r="R742" s="54"/>
      <c r="S742" s="58" t="s">
        <v>37</v>
      </c>
      <c r="T742" s="54"/>
      <c r="U742" s="60" t="s">
        <v>30</v>
      </c>
      <c r="V742" s="20"/>
    </row>
    <row r="743" spans="1:22" ht="15.75" customHeight="1" x14ac:dyDescent="0.25">
      <c r="A743" s="101"/>
      <c r="B743" s="125"/>
      <c r="C743" s="233"/>
      <c r="D743" s="61"/>
      <c r="E743" s="61"/>
      <c r="F743" s="61" t="str">
        <f>IF(AND(C743=""),"",1-C743)</f>
        <v/>
      </c>
      <c r="G743" s="61"/>
      <c r="H743" s="61"/>
      <c r="I743" s="61" t="str">
        <f>IF(AND(C743=""),"",G743*C743)</f>
        <v/>
      </c>
      <c r="J743" s="61" t="str">
        <f>IF(AND(C743=""),"",H743*F743)</f>
        <v/>
      </c>
      <c r="K743" s="61" t="str">
        <f t="shared" ref="K743:K752" si="276">IF(AND(I743=""),"",IF(AND(I743&gt;J743),"T1","T2"))</f>
        <v/>
      </c>
      <c r="L743" s="62" t="str">
        <f>IF(AND(K743=""),"",IF(AND((J743*0.95-1)&lt;0,(I743*0.95-1)&lt;0),"NO BET", IF(AND(K743="T1"),I743*0.95 - 1,J743*0.95 - 1)))</f>
        <v/>
      </c>
      <c r="M743" s="127">
        <f>SUMIF(L743:L752,"&gt;0")</f>
        <v>0</v>
      </c>
      <c r="N743" s="57"/>
      <c r="O743" s="63"/>
      <c r="P743" s="57"/>
      <c r="Q743" s="64">
        <f t="shared" ref="Q743:Q751" si="277">IF(OR(O743="",L743="NO BET"),0,IF(AND(K743=O743),IF(AND(K743="T2"),ROUNDUP(H743*0.95,2)-1,ROUNDUP(G743*0.95,2)-1),-1))</f>
        <v>0</v>
      </c>
      <c r="R743" s="54"/>
      <c r="S743" s="65" t="str">
        <f>IF(AND(O743=""),"",IF(AND(C743&gt;F743),IF(AND(O743="T1"),"a","r"),IF(AND(O743="T2"),"a","r")))</f>
        <v/>
      </c>
      <c r="T743" s="54"/>
      <c r="U743" s="130">
        <f>SUM(Q743:Q752)</f>
        <v>0</v>
      </c>
      <c r="V743" s="20"/>
    </row>
    <row r="744" spans="1:22" ht="15.75" customHeight="1" x14ac:dyDescent="0.25">
      <c r="A744" s="131" t="s">
        <v>39</v>
      </c>
      <c r="B744" s="125"/>
      <c r="C744" s="234"/>
      <c r="D744" s="66"/>
      <c r="E744" s="66"/>
      <c r="F744" s="66" t="str">
        <f t="shared" ref="F744:F752" si="278">IF(AND(C744=""),"",1-C744)</f>
        <v/>
      </c>
      <c r="G744" s="66"/>
      <c r="H744" s="66"/>
      <c r="I744" s="66" t="str">
        <f t="shared" ref="I744:I752" si="279">IF(AND(C744=""),"",G744*C744)</f>
        <v/>
      </c>
      <c r="J744" s="66" t="str">
        <f t="shared" ref="J744:J752" si="280">IF(AND(C744=""),"",H744*F744)</f>
        <v/>
      </c>
      <c r="K744" s="66" t="str">
        <f t="shared" si="276"/>
        <v/>
      </c>
      <c r="L744" s="67" t="str">
        <f t="shared" ref="L744:L752" si="281">IF(AND(K744=""),"",IF(AND((J744*0.95-1)&lt;0,(I744*0.95-1)&lt;0),"NO BET", IF(AND(K744="T1"),I744*0.95 - 1,J744*0.95 - 1)))</f>
        <v/>
      </c>
      <c r="M744" s="128"/>
      <c r="N744" s="20"/>
      <c r="O744" s="68"/>
      <c r="P744" s="54"/>
      <c r="Q744" s="69">
        <f t="shared" si="277"/>
        <v>0</v>
      </c>
      <c r="R744" s="54"/>
      <c r="S744" s="70" t="str">
        <f t="shared" ref="S744:S752" si="282">IF(AND(O744=""),"",IF(AND(C744&gt;F744),IF(AND(O744="T1"),"a","r"),IF(AND(O744="T2"),"a","r")))</f>
        <v/>
      </c>
      <c r="T744" s="54"/>
      <c r="U744" s="130"/>
      <c r="V744" s="20"/>
    </row>
    <row r="745" spans="1:22" ht="15.75" customHeight="1" x14ac:dyDescent="0.25">
      <c r="A745" s="131"/>
      <c r="B745" s="125"/>
      <c r="C745" s="235"/>
      <c r="D745" s="13"/>
      <c r="E745" s="13"/>
      <c r="F745" s="13" t="str">
        <f t="shared" si="278"/>
        <v/>
      </c>
      <c r="G745" s="13"/>
      <c r="H745" s="13"/>
      <c r="I745" s="13" t="str">
        <f t="shared" si="279"/>
        <v/>
      </c>
      <c r="J745" s="13" t="str">
        <f t="shared" si="280"/>
        <v/>
      </c>
      <c r="K745" s="13" t="str">
        <f t="shared" si="276"/>
        <v/>
      </c>
      <c r="L745" s="71" t="str">
        <f t="shared" si="281"/>
        <v/>
      </c>
      <c r="M745" s="128"/>
      <c r="N745" s="57"/>
      <c r="O745" s="68"/>
      <c r="P745" s="54"/>
      <c r="Q745" s="69">
        <f t="shared" si="277"/>
        <v>0</v>
      </c>
      <c r="R745" s="54"/>
      <c r="S745" s="70" t="str">
        <f t="shared" si="282"/>
        <v/>
      </c>
      <c r="T745" s="54"/>
      <c r="U745" s="130"/>
      <c r="V745" s="20"/>
    </row>
    <row r="746" spans="1:22" ht="15.75" customHeight="1" x14ac:dyDescent="0.25">
      <c r="A746" s="131"/>
      <c r="B746" s="125"/>
      <c r="C746" s="234"/>
      <c r="D746" s="66"/>
      <c r="E746" s="66"/>
      <c r="F746" s="66" t="str">
        <f t="shared" si="278"/>
        <v/>
      </c>
      <c r="G746" s="66"/>
      <c r="H746" s="66"/>
      <c r="I746" s="66" t="str">
        <f t="shared" si="279"/>
        <v/>
      </c>
      <c r="J746" s="66" t="str">
        <f t="shared" si="280"/>
        <v/>
      </c>
      <c r="K746" s="66" t="str">
        <f t="shared" si="276"/>
        <v/>
      </c>
      <c r="L746" s="67" t="str">
        <f t="shared" si="281"/>
        <v/>
      </c>
      <c r="M746" s="128"/>
      <c r="N746" s="72"/>
      <c r="O746" s="68"/>
      <c r="P746" s="54"/>
      <c r="Q746" s="69">
        <f t="shared" si="277"/>
        <v>0</v>
      </c>
      <c r="R746" s="54"/>
      <c r="S746" s="70" t="str">
        <f t="shared" si="282"/>
        <v/>
      </c>
      <c r="T746" s="54"/>
      <c r="U746" s="130"/>
      <c r="V746" s="20"/>
    </row>
    <row r="747" spans="1:22" ht="15.75" customHeight="1" x14ac:dyDescent="0.25">
      <c r="A747" s="131"/>
      <c r="B747" s="125"/>
      <c r="C747" s="235"/>
      <c r="D747" s="13"/>
      <c r="E747" s="13"/>
      <c r="F747" s="13" t="str">
        <f t="shared" si="278"/>
        <v/>
      </c>
      <c r="G747" s="13"/>
      <c r="H747" s="13"/>
      <c r="I747" s="13" t="str">
        <f t="shared" si="279"/>
        <v/>
      </c>
      <c r="J747" s="13" t="str">
        <f t="shared" si="280"/>
        <v/>
      </c>
      <c r="K747" s="13" t="str">
        <f t="shared" si="276"/>
        <v/>
      </c>
      <c r="L747" s="73" t="str">
        <f t="shared" si="281"/>
        <v/>
      </c>
      <c r="M747" s="128"/>
      <c r="N747" s="72"/>
      <c r="O747" s="68"/>
      <c r="P747" s="54"/>
      <c r="Q747" s="69">
        <f t="shared" si="277"/>
        <v>0</v>
      </c>
      <c r="R747" s="54"/>
      <c r="S747" s="70" t="str">
        <f t="shared" si="282"/>
        <v/>
      </c>
      <c r="T747" s="54"/>
      <c r="U747" s="130"/>
      <c r="V747" s="20"/>
    </row>
    <row r="748" spans="1:22" ht="15.75" customHeight="1" x14ac:dyDescent="0.25">
      <c r="A748" s="131"/>
      <c r="B748" s="125"/>
      <c r="C748" s="234"/>
      <c r="D748" s="66"/>
      <c r="E748" s="66"/>
      <c r="F748" s="66" t="str">
        <f t="shared" si="278"/>
        <v/>
      </c>
      <c r="G748" s="66"/>
      <c r="H748" s="66"/>
      <c r="I748" s="66" t="str">
        <f t="shared" si="279"/>
        <v/>
      </c>
      <c r="J748" s="66" t="str">
        <f t="shared" si="280"/>
        <v/>
      </c>
      <c r="K748" s="66" t="str">
        <f t="shared" si="276"/>
        <v/>
      </c>
      <c r="L748" s="67" t="str">
        <f t="shared" si="281"/>
        <v/>
      </c>
      <c r="M748" s="128"/>
      <c r="N748" s="72"/>
      <c r="O748" s="68"/>
      <c r="P748" s="54"/>
      <c r="Q748" s="69">
        <f t="shared" si="277"/>
        <v>0</v>
      </c>
      <c r="R748" s="54"/>
      <c r="S748" s="70" t="str">
        <f t="shared" si="282"/>
        <v/>
      </c>
      <c r="T748" s="54"/>
      <c r="U748" s="130"/>
      <c r="V748" s="20"/>
    </row>
    <row r="749" spans="1:22" ht="15.75" customHeight="1" thickBot="1" x14ac:dyDescent="0.3">
      <c r="A749" s="131"/>
      <c r="B749" s="125"/>
      <c r="C749" s="235"/>
      <c r="D749" s="13"/>
      <c r="E749" s="13"/>
      <c r="F749" s="13" t="str">
        <f t="shared" si="278"/>
        <v/>
      </c>
      <c r="G749" s="13"/>
      <c r="H749" s="13"/>
      <c r="I749" s="13" t="str">
        <f t="shared" si="279"/>
        <v/>
      </c>
      <c r="J749" s="13" t="str">
        <f t="shared" si="280"/>
        <v/>
      </c>
      <c r="K749" s="13" t="str">
        <f t="shared" si="276"/>
        <v/>
      </c>
      <c r="L749" s="71" t="str">
        <f t="shared" si="281"/>
        <v/>
      </c>
      <c r="M749" s="128"/>
      <c r="N749" s="20"/>
      <c r="O749" s="68"/>
      <c r="P749" s="54"/>
      <c r="Q749" s="69">
        <f t="shared" si="277"/>
        <v>0</v>
      </c>
      <c r="R749" s="54"/>
      <c r="S749" s="70" t="str">
        <f t="shared" si="282"/>
        <v/>
      </c>
      <c r="T749" s="54"/>
      <c r="U749" s="74" t="s">
        <v>32</v>
      </c>
      <c r="V749" s="20"/>
    </row>
    <row r="750" spans="1:22" ht="15.75" customHeight="1" x14ac:dyDescent="0.25">
      <c r="A750" s="131"/>
      <c r="B750" s="125"/>
      <c r="C750" s="234"/>
      <c r="D750" s="66"/>
      <c r="E750" s="66"/>
      <c r="F750" s="66" t="str">
        <f t="shared" si="278"/>
        <v/>
      </c>
      <c r="G750" s="66"/>
      <c r="H750" s="66"/>
      <c r="I750" s="66" t="str">
        <f t="shared" si="279"/>
        <v/>
      </c>
      <c r="J750" s="66" t="str">
        <f t="shared" si="280"/>
        <v/>
      </c>
      <c r="K750" s="66" t="str">
        <f t="shared" si="276"/>
        <v/>
      </c>
      <c r="L750" s="82" t="str">
        <f t="shared" si="281"/>
        <v/>
      </c>
      <c r="M750" s="128"/>
      <c r="N750" s="20"/>
      <c r="O750" s="68"/>
      <c r="P750" s="54"/>
      <c r="Q750" s="69">
        <f t="shared" si="277"/>
        <v>0</v>
      </c>
      <c r="R750" s="54"/>
      <c r="S750" s="70" t="str">
        <f t="shared" si="282"/>
        <v/>
      </c>
      <c r="T750" s="54"/>
      <c r="U750" s="133">
        <f>IF(AND(NOT(M743=0)),U743/M743,0)</f>
        <v>0</v>
      </c>
      <c r="V750" s="20"/>
    </row>
    <row r="751" spans="1:22" ht="15.75" customHeight="1" x14ac:dyDescent="0.25">
      <c r="A751" s="131"/>
      <c r="B751" s="125"/>
      <c r="C751" s="235"/>
      <c r="D751" s="13"/>
      <c r="E751" s="13"/>
      <c r="F751" s="13" t="str">
        <f t="shared" si="278"/>
        <v/>
      </c>
      <c r="G751" s="13"/>
      <c r="H751" s="13"/>
      <c r="I751" s="13" t="str">
        <f t="shared" si="279"/>
        <v/>
      </c>
      <c r="J751" s="13" t="str">
        <f t="shared" si="280"/>
        <v/>
      </c>
      <c r="K751" s="13" t="str">
        <f t="shared" si="276"/>
        <v/>
      </c>
      <c r="L751" s="73" t="str">
        <f t="shared" si="281"/>
        <v/>
      </c>
      <c r="M751" s="128"/>
      <c r="N751" s="20"/>
      <c r="O751" s="68"/>
      <c r="P751" s="54"/>
      <c r="Q751" s="69">
        <f t="shared" si="277"/>
        <v>0</v>
      </c>
      <c r="R751" s="54"/>
      <c r="S751" s="70" t="str">
        <f t="shared" si="282"/>
        <v/>
      </c>
      <c r="T751" s="54"/>
      <c r="U751" s="134"/>
      <c r="V751" s="20"/>
    </row>
    <row r="752" spans="1:22" ht="15.75" customHeight="1" thickBot="1" x14ac:dyDescent="0.3">
      <c r="A752" s="132"/>
      <c r="B752" s="126"/>
      <c r="C752" s="236"/>
      <c r="D752" s="75"/>
      <c r="E752" s="75"/>
      <c r="F752" s="75" t="str">
        <f t="shared" si="278"/>
        <v/>
      </c>
      <c r="G752" s="75"/>
      <c r="H752" s="75"/>
      <c r="I752" s="75" t="str">
        <f t="shared" si="279"/>
        <v/>
      </c>
      <c r="J752" s="75" t="str">
        <f t="shared" si="280"/>
        <v/>
      </c>
      <c r="K752" s="75" t="str">
        <f t="shared" si="276"/>
        <v/>
      </c>
      <c r="L752" s="85" t="str">
        <f t="shared" si="281"/>
        <v/>
      </c>
      <c r="M752" s="129"/>
      <c r="N752" s="20"/>
      <c r="O752" s="76"/>
      <c r="P752" s="20"/>
      <c r="Q752" s="77">
        <f>IF(OR(O752="",L752="NO BET"),0,IF(AND(K752=O752),IF(AND(K752="T2"),ROUNDUP(H752*0.95,2)-1,ROUNDUP(G752*0.95,2)-1),-1))</f>
        <v>0</v>
      </c>
      <c r="R752" s="20"/>
      <c r="S752" s="78" t="str">
        <f t="shared" si="282"/>
        <v/>
      </c>
      <c r="T752" s="20"/>
      <c r="U752" s="135"/>
      <c r="V752" s="20"/>
    </row>
    <row r="753" spans="1:22" ht="15.75" customHeight="1" x14ac:dyDescent="0.25">
      <c r="A753" s="20"/>
      <c r="B753" s="20"/>
      <c r="C753" s="22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54"/>
      <c r="O753" s="54"/>
      <c r="P753" s="54"/>
      <c r="Q753" s="104"/>
      <c r="R753" s="54"/>
      <c r="S753" s="54"/>
      <c r="T753" s="54"/>
      <c r="U753" s="105"/>
      <c r="V753" s="20"/>
    </row>
    <row r="754" spans="1:22" x14ac:dyDescent="0.25">
      <c r="A754" s="20"/>
      <c r="B754" s="20"/>
      <c r="C754" s="22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54"/>
      <c r="O754" s="54"/>
      <c r="P754" s="54"/>
      <c r="Q754" s="104"/>
      <c r="R754" s="54"/>
      <c r="S754" s="54"/>
      <c r="T754" s="54"/>
      <c r="U754" s="105"/>
      <c r="V754" s="20"/>
    </row>
    <row r="755" spans="1:22" x14ac:dyDescent="0.25">
      <c r="A755" s="20"/>
      <c r="B755" s="20"/>
      <c r="C755" s="22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54"/>
      <c r="O755" s="54"/>
      <c r="P755" s="54"/>
      <c r="Q755" s="104"/>
      <c r="R755" s="54"/>
      <c r="S755" s="54"/>
      <c r="T755" s="54"/>
      <c r="U755" s="105"/>
      <c r="V755" s="20"/>
    </row>
    <row r="756" spans="1:22" x14ac:dyDescent="0.25">
      <c r="A756" s="20"/>
      <c r="B756" s="20"/>
      <c r="C756" s="22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57"/>
      <c r="O756" s="109"/>
      <c r="P756" s="54"/>
      <c r="Q756" s="110"/>
      <c r="R756" s="54"/>
      <c r="S756" s="54"/>
      <c r="T756" s="54"/>
      <c r="U756" s="111"/>
      <c r="V756" s="20"/>
    </row>
    <row r="757" spans="1:22" ht="15.75" customHeight="1" x14ac:dyDescent="0.25">
      <c r="A757" s="20"/>
      <c r="B757" s="20"/>
      <c r="C757" s="22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57"/>
      <c r="O757" s="72"/>
      <c r="P757" s="57"/>
      <c r="Q757" s="106"/>
      <c r="R757" s="54"/>
      <c r="S757" s="54"/>
      <c r="T757" s="54"/>
      <c r="U757" s="112"/>
      <c r="V757" s="20"/>
    </row>
    <row r="758" spans="1:22" ht="15.75" customHeight="1" x14ac:dyDescent="0.25">
      <c r="A758" s="20"/>
      <c r="B758" s="20"/>
      <c r="C758" s="22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54"/>
      <c r="O758" s="72"/>
      <c r="P758" s="54"/>
      <c r="Q758" s="106"/>
      <c r="R758" s="54"/>
      <c r="S758" s="54"/>
      <c r="T758" s="54"/>
      <c r="U758" s="112"/>
      <c r="V758" s="20"/>
    </row>
    <row r="759" spans="1:22" ht="15.75" customHeight="1" x14ac:dyDescent="0.25">
      <c r="A759" s="20"/>
      <c r="B759" s="20"/>
      <c r="C759" s="22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57"/>
      <c r="O759" s="72"/>
      <c r="P759" s="54"/>
      <c r="Q759" s="106"/>
      <c r="R759" s="54"/>
      <c r="S759" s="54"/>
      <c r="T759" s="54"/>
      <c r="U759" s="112"/>
      <c r="V759" s="20"/>
    </row>
    <row r="760" spans="1:22" ht="15.75" customHeight="1" x14ac:dyDescent="0.25">
      <c r="A760" s="20"/>
      <c r="B760" s="20"/>
      <c r="C760" s="22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72"/>
      <c r="O760" s="72"/>
      <c r="P760" s="54"/>
      <c r="Q760" s="106"/>
      <c r="R760" s="54"/>
      <c r="S760" s="54"/>
      <c r="T760" s="54"/>
      <c r="U760" s="112"/>
      <c r="V760" s="20"/>
    </row>
    <row r="761" spans="1:22" ht="15.75" customHeight="1" x14ac:dyDescent="0.25">
      <c r="A761" s="20"/>
      <c r="B761" s="20"/>
      <c r="C761" s="22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72"/>
      <c r="O761" s="72"/>
      <c r="P761" s="54"/>
      <c r="Q761" s="106"/>
      <c r="R761" s="54"/>
      <c r="S761" s="54"/>
      <c r="T761" s="54"/>
      <c r="U761" s="112"/>
      <c r="V761" s="20"/>
    </row>
    <row r="762" spans="1:22" ht="15.75" customHeight="1" x14ac:dyDescent="0.25">
      <c r="A762" s="20"/>
      <c r="B762" s="20"/>
      <c r="C762" s="22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72"/>
      <c r="O762" s="72"/>
      <c r="P762" s="54"/>
      <c r="Q762" s="106"/>
      <c r="R762" s="54"/>
      <c r="S762" s="54"/>
      <c r="T762" s="54"/>
      <c r="U762" s="112"/>
      <c r="V762" s="20"/>
    </row>
    <row r="763" spans="1:22" x14ac:dyDescent="0.25">
      <c r="A763" s="20"/>
      <c r="B763" s="20"/>
      <c r="C763" s="22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54"/>
      <c r="O763" s="72"/>
      <c r="P763" s="54"/>
      <c r="Q763" s="106"/>
      <c r="R763" s="54"/>
      <c r="S763" s="54"/>
      <c r="T763" s="54"/>
      <c r="U763" s="111"/>
      <c r="V763" s="20"/>
    </row>
    <row r="764" spans="1:22" x14ac:dyDescent="0.25">
      <c r="A764" s="20"/>
      <c r="B764" s="20"/>
      <c r="C764" s="22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54"/>
      <c r="O764" s="72"/>
      <c r="P764" s="54"/>
      <c r="Q764" s="106"/>
      <c r="R764" s="54"/>
      <c r="S764" s="54"/>
      <c r="T764" s="54"/>
      <c r="U764" s="113"/>
      <c r="V764" s="20"/>
    </row>
    <row r="765" spans="1:22" x14ac:dyDescent="0.25">
      <c r="A765" s="20"/>
      <c r="B765" s="20"/>
      <c r="C765" s="22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2"/>
      <c r="R765" s="20"/>
      <c r="S765" s="20"/>
      <c r="T765" s="20"/>
      <c r="U765" s="23"/>
      <c r="V765" s="20"/>
    </row>
    <row r="766" spans="1:22" x14ac:dyDescent="0.25">
      <c r="A766" s="20"/>
      <c r="B766" s="20"/>
      <c r="C766" s="22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2"/>
      <c r="R766" s="20"/>
      <c r="S766" s="20"/>
      <c r="T766" s="20"/>
      <c r="U766" s="23"/>
      <c r="V766" s="20"/>
    </row>
    <row r="767" spans="1:22" x14ac:dyDescent="0.25">
      <c r="A767" s="20"/>
      <c r="B767" s="20"/>
      <c r="C767" s="22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2"/>
      <c r="R767" s="20"/>
      <c r="S767" s="20"/>
      <c r="T767" s="20"/>
      <c r="U767" s="23"/>
      <c r="V767" s="20"/>
    </row>
    <row r="768" spans="1:22" x14ac:dyDescent="0.25">
      <c r="A768" s="20"/>
      <c r="B768" s="20"/>
      <c r="C768" s="22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2"/>
      <c r="R768" s="20"/>
      <c r="S768" s="20"/>
      <c r="T768" s="20"/>
      <c r="U768" s="23"/>
      <c r="V768" s="20"/>
    </row>
    <row r="769" spans="1:22" x14ac:dyDescent="0.25">
      <c r="A769" s="20"/>
      <c r="B769" s="20"/>
      <c r="C769" s="22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2"/>
      <c r="R769" s="20"/>
      <c r="S769" s="20"/>
      <c r="T769" s="20"/>
      <c r="U769" s="23"/>
      <c r="V769" s="20"/>
    </row>
    <row r="770" spans="1:22" x14ac:dyDescent="0.25">
      <c r="A770" s="20"/>
      <c r="B770" s="20"/>
      <c r="C770" s="22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2"/>
      <c r="R770" s="20"/>
      <c r="S770" s="20"/>
      <c r="T770" s="20"/>
      <c r="U770" s="23"/>
      <c r="V770" s="20"/>
    </row>
    <row r="771" spans="1:22" x14ac:dyDescent="0.25">
      <c r="A771" s="20"/>
      <c r="B771" s="20"/>
      <c r="C771" s="22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2"/>
      <c r="R771" s="20"/>
      <c r="S771" s="20"/>
      <c r="T771" s="20"/>
      <c r="U771" s="23"/>
      <c r="V771" s="20"/>
    </row>
    <row r="772" spans="1:22" x14ac:dyDescent="0.25">
      <c r="A772" s="20"/>
      <c r="B772" s="20"/>
      <c r="C772" s="22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2"/>
      <c r="R772" s="20"/>
      <c r="S772" s="20"/>
      <c r="T772" s="20"/>
      <c r="U772" s="23"/>
      <c r="V772" s="20"/>
    </row>
    <row r="773" spans="1:22" x14ac:dyDescent="0.25">
      <c r="A773" s="20"/>
      <c r="B773" s="20"/>
      <c r="C773" s="22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2"/>
      <c r="R773" s="20"/>
      <c r="S773" s="20"/>
      <c r="T773" s="20"/>
      <c r="U773" s="23"/>
      <c r="V773" s="20"/>
    </row>
    <row r="774" spans="1:22" x14ac:dyDescent="0.25">
      <c r="A774" s="20"/>
      <c r="B774" s="20"/>
      <c r="C774" s="22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2"/>
      <c r="R774" s="20"/>
      <c r="S774" s="20"/>
      <c r="T774" s="20"/>
      <c r="U774" s="23"/>
      <c r="V774" s="20"/>
    </row>
    <row r="775" spans="1:22" x14ac:dyDescent="0.25">
      <c r="A775" s="20"/>
      <c r="B775" s="20"/>
      <c r="C775" s="22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2"/>
      <c r="R775" s="20"/>
      <c r="S775" s="20"/>
      <c r="T775" s="20"/>
      <c r="U775" s="23"/>
      <c r="V775" s="20"/>
    </row>
    <row r="776" spans="1:22" x14ac:dyDescent="0.25">
      <c r="A776" s="20"/>
      <c r="B776" s="20"/>
      <c r="C776" s="22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2"/>
      <c r="R776" s="20"/>
      <c r="S776" s="20"/>
      <c r="T776" s="20"/>
      <c r="U776" s="23"/>
      <c r="V776" s="20"/>
    </row>
    <row r="777" spans="1:22" x14ac:dyDescent="0.25">
      <c r="A777" s="20"/>
      <c r="B777" s="20"/>
      <c r="C777" s="22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2"/>
      <c r="R777" s="20"/>
      <c r="S777" s="20"/>
      <c r="T777" s="20"/>
      <c r="U777" s="23"/>
      <c r="V777" s="20"/>
    </row>
    <row r="778" spans="1:22" x14ac:dyDescent="0.25">
      <c r="A778" s="20"/>
      <c r="B778" s="20"/>
      <c r="C778" s="22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2"/>
      <c r="R778" s="20"/>
      <c r="S778" s="20"/>
      <c r="T778" s="20"/>
      <c r="U778" s="23"/>
      <c r="V778" s="20"/>
    </row>
    <row r="779" spans="1:22" x14ac:dyDescent="0.25">
      <c r="A779" s="20"/>
      <c r="B779" s="20"/>
      <c r="C779" s="22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2"/>
      <c r="R779" s="20"/>
      <c r="S779" s="20"/>
      <c r="T779" s="20"/>
      <c r="U779" s="23"/>
      <c r="V779" s="20"/>
    </row>
    <row r="780" spans="1:22" x14ac:dyDescent="0.25">
      <c r="A780" s="20"/>
      <c r="B780" s="20"/>
      <c r="C780" s="22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2"/>
      <c r="R780" s="20"/>
      <c r="S780" s="20"/>
      <c r="T780" s="20"/>
      <c r="U780" s="23"/>
      <c r="V780" s="20"/>
    </row>
  </sheetData>
  <mergeCells count="283">
    <mergeCell ref="A306:A314"/>
    <mergeCell ref="U312:U314"/>
    <mergeCell ref="K7:L7"/>
    <mergeCell ref="K8:L9"/>
    <mergeCell ref="K4:L4"/>
    <mergeCell ref="K5:L6"/>
    <mergeCell ref="F8:F9"/>
    <mergeCell ref="A1:B9"/>
    <mergeCell ref="F7:H7"/>
    <mergeCell ref="F1:H1"/>
    <mergeCell ref="F2:H3"/>
    <mergeCell ref="F4:H4"/>
    <mergeCell ref="F5:H6"/>
    <mergeCell ref="I1:J1"/>
    <mergeCell ref="E2:E3"/>
    <mergeCell ref="E5:E6"/>
    <mergeCell ref="E8:E9"/>
    <mergeCell ref="I4:J4"/>
    <mergeCell ref="I7:J7"/>
    <mergeCell ref="I5:J6"/>
    <mergeCell ref="I8:J9"/>
    <mergeCell ref="A50:A58"/>
    <mergeCell ref="A246:A256"/>
    <mergeCell ref="A260:A270"/>
    <mergeCell ref="A75:A81"/>
    <mergeCell ref="E110:E111"/>
    <mergeCell ref="F110:H111"/>
    <mergeCell ref="A105:A111"/>
    <mergeCell ref="F105:H105"/>
    <mergeCell ref="F106:H106"/>
    <mergeCell ref="B204:B214"/>
    <mergeCell ref="F121:H121"/>
    <mergeCell ref="F122:H122"/>
    <mergeCell ref="F123:H123"/>
    <mergeCell ref="F108:H108"/>
    <mergeCell ref="E95:E96"/>
    <mergeCell ref="F95:H96"/>
    <mergeCell ref="A90:A96"/>
    <mergeCell ref="F92:H92"/>
    <mergeCell ref="F93:H93"/>
    <mergeCell ref="F94:H94"/>
    <mergeCell ref="B190:B200"/>
    <mergeCell ref="A274:A284"/>
    <mergeCell ref="M319:M328"/>
    <mergeCell ref="B318:B328"/>
    <mergeCell ref="A320:A328"/>
    <mergeCell ref="U170:U172"/>
    <mergeCell ref="B176:B186"/>
    <mergeCell ref="B304:B314"/>
    <mergeCell ref="F124:H124"/>
    <mergeCell ref="F125:H126"/>
    <mergeCell ref="A190:A200"/>
    <mergeCell ref="U305:U310"/>
    <mergeCell ref="M233:M242"/>
    <mergeCell ref="M247:M256"/>
    <mergeCell ref="M305:M314"/>
    <mergeCell ref="B148:B158"/>
    <mergeCell ref="U319:U324"/>
    <mergeCell ref="U275:U280"/>
    <mergeCell ref="U191:U196"/>
    <mergeCell ref="U205:U210"/>
    <mergeCell ref="U219:U224"/>
    <mergeCell ref="U233:U238"/>
    <mergeCell ref="U247:U252"/>
    <mergeCell ref="U261:U266"/>
    <mergeCell ref="B232:B242"/>
    <mergeCell ref="M75:O76"/>
    <mergeCell ref="M77:O78"/>
    <mergeCell ref="L77:L78"/>
    <mergeCell ref="L75:L76"/>
    <mergeCell ref="L90:L91"/>
    <mergeCell ref="F77:H77"/>
    <mergeCell ref="F78:H78"/>
    <mergeCell ref="F79:H79"/>
    <mergeCell ref="F80:H81"/>
    <mergeCell ref="M79:O80"/>
    <mergeCell ref="M81:O81"/>
    <mergeCell ref="F90:H90"/>
    <mergeCell ref="F91:H91"/>
    <mergeCell ref="F75:H75"/>
    <mergeCell ref="F76:H76"/>
    <mergeCell ref="U184:U186"/>
    <mergeCell ref="M163:M172"/>
    <mergeCell ref="M120:O121"/>
    <mergeCell ref="L122:L123"/>
    <mergeCell ref="M122:O123"/>
    <mergeCell ref="L124:L125"/>
    <mergeCell ref="M124:O125"/>
    <mergeCell ref="M126:O126"/>
    <mergeCell ref="M105:O106"/>
    <mergeCell ref="L107:L108"/>
    <mergeCell ref="M107:O108"/>
    <mergeCell ref="L120:L121"/>
    <mergeCell ref="M149:M158"/>
    <mergeCell ref="U149:U154"/>
    <mergeCell ref="U156:U158"/>
    <mergeCell ref="L109:L110"/>
    <mergeCell ref="U163:U168"/>
    <mergeCell ref="U177:U182"/>
    <mergeCell ref="M109:O110"/>
    <mergeCell ref="M111:O111"/>
    <mergeCell ref="M389:M398"/>
    <mergeCell ref="M94:O95"/>
    <mergeCell ref="M96:O96"/>
    <mergeCell ref="L79:L80"/>
    <mergeCell ref="E80:E81"/>
    <mergeCell ref="M90:O91"/>
    <mergeCell ref="L92:L93"/>
    <mergeCell ref="M92:O93"/>
    <mergeCell ref="M177:M186"/>
    <mergeCell ref="M261:M270"/>
    <mergeCell ref="M275:M284"/>
    <mergeCell ref="M219:M228"/>
    <mergeCell ref="B274:B284"/>
    <mergeCell ref="F109:H109"/>
    <mergeCell ref="B246:B256"/>
    <mergeCell ref="B260:B270"/>
    <mergeCell ref="U361:U366"/>
    <mergeCell ref="U375:U380"/>
    <mergeCell ref="U333:U338"/>
    <mergeCell ref="U347:U352"/>
    <mergeCell ref="M347:M356"/>
    <mergeCell ref="U326:U328"/>
    <mergeCell ref="U340:U342"/>
    <mergeCell ref="U354:U356"/>
    <mergeCell ref="B218:B228"/>
    <mergeCell ref="M333:M342"/>
    <mergeCell ref="M361:M370"/>
    <mergeCell ref="U198:U200"/>
    <mergeCell ref="U212:U214"/>
    <mergeCell ref="U226:U228"/>
    <mergeCell ref="U240:U242"/>
    <mergeCell ref="U254:U256"/>
    <mergeCell ref="U268:U270"/>
    <mergeCell ref="U282:U284"/>
    <mergeCell ref="M191:M200"/>
    <mergeCell ref="M205:M214"/>
    <mergeCell ref="U431:U436"/>
    <mergeCell ref="U368:U370"/>
    <mergeCell ref="M375:M384"/>
    <mergeCell ref="B332:B342"/>
    <mergeCell ref="A334:A342"/>
    <mergeCell ref="B346:B356"/>
    <mergeCell ref="U382:U384"/>
    <mergeCell ref="U389:U394"/>
    <mergeCell ref="U403:U408"/>
    <mergeCell ref="U417:U422"/>
    <mergeCell ref="B388:B398"/>
    <mergeCell ref="A404:A412"/>
    <mergeCell ref="B416:B426"/>
    <mergeCell ref="A418:A426"/>
    <mergeCell ref="B430:B440"/>
    <mergeCell ref="A432:A440"/>
    <mergeCell ref="A390:A398"/>
    <mergeCell ref="M417:M426"/>
    <mergeCell ref="M431:M440"/>
    <mergeCell ref="A348:A356"/>
    <mergeCell ref="B360:B370"/>
    <mergeCell ref="A362:A370"/>
    <mergeCell ref="B374:B384"/>
    <mergeCell ref="A376:A384"/>
    <mergeCell ref="M403:M412"/>
    <mergeCell ref="U396:U398"/>
    <mergeCell ref="U410:U412"/>
    <mergeCell ref="U424:U426"/>
    <mergeCell ref="U438:U440"/>
    <mergeCell ref="A532:A540"/>
    <mergeCell ref="M587:M596"/>
    <mergeCell ref="U587:U592"/>
    <mergeCell ref="U594:U596"/>
    <mergeCell ref="U468:U470"/>
    <mergeCell ref="M461:M470"/>
    <mergeCell ref="U573:U578"/>
    <mergeCell ref="U545:U550"/>
    <mergeCell ref="M531:M540"/>
    <mergeCell ref="U531:U536"/>
    <mergeCell ref="U538:U540"/>
    <mergeCell ref="M545:M554"/>
    <mergeCell ref="U552:U554"/>
    <mergeCell ref="M559:M568"/>
    <mergeCell ref="U559:U564"/>
    <mergeCell ref="U566:U568"/>
    <mergeCell ref="U461:U466"/>
    <mergeCell ref="U475:U480"/>
    <mergeCell ref="A462:A470"/>
    <mergeCell ref="A560:A568"/>
    <mergeCell ref="A574:A582"/>
    <mergeCell ref="B474:B484"/>
    <mergeCell ref="B572:B582"/>
    <mergeCell ref="K1:L1"/>
    <mergeCell ref="K2:L3"/>
    <mergeCell ref="I2:J3"/>
    <mergeCell ref="B558:B568"/>
    <mergeCell ref="B460:B470"/>
    <mergeCell ref="B530:B540"/>
    <mergeCell ref="F120:H120"/>
    <mergeCell ref="E125:E126"/>
    <mergeCell ref="L105:L106"/>
    <mergeCell ref="L94:L95"/>
    <mergeCell ref="A176:A186"/>
    <mergeCell ref="A162:A172"/>
    <mergeCell ref="B162:B172"/>
    <mergeCell ref="A120:A126"/>
    <mergeCell ref="F107:H107"/>
    <mergeCell ref="A204:A214"/>
    <mergeCell ref="A218:A228"/>
    <mergeCell ref="A232:A242"/>
    <mergeCell ref="A148:A158"/>
    <mergeCell ref="B402:B412"/>
    <mergeCell ref="B586:B596"/>
    <mergeCell ref="A588:A596"/>
    <mergeCell ref="M475:M484"/>
    <mergeCell ref="U482:U484"/>
    <mergeCell ref="M489:M498"/>
    <mergeCell ref="U489:U494"/>
    <mergeCell ref="U496:U498"/>
    <mergeCell ref="M503:M512"/>
    <mergeCell ref="U503:U508"/>
    <mergeCell ref="U510:U512"/>
    <mergeCell ref="M517:M526"/>
    <mergeCell ref="U517:U522"/>
    <mergeCell ref="U524:U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M573:M582"/>
    <mergeCell ref="U580:U582"/>
    <mergeCell ref="A476:A484"/>
    <mergeCell ref="B616:B626"/>
    <mergeCell ref="M617:M626"/>
    <mergeCell ref="U617:U622"/>
    <mergeCell ref="A618:A626"/>
    <mergeCell ref="U624:U626"/>
    <mergeCell ref="B630:B640"/>
    <mergeCell ref="M631:M640"/>
    <mergeCell ref="U631:U636"/>
    <mergeCell ref="A632:A640"/>
    <mergeCell ref="U638:U640"/>
    <mergeCell ref="B644:B654"/>
    <mergeCell ref="M645:M654"/>
    <mergeCell ref="U645:U650"/>
    <mergeCell ref="A646:A654"/>
    <mergeCell ref="U652:U654"/>
    <mergeCell ref="B658:B668"/>
    <mergeCell ref="M659:M668"/>
    <mergeCell ref="U659:U664"/>
    <mergeCell ref="A660:A668"/>
    <mergeCell ref="U666:U668"/>
    <mergeCell ref="B672:B682"/>
    <mergeCell ref="M673:M682"/>
    <mergeCell ref="U673:U678"/>
    <mergeCell ref="A674:A682"/>
    <mergeCell ref="U680:U682"/>
    <mergeCell ref="B686:B696"/>
    <mergeCell ref="M687:M696"/>
    <mergeCell ref="U687:U692"/>
    <mergeCell ref="A688:A696"/>
    <mergeCell ref="U694:U696"/>
    <mergeCell ref="B700:B710"/>
    <mergeCell ref="M701:M710"/>
    <mergeCell ref="U701:U706"/>
    <mergeCell ref="A702:A710"/>
    <mergeCell ref="U708:U710"/>
    <mergeCell ref="B714:B724"/>
    <mergeCell ref="M715:M724"/>
    <mergeCell ref="U715:U720"/>
    <mergeCell ref="A716:A724"/>
    <mergeCell ref="U722:U724"/>
    <mergeCell ref="B728:B738"/>
    <mergeCell ref="M729:M738"/>
    <mergeCell ref="U729:U734"/>
    <mergeCell ref="A730:A738"/>
    <mergeCell ref="U736:U738"/>
    <mergeCell ref="B742:B752"/>
    <mergeCell ref="M743:M752"/>
    <mergeCell ref="U743:U748"/>
    <mergeCell ref="A744:A752"/>
    <mergeCell ref="U750:U752"/>
  </mergeCells>
  <conditionalFormatting sqref="O758">
    <cfRule type="expression" priority="4282">
      <formula>(O758="")</formula>
    </cfRule>
  </conditionalFormatting>
  <conditionalFormatting sqref="O4:O7">
    <cfRule type="cellIs" dxfId="1314" priority="4702" operator="between">
      <formula>0</formula>
      <formula>-100</formula>
    </cfRule>
    <cfRule type="cellIs" dxfId="1313" priority="4703" operator="between">
      <formula>2</formula>
      <formula>100</formula>
    </cfRule>
    <cfRule type="cellIs" dxfId="1312" priority="4704" operator="between">
      <formula>1</formula>
      <formula>2</formula>
    </cfRule>
    <cfRule type="cellIs" dxfId="1311" priority="4705" operator="between">
      <formula>0</formula>
      <formula>1</formula>
    </cfRule>
  </conditionalFormatting>
  <conditionalFormatting sqref="O759">
    <cfRule type="expression" priority="4281">
      <formula>(O759="")</formula>
    </cfRule>
  </conditionalFormatting>
  <conditionalFormatting sqref="O760">
    <cfRule type="expression" priority="4280">
      <formula>(O760="")</formula>
    </cfRule>
  </conditionalFormatting>
  <conditionalFormatting sqref="O761">
    <cfRule type="expression" priority="4279">
      <formula>(O761="")</formula>
    </cfRule>
  </conditionalFormatting>
  <conditionalFormatting sqref="O762">
    <cfRule type="expression" priority="4278">
      <formula>(O762="")</formula>
    </cfRule>
  </conditionalFormatting>
  <conditionalFormatting sqref="O763">
    <cfRule type="expression" priority="4277">
      <formula>(O763="")</formula>
    </cfRule>
  </conditionalFormatting>
  <conditionalFormatting sqref="O764">
    <cfRule type="expression" priority="4276">
      <formula>(O764="")</formula>
    </cfRule>
  </conditionalFormatting>
  <conditionalFormatting sqref="O758">
    <cfRule type="expression" priority="4275">
      <formula>(O758="")</formula>
    </cfRule>
  </conditionalFormatting>
  <conditionalFormatting sqref="O759">
    <cfRule type="expression" priority="4274">
      <formula>(O759="")</formula>
    </cfRule>
  </conditionalFormatting>
  <conditionalFormatting sqref="O760">
    <cfRule type="expression" priority="4273">
      <formula>(O760="")</formula>
    </cfRule>
  </conditionalFormatting>
  <conditionalFormatting sqref="O761">
    <cfRule type="expression" priority="4272">
      <formula>(O761="")</formula>
    </cfRule>
  </conditionalFormatting>
  <conditionalFormatting sqref="O762">
    <cfRule type="expression" priority="4271">
      <formula>(O762="")</formula>
    </cfRule>
  </conditionalFormatting>
  <conditionalFormatting sqref="O763">
    <cfRule type="expression" priority="4270">
      <formula>(O763="")</formula>
    </cfRule>
  </conditionalFormatting>
  <conditionalFormatting sqref="O764">
    <cfRule type="expression" priority="4269">
      <formula>(O764="")</formula>
    </cfRule>
  </conditionalFormatting>
  <conditionalFormatting sqref="O757:O764">
    <cfRule type="expression" dxfId="1310" priority="4284">
      <formula>AND(NOT(K757=O757),NOT(O757=""))</formula>
    </cfRule>
    <cfRule type="expression" dxfId="1309" priority="4285">
      <formula>AND((K757=O757),NOT(O757=""))</formula>
    </cfRule>
  </conditionalFormatting>
  <conditionalFormatting sqref="O757">
    <cfRule type="expression" priority="4283">
      <formula>(O757="")</formula>
    </cfRule>
  </conditionalFormatting>
  <conditionalFormatting sqref="Q757:Q764">
    <cfRule type="expression" dxfId="1308" priority="4259">
      <formula>Q757=0</formula>
    </cfRule>
  </conditionalFormatting>
  <conditionalFormatting sqref="Q597">
    <cfRule type="expression" dxfId="1307" priority="4125">
      <formula>Q597=0</formula>
    </cfRule>
  </conditionalFormatting>
  <conditionalFormatting sqref="O461:O466">
    <cfRule type="expression" dxfId="1306" priority="3550">
      <formula>AND(NOT(K461=O461),NOT(O461=""))</formula>
    </cfRule>
    <cfRule type="expression" dxfId="1305" priority="3551">
      <formula>AND((K461=O461),NOT(O461=""))</formula>
    </cfRule>
  </conditionalFormatting>
  <conditionalFormatting sqref="O461">
    <cfRule type="expression" priority="3549">
      <formula>(O461="")</formula>
    </cfRule>
  </conditionalFormatting>
  <conditionalFormatting sqref="O462">
    <cfRule type="expression" dxfId="1304" priority="2954">
      <formula>IF(L462="NO BET", TRUE, FALSE)</formula>
    </cfRule>
    <cfRule type="expression" priority="3548">
      <formula>(O462="")</formula>
    </cfRule>
  </conditionalFormatting>
  <conditionalFormatting sqref="O463">
    <cfRule type="expression" priority="3547">
      <formula>(O463="")</formula>
    </cfRule>
  </conditionalFormatting>
  <conditionalFormatting sqref="O464">
    <cfRule type="expression" priority="3546">
      <formula>(O464="")</formula>
    </cfRule>
  </conditionalFormatting>
  <conditionalFormatting sqref="O465">
    <cfRule type="expression" priority="3545">
      <formula>(O465="")</formula>
    </cfRule>
  </conditionalFormatting>
  <conditionalFormatting sqref="O466">
    <cfRule type="expression" priority="3544">
      <formula>(O466="")</formula>
    </cfRule>
  </conditionalFormatting>
  <conditionalFormatting sqref="O462">
    <cfRule type="expression" priority="3541">
      <formula>(O462="")</formula>
    </cfRule>
  </conditionalFormatting>
  <conditionalFormatting sqref="O463">
    <cfRule type="expression" priority="3540">
      <formula>(O463="")</formula>
    </cfRule>
  </conditionalFormatting>
  <conditionalFormatting sqref="O464">
    <cfRule type="expression" priority="3539">
      <formula>(O464="")</formula>
    </cfRule>
  </conditionalFormatting>
  <conditionalFormatting sqref="O465">
    <cfRule type="expression" priority="3538">
      <formula>(O465="")</formula>
    </cfRule>
  </conditionalFormatting>
  <conditionalFormatting sqref="O466">
    <cfRule type="expression" priority="3537">
      <formula>(O466="")</formula>
    </cfRule>
  </conditionalFormatting>
  <conditionalFormatting sqref="L475:L481">
    <cfRule type="cellIs" dxfId="1303" priority="3488" operator="between">
      <formula>0</formula>
      <formula>-100</formula>
    </cfRule>
    <cfRule type="cellIs" dxfId="1302" priority="3489" operator="between">
      <formula>2</formula>
      <formula>100</formula>
    </cfRule>
    <cfRule type="cellIs" dxfId="1301" priority="3490" operator="between">
      <formula>1</formula>
      <formula>2</formula>
    </cfRule>
    <cfRule type="cellIs" dxfId="1300" priority="3491" operator="between">
      <formula>0</formula>
      <formula>1</formula>
    </cfRule>
  </conditionalFormatting>
  <conditionalFormatting sqref="L483:L484">
    <cfRule type="cellIs" dxfId="1299" priority="3480" operator="between">
      <formula>0</formula>
      <formula>-100</formula>
    </cfRule>
    <cfRule type="cellIs" dxfId="1298" priority="3481" operator="between">
      <formula>2</formula>
      <formula>100</formula>
    </cfRule>
    <cfRule type="cellIs" dxfId="1297" priority="3482" operator="between">
      <formula>1</formula>
      <formula>2</formula>
    </cfRule>
    <cfRule type="cellIs" dxfId="1296" priority="3483" operator="between">
      <formula>0</formula>
      <formula>1</formula>
    </cfRule>
  </conditionalFormatting>
  <conditionalFormatting sqref="L482">
    <cfRule type="cellIs" dxfId="1295" priority="3484" operator="between">
      <formula>0</formula>
      <formula>-100</formula>
    </cfRule>
    <cfRule type="cellIs" dxfId="1294" priority="3485" operator="between">
      <formula>2</formula>
      <formula>100</formula>
    </cfRule>
    <cfRule type="cellIs" dxfId="1293" priority="3486" operator="between">
      <formula>1</formula>
      <formula>2</formula>
    </cfRule>
    <cfRule type="cellIs" dxfId="1292" priority="3487" operator="between">
      <formula>0</formula>
      <formula>1</formula>
    </cfRule>
  </conditionalFormatting>
  <conditionalFormatting sqref="L461:L467">
    <cfRule type="cellIs" dxfId="1291" priority="3476" operator="between">
      <formula>0</formula>
      <formula>-100</formula>
    </cfRule>
    <cfRule type="cellIs" dxfId="1290" priority="3477" operator="between">
      <formula>2</formula>
      <formula>100</formula>
    </cfRule>
    <cfRule type="cellIs" dxfId="1289" priority="3478" operator="between">
      <formula>1</formula>
      <formula>2</formula>
    </cfRule>
    <cfRule type="cellIs" dxfId="1288" priority="3479" operator="between">
      <formula>0</formula>
      <formula>1</formula>
    </cfRule>
  </conditionalFormatting>
  <conditionalFormatting sqref="L469:L470">
    <cfRule type="cellIs" dxfId="1287" priority="3468" operator="between">
      <formula>0</formula>
      <formula>-100</formula>
    </cfRule>
    <cfRule type="cellIs" dxfId="1286" priority="3469" operator="between">
      <formula>2</formula>
      <formula>100</formula>
    </cfRule>
    <cfRule type="cellIs" dxfId="1285" priority="3470" operator="between">
      <formula>1</formula>
      <formula>2</formula>
    </cfRule>
    <cfRule type="cellIs" dxfId="1284" priority="3471" operator="between">
      <formula>0</formula>
      <formula>1</formula>
    </cfRule>
  </conditionalFormatting>
  <conditionalFormatting sqref="L468">
    <cfRule type="cellIs" dxfId="1283" priority="3472" operator="between">
      <formula>0</formula>
      <formula>-100</formula>
    </cfRule>
    <cfRule type="cellIs" dxfId="1282" priority="3473" operator="between">
      <formula>2</formula>
      <formula>100</formula>
    </cfRule>
    <cfRule type="cellIs" dxfId="1281" priority="3474" operator="between">
      <formula>1</formula>
      <formula>2</formula>
    </cfRule>
    <cfRule type="cellIs" dxfId="1280" priority="3475" operator="between">
      <formula>0</formula>
      <formula>1</formula>
    </cfRule>
  </conditionalFormatting>
  <conditionalFormatting sqref="L489:L495">
    <cfRule type="cellIs" dxfId="1279" priority="3464" operator="between">
      <formula>0</formula>
      <formula>-100</formula>
    </cfRule>
    <cfRule type="cellIs" dxfId="1278" priority="3465" operator="between">
      <formula>2</formula>
      <formula>100</formula>
    </cfRule>
    <cfRule type="cellIs" dxfId="1277" priority="3466" operator="between">
      <formula>1</formula>
      <formula>2</formula>
    </cfRule>
    <cfRule type="cellIs" dxfId="1276" priority="3467" operator="between">
      <formula>0</formula>
      <formula>1</formula>
    </cfRule>
  </conditionalFormatting>
  <conditionalFormatting sqref="L497:L498">
    <cfRule type="cellIs" dxfId="1275" priority="3456" operator="between">
      <formula>0</formula>
      <formula>-100</formula>
    </cfRule>
    <cfRule type="cellIs" dxfId="1274" priority="3457" operator="between">
      <formula>2</formula>
      <formula>100</formula>
    </cfRule>
    <cfRule type="cellIs" dxfId="1273" priority="3458" operator="between">
      <formula>1</formula>
      <formula>2</formula>
    </cfRule>
    <cfRule type="cellIs" dxfId="1272" priority="3459" operator="between">
      <formula>0</formula>
      <formula>1</formula>
    </cfRule>
  </conditionalFormatting>
  <conditionalFormatting sqref="L496">
    <cfRule type="cellIs" dxfId="1271" priority="3460" operator="between">
      <formula>0</formula>
      <formula>-100</formula>
    </cfRule>
    <cfRule type="cellIs" dxfId="1270" priority="3461" operator="between">
      <formula>2</formula>
      <formula>100</formula>
    </cfRule>
    <cfRule type="cellIs" dxfId="1269" priority="3462" operator="between">
      <formula>1</formula>
      <formula>2</formula>
    </cfRule>
    <cfRule type="cellIs" dxfId="1268" priority="3463" operator="between">
      <formula>0</formula>
      <formula>1</formula>
    </cfRule>
  </conditionalFormatting>
  <conditionalFormatting sqref="L503:L509">
    <cfRule type="cellIs" dxfId="1267" priority="3452" operator="between">
      <formula>0</formula>
      <formula>-100</formula>
    </cfRule>
    <cfRule type="cellIs" dxfId="1266" priority="3453" operator="between">
      <formula>2</formula>
      <formula>100</formula>
    </cfRule>
    <cfRule type="cellIs" dxfId="1265" priority="3454" operator="between">
      <formula>1</formula>
      <formula>2</formula>
    </cfRule>
    <cfRule type="cellIs" dxfId="1264" priority="3455" operator="between">
      <formula>0</formula>
      <formula>1</formula>
    </cfRule>
  </conditionalFormatting>
  <conditionalFormatting sqref="L511:L512">
    <cfRule type="cellIs" dxfId="1263" priority="3444" operator="between">
      <formula>0</formula>
      <formula>-100</formula>
    </cfRule>
    <cfRule type="cellIs" dxfId="1262" priority="3445" operator="between">
      <formula>2</formula>
      <formula>100</formula>
    </cfRule>
    <cfRule type="cellIs" dxfId="1261" priority="3446" operator="between">
      <formula>1</formula>
      <formula>2</formula>
    </cfRule>
    <cfRule type="cellIs" dxfId="1260" priority="3447" operator="between">
      <formula>0</formula>
      <formula>1</formula>
    </cfRule>
  </conditionalFormatting>
  <conditionalFormatting sqref="L510">
    <cfRule type="cellIs" dxfId="1259" priority="3448" operator="between">
      <formula>0</formula>
      <formula>-100</formula>
    </cfRule>
    <cfRule type="cellIs" dxfId="1258" priority="3449" operator="between">
      <formula>2</formula>
      <formula>100</formula>
    </cfRule>
    <cfRule type="cellIs" dxfId="1257" priority="3450" operator="between">
      <formula>1</formula>
      <formula>2</formula>
    </cfRule>
    <cfRule type="cellIs" dxfId="1256" priority="3451" operator="between">
      <formula>0</formula>
      <formula>1</formula>
    </cfRule>
  </conditionalFormatting>
  <conditionalFormatting sqref="L517:L523">
    <cfRule type="cellIs" dxfId="1255" priority="3440" operator="between">
      <formula>0</formula>
      <formula>-100</formula>
    </cfRule>
    <cfRule type="cellIs" dxfId="1254" priority="3441" operator="between">
      <formula>2</formula>
      <formula>100</formula>
    </cfRule>
    <cfRule type="cellIs" dxfId="1253" priority="3442" operator="between">
      <formula>1</formula>
      <formula>2</formula>
    </cfRule>
    <cfRule type="cellIs" dxfId="1252" priority="3443" operator="between">
      <formula>0</formula>
      <formula>1</formula>
    </cfRule>
  </conditionalFormatting>
  <conditionalFormatting sqref="L525:L526">
    <cfRule type="cellIs" dxfId="1251" priority="3432" operator="between">
      <formula>0</formula>
      <formula>-100</formula>
    </cfRule>
    <cfRule type="cellIs" dxfId="1250" priority="3433" operator="between">
      <formula>2</formula>
      <formula>100</formula>
    </cfRule>
    <cfRule type="cellIs" dxfId="1249" priority="3434" operator="between">
      <formula>1</formula>
      <formula>2</formula>
    </cfRule>
    <cfRule type="cellIs" dxfId="1248" priority="3435" operator="between">
      <formula>0</formula>
      <formula>1</formula>
    </cfRule>
  </conditionalFormatting>
  <conditionalFormatting sqref="L524">
    <cfRule type="cellIs" dxfId="1247" priority="3436" operator="between">
      <formula>0</formula>
      <formula>-100</formula>
    </cfRule>
    <cfRule type="cellIs" dxfId="1246" priority="3437" operator="between">
      <formula>2</formula>
      <formula>100</formula>
    </cfRule>
    <cfRule type="cellIs" dxfId="1245" priority="3438" operator="between">
      <formula>1</formula>
      <formula>2</formula>
    </cfRule>
    <cfRule type="cellIs" dxfId="1244" priority="3439" operator="between">
      <formula>0</formula>
      <formula>1</formula>
    </cfRule>
  </conditionalFormatting>
  <conditionalFormatting sqref="L531:L537">
    <cfRule type="cellIs" dxfId="1243" priority="3428" operator="between">
      <formula>0</formula>
      <formula>-100</formula>
    </cfRule>
    <cfRule type="cellIs" dxfId="1242" priority="3429" operator="between">
      <formula>2</formula>
      <formula>100</formula>
    </cfRule>
    <cfRule type="cellIs" dxfId="1241" priority="3430" operator="between">
      <formula>1</formula>
      <formula>2</formula>
    </cfRule>
    <cfRule type="cellIs" dxfId="1240" priority="3431" operator="between">
      <formula>0</formula>
      <formula>1</formula>
    </cfRule>
  </conditionalFormatting>
  <conditionalFormatting sqref="L539:L540">
    <cfRule type="cellIs" dxfId="1239" priority="3420" operator="between">
      <formula>0</formula>
      <formula>-100</formula>
    </cfRule>
    <cfRule type="cellIs" dxfId="1238" priority="3421" operator="between">
      <formula>2</formula>
      <formula>100</formula>
    </cfRule>
    <cfRule type="cellIs" dxfId="1237" priority="3422" operator="between">
      <formula>1</formula>
      <formula>2</formula>
    </cfRule>
    <cfRule type="cellIs" dxfId="1236" priority="3423" operator="between">
      <formula>0</formula>
      <formula>1</formula>
    </cfRule>
  </conditionalFormatting>
  <conditionalFormatting sqref="L538">
    <cfRule type="cellIs" dxfId="1235" priority="3424" operator="between">
      <formula>0</formula>
      <formula>-100</formula>
    </cfRule>
    <cfRule type="cellIs" dxfId="1234" priority="3425" operator="between">
      <formula>2</formula>
      <formula>100</formula>
    </cfRule>
    <cfRule type="cellIs" dxfId="1233" priority="3426" operator="between">
      <formula>1</formula>
      <formula>2</formula>
    </cfRule>
    <cfRule type="cellIs" dxfId="1232" priority="3427" operator="between">
      <formula>0</formula>
      <formula>1</formula>
    </cfRule>
  </conditionalFormatting>
  <conditionalFormatting sqref="L545:L551">
    <cfRule type="cellIs" dxfId="1231" priority="3416" operator="between">
      <formula>0</formula>
      <formula>-100</formula>
    </cfRule>
    <cfRule type="cellIs" dxfId="1230" priority="3417" operator="between">
      <formula>2</formula>
      <formula>100</formula>
    </cfRule>
    <cfRule type="cellIs" dxfId="1229" priority="3418" operator="between">
      <formula>1</formula>
      <formula>2</formula>
    </cfRule>
    <cfRule type="cellIs" dxfId="1228" priority="3419" operator="between">
      <formula>0</formula>
      <formula>1</formula>
    </cfRule>
  </conditionalFormatting>
  <conditionalFormatting sqref="L553:L554">
    <cfRule type="cellIs" dxfId="1227" priority="3408" operator="between">
      <formula>0</formula>
      <formula>-100</formula>
    </cfRule>
    <cfRule type="cellIs" dxfId="1226" priority="3409" operator="between">
      <formula>2</formula>
      <formula>100</formula>
    </cfRule>
    <cfRule type="cellIs" dxfId="1225" priority="3410" operator="between">
      <formula>1</formula>
      <formula>2</formula>
    </cfRule>
    <cfRule type="cellIs" dxfId="1224" priority="3411" operator="between">
      <formula>0</formula>
      <formula>1</formula>
    </cfRule>
  </conditionalFormatting>
  <conditionalFormatting sqref="L552">
    <cfRule type="cellIs" dxfId="1223" priority="3412" operator="between">
      <formula>0</formula>
      <formula>-100</formula>
    </cfRule>
    <cfRule type="cellIs" dxfId="1222" priority="3413" operator="between">
      <formula>2</formula>
      <formula>100</formula>
    </cfRule>
    <cfRule type="cellIs" dxfId="1221" priority="3414" operator="between">
      <formula>1</formula>
      <formula>2</formula>
    </cfRule>
    <cfRule type="cellIs" dxfId="1220" priority="3415" operator="between">
      <formula>0</formula>
      <formula>1</formula>
    </cfRule>
  </conditionalFormatting>
  <conditionalFormatting sqref="L559:L565">
    <cfRule type="cellIs" dxfId="1219" priority="3404" operator="between">
      <formula>0</formula>
      <formula>-100</formula>
    </cfRule>
    <cfRule type="cellIs" dxfId="1218" priority="3405" operator="between">
      <formula>2</formula>
      <formula>100</formula>
    </cfRule>
    <cfRule type="cellIs" dxfId="1217" priority="3406" operator="between">
      <formula>1</formula>
      <formula>2</formula>
    </cfRule>
    <cfRule type="cellIs" dxfId="1216" priority="3407" operator="between">
      <formula>0</formula>
      <formula>1</formula>
    </cfRule>
  </conditionalFormatting>
  <conditionalFormatting sqref="L567:L568">
    <cfRule type="cellIs" dxfId="1215" priority="3396" operator="between">
      <formula>0</formula>
      <formula>-100</formula>
    </cfRule>
    <cfRule type="cellIs" dxfId="1214" priority="3397" operator="between">
      <formula>2</formula>
      <formula>100</formula>
    </cfRule>
    <cfRule type="cellIs" dxfId="1213" priority="3398" operator="between">
      <formula>1</formula>
      <formula>2</formula>
    </cfRule>
    <cfRule type="cellIs" dxfId="1212" priority="3399" operator="between">
      <formula>0</formula>
      <formula>1</formula>
    </cfRule>
  </conditionalFormatting>
  <conditionalFormatting sqref="L566">
    <cfRule type="cellIs" dxfId="1211" priority="3400" operator="between">
      <formula>0</formula>
      <formula>-100</formula>
    </cfRule>
    <cfRule type="cellIs" dxfId="1210" priority="3401" operator="between">
      <formula>2</formula>
      <formula>100</formula>
    </cfRule>
    <cfRule type="cellIs" dxfId="1209" priority="3402" operator="between">
      <formula>1</formula>
      <formula>2</formula>
    </cfRule>
    <cfRule type="cellIs" dxfId="1208" priority="3403" operator="between">
      <formula>0</formula>
      <formula>1</formula>
    </cfRule>
  </conditionalFormatting>
  <conditionalFormatting sqref="L573:L579">
    <cfRule type="cellIs" dxfId="1207" priority="3392" operator="between">
      <formula>0</formula>
      <formula>-100</formula>
    </cfRule>
    <cfRule type="cellIs" dxfId="1206" priority="3393" operator="between">
      <formula>2</formula>
      <formula>100</formula>
    </cfRule>
    <cfRule type="cellIs" dxfId="1205" priority="3394" operator="between">
      <formula>1</formula>
      <formula>2</formula>
    </cfRule>
    <cfRule type="cellIs" dxfId="1204" priority="3395" operator="between">
      <formula>0</formula>
      <formula>1</formula>
    </cfRule>
  </conditionalFormatting>
  <conditionalFormatting sqref="L581:L582">
    <cfRule type="cellIs" dxfId="1203" priority="3384" operator="between">
      <formula>0</formula>
      <formula>-100</formula>
    </cfRule>
    <cfRule type="cellIs" dxfId="1202" priority="3385" operator="between">
      <formula>2</formula>
      <formula>100</formula>
    </cfRule>
    <cfRule type="cellIs" dxfId="1201" priority="3386" operator="between">
      <formula>1</formula>
      <formula>2</formula>
    </cfRule>
    <cfRule type="cellIs" dxfId="1200" priority="3387" operator="between">
      <formula>0</formula>
      <formula>1</formula>
    </cfRule>
  </conditionalFormatting>
  <conditionalFormatting sqref="L580">
    <cfRule type="cellIs" dxfId="1199" priority="3388" operator="between">
      <formula>0</formula>
      <formula>-100</formula>
    </cfRule>
    <cfRule type="cellIs" dxfId="1198" priority="3389" operator="between">
      <formula>2</formula>
      <formula>100</formula>
    </cfRule>
    <cfRule type="cellIs" dxfId="1197" priority="3390" operator="between">
      <formula>1</formula>
      <formula>2</formula>
    </cfRule>
    <cfRule type="cellIs" dxfId="1196" priority="3391" operator="between">
      <formula>0</formula>
      <formula>1</formula>
    </cfRule>
  </conditionalFormatting>
  <conditionalFormatting sqref="L587:L593">
    <cfRule type="cellIs" dxfId="1195" priority="3380" operator="between">
      <formula>0</formula>
      <formula>-100</formula>
    </cfRule>
    <cfRule type="cellIs" dxfId="1194" priority="3381" operator="between">
      <formula>2</formula>
      <formula>100</formula>
    </cfRule>
    <cfRule type="cellIs" dxfId="1193" priority="3382" operator="between">
      <formula>1</formula>
      <formula>2</formula>
    </cfRule>
    <cfRule type="cellIs" dxfId="1192" priority="3383" operator="between">
      <formula>0</formula>
      <formula>1</formula>
    </cfRule>
  </conditionalFormatting>
  <conditionalFormatting sqref="L595:L596">
    <cfRule type="cellIs" dxfId="1191" priority="3372" operator="between">
      <formula>0</formula>
      <formula>-100</formula>
    </cfRule>
    <cfRule type="cellIs" dxfId="1190" priority="3373" operator="between">
      <formula>2</formula>
      <formula>100</formula>
    </cfRule>
    <cfRule type="cellIs" dxfId="1189" priority="3374" operator="between">
      <formula>1</formula>
      <formula>2</formula>
    </cfRule>
    <cfRule type="cellIs" dxfId="1188" priority="3375" operator="between">
      <formula>0</formula>
      <formula>1</formula>
    </cfRule>
  </conditionalFormatting>
  <conditionalFormatting sqref="L594">
    <cfRule type="cellIs" dxfId="1187" priority="3376" operator="between">
      <formula>0</formula>
      <formula>-100</formula>
    </cfRule>
    <cfRule type="cellIs" dxfId="1186" priority="3377" operator="between">
      <formula>2</formula>
      <formula>100</formula>
    </cfRule>
    <cfRule type="cellIs" dxfId="1185" priority="3378" operator="between">
      <formula>1</formula>
      <formula>2</formula>
    </cfRule>
    <cfRule type="cellIs" dxfId="1184" priority="3379" operator="between">
      <formula>0</formula>
      <formula>1</formula>
    </cfRule>
  </conditionalFormatting>
  <conditionalFormatting sqref="L431:L437">
    <cfRule type="cellIs" dxfId="1183" priority="3368" operator="between">
      <formula>0</formula>
      <formula>-100</formula>
    </cfRule>
    <cfRule type="cellIs" dxfId="1182" priority="3369" operator="between">
      <formula>2</formula>
      <formula>100</formula>
    </cfRule>
    <cfRule type="cellIs" dxfId="1181" priority="3370" operator="between">
      <formula>1</formula>
      <formula>2</formula>
    </cfRule>
    <cfRule type="cellIs" dxfId="1180" priority="3371" operator="between">
      <formula>0</formula>
      <formula>1</formula>
    </cfRule>
  </conditionalFormatting>
  <conditionalFormatting sqref="L439:L440">
    <cfRule type="cellIs" dxfId="1179" priority="3360" operator="between">
      <formula>0</formula>
      <formula>-100</formula>
    </cfRule>
    <cfRule type="cellIs" dxfId="1178" priority="3361" operator="between">
      <formula>2</formula>
      <formula>100</formula>
    </cfRule>
    <cfRule type="cellIs" dxfId="1177" priority="3362" operator="between">
      <formula>1</formula>
      <formula>2</formula>
    </cfRule>
    <cfRule type="cellIs" dxfId="1176" priority="3363" operator="between">
      <formula>0</formula>
      <formula>1</formula>
    </cfRule>
  </conditionalFormatting>
  <conditionalFormatting sqref="L438">
    <cfRule type="cellIs" dxfId="1175" priority="3364" operator="between">
      <formula>0</formula>
      <formula>-100</formula>
    </cfRule>
    <cfRule type="cellIs" dxfId="1174" priority="3365" operator="between">
      <formula>2</formula>
      <formula>100</formula>
    </cfRule>
    <cfRule type="cellIs" dxfId="1173" priority="3366" operator="between">
      <formula>1</formula>
      <formula>2</formula>
    </cfRule>
    <cfRule type="cellIs" dxfId="1172" priority="3367" operator="between">
      <formula>0</formula>
      <formula>1</formula>
    </cfRule>
  </conditionalFormatting>
  <conditionalFormatting sqref="L417:L423">
    <cfRule type="cellIs" dxfId="1171" priority="3356" operator="between">
      <formula>0</formula>
      <formula>-100</formula>
    </cfRule>
    <cfRule type="cellIs" dxfId="1170" priority="3357" operator="between">
      <formula>2</formula>
      <formula>100</formula>
    </cfRule>
    <cfRule type="cellIs" dxfId="1169" priority="3358" operator="between">
      <formula>1</formula>
      <formula>2</formula>
    </cfRule>
    <cfRule type="cellIs" dxfId="1168" priority="3359" operator="between">
      <formula>0</formula>
      <formula>1</formula>
    </cfRule>
  </conditionalFormatting>
  <conditionalFormatting sqref="L425:L426">
    <cfRule type="cellIs" dxfId="1167" priority="3348" operator="between">
      <formula>0</formula>
      <formula>-100</formula>
    </cfRule>
    <cfRule type="cellIs" dxfId="1166" priority="3349" operator="between">
      <formula>2</formula>
      <formula>100</formula>
    </cfRule>
    <cfRule type="cellIs" dxfId="1165" priority="3350" operator="between">
      <formula>1</formula>
      <formula>2</formula>
    </cfRule>
    <cfRule type="cellIs" dxfId="1164" priority="3351" operator="between">
      <formula>0</formula>
      <formula>1</formula>
    </cfRule>
  </conditionalFormatting>
  <conditionalFormatting sqref="L424">
    <cfRule type="cellIs" dxfId="1163" priority="3352" operator="between">
      <formula>0</formula>
      <formula>-100</formula>
    </cfRule>
    <cfRule type="cellIs" dxfId="1162" priority="3353" operator="between">
      <formula>2</formula>
      <formula>100</formula>
    </cfRule>
    <cfRule type="cellIs" dxfId="1161" priority="3354" operator="between">
      <formula>1</formula>
      <formula>2</formula>
    </cfRule>
    <cfRule type="cellIs" dxfId="1160" priority="3355" operator="between">
      <formula>0</formula>
      <formula>1</formula>
    </cfRule>
  </conditionalFormatting>
  <conditionalFormatting sqref="L403:L409">
    <cfRule type="cellIs" dxfId="1159" priority="3344" operator="between">
      <formula>0</formula>
      <formula>-100</formula>
    </cfRule>
    <cfRule type="cellIs" dxfId="1158" priority="3345" operator="between">
      <formula>2</formula>
      <formula>100</formula>
    </cfRule>
    <cfRule type="cellIs" dxfId="1157" priority="3346" operator="between">
      <formula>1</formula>
      <formula>2</formula>
    </cfRule>
    <cfRule type="cellIs" dxfId="1156" priority="3347" operator="between">
      <formula>0</formula>
      <formula>1</formula>
    </cfRule>
  </conditionalFormatting>
  <conditionalFormatting sqref="L411:L412">
    <cfRule type="cellIs" dxfId="1155" priority="3336" operator="between">
      <formula>0</formula>
      <formula>-100</formula>
    </cfRule>
    <cfRule type="cellIs" dxfId="1154" priority="3337" operator="between">
      <formula>2</formula>
      <formula>100</formula>
    </cfRule>
    <cfRule type="cellIs" dxfId="1153" priority="3338" operator="between">
      <formula>1</formula>
      <formula>2</formula>
    </cfRule>
    <cfRule type="cellIs" dxfId="1152" priority="3339" operator="between">
      <formula>0</formula>
      <formula>1</formula>
    </cfRule>
  </conditionalFormatting>
  <conditionalFormatting sqref="L410">
    <cfRule type="cellIs" dxfId="1151" priority="3340" operator="between">
      <formula>0</formula>
      <formula>-100</formula>
    </cfRule>
    <cfRule type="cellIs" dxfId="1150" priority="3341" operator="between">
      <formula>2</formula>
      <formula>100</formula>
    </cfRule>
    <cfRule type="cellIs" dxfId="1149" priority="3342" operator="between">
      <formula>1</formula>
      <formula>2</formula>
    </cfRule>
    <cfRule type="cellIs" dxfId="1148" priority="3343" operator="between">
      <formula>0</formula>
      <formula>1</formula>
    </cfRule>
  </conditionalFormatting>
  <conditionalFormatting sqref="L397:L398">
    <cfRule type="cellIs" dxfId="1147" priority="3324" operator="between">
      <formula>0</formula>
      <formula>-100</formula>
    </cfRule>
    <cfRule type="cellIs" dxfId="1146" priority="3325" operator="between">
      <formula>2</formula>
      <formula>100</formula>
    </cfRule>
    <cfRule type="cellIs" dxfId="1145" priority="3326" operator="between">
      <formula>1</formula>
      <formula>2</formula>
    </cfRule>
    <cfRule type="cellIs" dxfId="1144" priority="3327" operator="between">
      <formula>0</formula>
      <formula>1</formula>
    </cfRule>
  </conditionalFormatting>
  <conditionalFormatting sqref="L396">
    <cfRule type="cellIs" dxfId="1143" priority="3328" operator="between">
      <formula>0</formula>
      <formula>-100</formula>
    </cfRule>
    <cfRule type="cellIs" dxfId="1142" priority="3329" operator="between">
      <formula>2</formula>
      <formula>100</formula>
    </cfRule>
    <cfRule type="cellIs" dxfId="1141" priority="3330" operator="between">
      <formula>1</formula>
      <formula>2</formula>
    </cfRule>
    <cfRule type="cellIs" dxfId="1140" priority="3331" operator="between">
      <formula>0</formula>
      <formula>1</formula>
    </cfRule>
  </conditionalFormatting>
  <conditionalFormatting sqref="L375:L381">
    <cfRule type="cellIs" dxfId="1139" priority="3320" operator="between">
      <formula>0</formula>
      <formula>-100</formula>
    </cfRule>
    <cfRule type="cellIs" dxfId="1138" priority="3321" operator="between">
      <formula>2</formula>
      <formula>100</formula>
    </cfRule>
    <cfRule type="cellIs" dxfId="1137" priority="3322" operator="between">
      <formula>1</formula>
      <formula>2</formula>
    </cfRule>
    <cfRule type="cellIs" dxfId="1136" priority="3323" operator="between">
      <formula>0</formula>
      <formula>1</formula>
    </cfRule>
  </conditionalFormatting>
  <conditionalFormatting sqref="L383:L384">
    <cfRule type="cellIs" dxfId="1135" priority="3312" operator="between">
      <formula>0</formula>
      <formula>-100</formula>
    </cfRule>
    <cfRule type="cellIs" dxfId="1134" priority="3313" operator="between">
      <formula>2</formula>
      <formula>100</formula>
    </cfRule>
    <cfRule type="cellIs" dxfId="1133" priority="3314" operator="between">
      <formula>1</formula>
      <formula>2</formula>
    </cfRule>
    <cfRule type="cellIs" dxfId="1132" priority="3315" operator="between">
      <formula>0</formula>
      <formula>1</formula>
    </cfRule>
  </conditionalFormatting>
  <conditionalFormatting sqref="L382">
    <cfRule type="cellIs" dxfId="1131" priority="3316" operator="between">
      <formula>0</formula>
      <formula>-100</formula>
    </cfRule>
    <cfRule type="cellIs" dxfId="1130" priority="3317" operator="between">
      <formula>2</formula>
      <formula>100</formula>
    </cfRule>
    <cfRule type="cellIs" dxfId="1129" priority="3318" operator="between">
      <formula>1</formula>
      <formula>2</formula>
    </cfRule>
    <cfRule type="cellIs" dxfId="1128" priority="3319" operator="between">
      <formula>0</formula>
      <formula>1</formula>
    </cfRule>
  </conditionalFormatting>
  <conditionalFormatting sqref="L361:L367">
    <cfRule type="cellIs" dxfId="1127" priority="3308" operator="between">
      <formula>0</formula>
      <formula>-100</formula>
    </cfRule>
    <cfRule type="cellIs" dxfId="1126" priority="3309" operator="between">
      <formula>2</formula>
      <formula>100</formula>
    </cfRule>
    <cfRule type="cellIs" dxfId="1125" priority="3310" operator="between">
      <formula>1</formula>
      <formula>2</formula>
    </cfRule>
    <cfRule type="cellIs" dxfId="1124" priority="3311" operator="between">
      <formula>0</formula>
      <formula>1</formula>
    </cfRule>
  </conditionalFormatting>
  <conditionalFormatting sqref="L369:L370">
    <cfRule type="cellIs" dxfId="1123" priority="3300" operator="between">
      <formula>0</formula>
      <formula>-100</formula>
    </cfRule>
    <cfRule type="cellIs" dxfId="1122" priority="3301" operator="between">
      <formula>2</formula>
      <formula>100</formula>
    </cfRule>
    <cfRule type="cellIs" dxfId="1121" priority="3302" operator="between">
      <formula>1</formula>
      <formula>2</formula>
    </cfRule>
    <cfRule type="cellIs" dxfId="1120" priority="3303" operator="between">
      <formula>0</formula>
      <formula>1</formula>
    </cfRule>
  </conditionalFormatting>
  <conditionalFormatting sqref="L368">
    <cfRule type="cellIs" dxfId="1119" priority="3304" operator="between">
      <formula>0</formula>
      <formula>-100</formula>
    </cfRule>
    <cfRule type="cellIs" dxfId="1118" priority="3305" operator="between">
      <formula>2</formula>
      <formula>100</formula>
    </cfRule>
    <cfRule type="cellIs" dxfId="1117" priority="3306" operator="between">
      <formula>1</formula>
      <formula>2</formula>
    </cfRule>
    <cfRule type="cellIs" dxfId="1116" priority="3307" operator="between">
      <formula>0</formula>
      <formula>1</formula>
    </cfRule>
  </conditionalFormatting>
  <conditionalFormatting sqref="L347:L353">
    <cfRule type="cellIs" dxfId="1115" priority="3296" operator="between">
      <formula>0</formula>
      <formula>-100</formula>
    </cfRule>
    <cfRule type="cellIs" dxfId="1114" priority="3297" operator="between">
      <formula>2</formula>
      <formula>100</formula>
    </cfRule>
    <cfRule type="cellIs" dxfId="1113" priority="3298" operator="between">
      <formula>1</formula>
      <formula>2</formula>
    </cfRule>
    <cfRule type="cellIs" dxfId="1112" priority="3299" operator="between">
      <formula>0</formula>
      <formula>1</formula>
    </cfRule>
  </conditionalFormatting>
  <conditionalFormatting sqref="L355:L356">
    <cfRule type="cellIs" dxfId="1111" priority="3288" operator="between">
      <formula>0</formula>
      <formula>-100</formula>
    </cfRule>
    <cfRule type="cellIs" dxfId="1110" priority="3289" operator="between">
      <formula>2</formula>
      <formula>100</formula>
    </cfRule>
    <cfRule type="cellIs" dxfId="1109" priority="3290" operator="between">
      <formula>1</formula>
      <formula>2</formula>
    </cfRule>
    <cfRule type="cellIs" dxfId="1108" priority="3291" operator="between">
      <formula>0</formula>
      <formula>1</formula>
    </cfRule>
  </conditionalFormatting>
  <conditionalFormatting sqref="L354">
    <cfRule type="cellIs" dxfId="1107" priority="3292" operator="between">
      <formula>0</formula>
      <formula>-100</formula>
    </cfRule>
    <cfRule type="cellIs" dxfId="1106" priority="3293" operator="between">
      <formula>2</formula>
      <formula>100</formula>
    </cfRule>
    <cfRule type="cellIs" dxfId="1105" priority="3294" operator="between">
      <formula>1</formula>
      <formula>2</formula>
    </cfRule>
    <cfRule type="cellIs" dxfId="1104" priority="3295" operator="between">
      <formula>0</formula>
      <formula>1</formula>
    </cfRule>
  </conditionalFormatting>
  <conditionalFormatting sqref="L333:L339">
    <cfRule type="cellIs" dxfId="1103" priority="3284" operator="between">
      <formula>0</formula>
      <formula>-100</formula>
    </cfRule>
    <cfRule type="cellIs" dxfId="1102" priority="3285" operator="between">
      <formula>2</formula>
      <formula>100</formula>
    </cfRule>
    <cfRule type="cellIs" dxfId="1101" priority="3286" operator="between">
      <formula>1</formula>
      <formula>2</formula>
    </cfRule>
    <cfRule type="cellIs" dxfId="1100" priority="3287" operator="between">
      <formula>0</formula>
      <formula>1</formula>
    </cfRule>
  </conditionalFormatting>
  <conditionalFormatting sqref="L341:L342">
    <cfRule type="cellIs" dxfId="1099" priority="3276" operator="between">
      <formula>0</formula>
      <formula>-100</formula>
    </cfRule>
    <cfRule type="cellIs" dxfId="1098" priority="3277" operator="between">
      <formula>2</formula>
      <formula>100</formula>
    </cfRule>
    <cfRule type="cellIs" dxfId="1097" priority="3278" operator="between">
      <formula>1</formula>
      <formula>2</formula>
    </cfRule>
    <cfRule type="cellIs" dxfId="1096" priority="3279" operator="between">
      <formula>0</formula>
      <formula>1</formula>
    </cfRule>
  </conditionalFormatting>
  <conditionalFormatting sqref="L340">
    <cfRule type="cellIs" dxfId="1095" priority="3280" operator="between">
      <formula>0</formula>
      <formula>-100</formula>
    </cfRule>
    <cfRule type="cellIs" dxfId="1094" priority="3281" operator="between">
      <formula>2</formula>
      <formula>100</formula>
    </cfRule>
    <cfRule type="cellIs" dxfId="1093" priority="3282" operator="between">
      <formula>1</formula>
      <formula>2</formula>
    </cfRule>
    <cfRule type="cellIs" dxfId="1092" priority="3283" operator="between">
      <formula>0</formula>
      <formula>1</formula>
    </cfRule>
  </conditionalFormatting>
  <conditionalFormatting sqref="L319:L325">
    <cfRule type="cellIs" dxfId="1091" priority="3272" operator="between">
      <formula>0</formula>
      <formula>-100</formula>
    </cfRule>
    <cfRule type="cellIs" dxfId="1090" priority="3273" operator="between">
      <formula>2</formula>
      <formula>100</formula>
    </cfRule>
    <cfRule type="cellIs" dxfId="1089" priority="3274" operator="between">
      <formula>1</formula>
      <formula>2</formula>
    </cfRule>
    <cfRule type="cellIs" dxfId="1088" priority="3275" operator="between">
      <formula>0</formula>
      <formula>1</formula>
    </cfRule>
  </conditionalFormatting>
  <conditionalFormatting sqref="L327:L328">
    <cfRule type="cellIs" dxfId="1087" priority="3264" operator="between">
      <formula>0</formula>
      <formula>-100</formula>
    </cfRule>
    <cfRule type="cellIs" dxfId="1086" priority="3265" operator="between">
      <formula>2</formula>
      <formula>100</formula>
    </cfRule>
    <cfRule type="cellIs" dxfId="1085" priority="3266" operator="between">
      <formula>1</formula>
      <formula>2</formula>
    </cfRule>
    <cfRule type="cellIs" dxfId="1084" priority="3267" operator="between">
      <formula>0</formula>
      <formula>1</formula>
    </cfRule>
  </conditionalFormatting>
  <conditionalFormatting sqref="L326">
    <cfRule type="cellIs" dxfId="1083" priority="3268" operator="between">
      <formula>0</formula>
      <formula>-100</formula>
    </cfRule>
    <cfRule type="cellIs" dxfId="1082" priority="3269" operator="between">
      <formula>2</formula>
      <formula>100</formula>
    </cfRule>
    <cfRule type="cellIs" dxfId="1081" priority="3270" operator="between">
      <formula>1</formula>
      <formula>2</formula>
    </cfRule>
    <cfRule type="cellIs" dxfId="1080" priority="3271" operator="between">
      <formula>0</formula>
      <formula>1</formula>
    </cfRule>
  </conditionalFormatting>
  <conditionalFormatting sqref="L275:L281">
    <cfRule type="cellIs" dxfId="1079" priority="3260" operator="between">
      <formula>0</formula>
      <formula>-100</formula>
    </cfRule>
    <cfRule type="cellIs" dxfId="1078" priority="3261" operator="between">
      <formula>2</formula>
      <formula>100</formula>
    </cfRule>
    <cfRule type="cellIs" dxfId="1077" priority="3262" operator="between">
      <formula>1</formula>
      <formula>2</formula>
    </cfRule>
    <cfRule type="cellIs" dxfId="1076" priority="3263" operator="between">
      <formula>0</formula>
      <formula>1</formula>
    </cfRule>
  </conditionalFormatting>
  <conditionalFormatting sqref="L283:L284">
    <cfRule type="cellIs" dxfId="1075" priority="3252" operator="between">
      <formula>0</formula>
      <formula>-100</formula>
    </cfRule>
    <cfRule type="cellIs" dxfId="1074" priority="3253" operator="between">
      <formula>2</formula>
      <formula>100</formula>
    </cfRule>
    <cfRule type="cellIs" dxfId="1073" priority="3254" operator="between">
      <formula>1</formula>
      <formula>2</formula>
    </cfRule>
    <cfRule type="cellIs" dxfId="1072" priority="3255" operator="between">
      <formula>0</formula>
      <formula>1</formula>
    </cfRule>
  </conditionalFormatting>
  <conditionalFormatting sqref="L282">
    <cfRule type="cellIs" dxfId="1071" priority="3256" operator="between">
      <formula>0</formula>
      <formula>-100</formula>
    </cfRule>
    <cfRule type="cellIs" dxfId="1070" priority="3257" operator="between">
      <formula>2</formula>
      <formula>100</formula>
    </cfRule>
    <cfRule type="cellIs" dxfId="1069" priority="3258" operator="between">
      <formula>1</formula>
      <formula>2</formula>
    </cfRule>
    <cfRule type="cellIs" dxfId="1068" priority="3259" operator="between">
      <formula>0</formula>
      <formula>1</formula>
    </cfRule>
  </conditionalFormatting>
  <conditionalFormatting sqref="L261:L267">
    <cfRule type="cellIs" dxfId="1067" priority="3248" operator="between">
      <formula>0</formula>
      <formula>-100</formula>
    </cfRule>
    <cfRule type="cellIs" dxfId="1066" priority="3249" operator="between">
      <formula>2</formula>
      <formula>100</formula>
    </cfRule>
    <cfRule type="cellIs" dxfId="1065" priority="3250" operator="between">
      <formula>1</formula>
      <formula>2</formula>
    </cfRule>
    <cfRule type="cellIs" dxfId="1064" priority="3251" operator="between">
      <formula>0</formula>
      <formula>1</formula>
    </cfRule>
  </conditionalFormatting>
  <conditionalFormatting sqref="L269:L270">
    <cfRule type="cellIs" dxfId="1063" priority="3240" operator="between">
      <formula>0</formula>
      <formula>-100</formula>
    </cfRule>
    <cfRule type="cellIs" dxfId="1062" priority="3241" operator="between">
      <formula>2</formula>
      <formula>100</formula>
    </cfRule>
    <cfRule type="cellIs" dxfId="1061" priority="3242" operator="between">
      <formula>1</formula>
      <formula>2</formula>
    </cfRule>
    <cfRule type="cellIs" dxfId="1060" priority="3243" operator="between">
      <formula>0</formula>
      <formula>1</formula>
    </cfRule>
  </conditionalFormatting>
  <conditionalFormatting sqref="L268">
    <cfRule type="cellIs" dxfId="1059" priority="3244" operator="between">
      <formula>0</formula>
      <formula>-100</formula>
    </cfRule>
    <cfRule type="cellIs" dxfId="1058" priority="3245" operator="between">
      <formula>2</formula>
      <formula>100</formula>
    </cfRule>
    <cfRule type="cellIs" dxfId="1057" priority="3246" operator="between">
      <formula>1</formula>
      <formula>2</formula>
    </cfRule>
    <cfRule type="cellIs" dxfId="1056" priority="3247" operator="between">
      <formula>0</formula>
      <formula>1</formula>
    </cfRule>
  </conditionalFormatting>
  <conditionalFormatting sqref="L247:L253">
    <cfRule type="cellIs" dxfId="1055" priority="3236" operator="between">
      <formula>0</formula>
      <formula>-100</formula>
    </cfRule>
    <cfRule type="cellIs" dxfId="1054" priority="3237" operator="between">
      <formula>2</formula>
      <formula>100</formula>
    </cfRule>
    <cfRule type="cellIs" dxfId="1053" priority="3238" operator="between">
      <formula>1</formula>
      <formula>2</formula>
    </cfRule>
    <cfRule type="cellIs" dxfId="1052" priority="3239" operator="between">
      <formula>0</formula>
      <formula>1</formula>
    </cfRule>
  </conditionalFormatting>
  <conditionalFormatting sqref="L255:L256">
    <cfRule type="cellIs" dxfId="1051" priority="3228" operator="between">
      <formula>0</formula>
      <formula>-100</formula>
    </cfRule>
    <cfRule type="cellIs" dxfId="1050" priority="3229" operator="between">
      <formula>2</formula>
      <formula>100</formula>
    </cfRule>
    <cfRule type="cellIs" dxfId="1049" priority="3230" operator="between">
      <formula>1</formula>
      <formula>2</formula>
    </cfRule>
    <cfRule type="cellIs" dxfId="1048" priority="3231" operator="between">
      <formula>0</formula>
      <formula>1</formula>
    </cfRule>
  </conditionalFormatting>
  <conditionalFormatting sqref="L254">
    <cfRule type="cellIs" dxfId="1047" priority="3232" operator="between">
      <formula>0</formula>
      <formula>-100</formula>
    </cfRule>
    <cfRule type="cellIs" dxfId="1046" priority="3233" operator="between">
      <formula>2</formula>
      <formula>100</formula>
    </cfRule>
    <cfRule type="cellIs" dxfId="1045" priority="3234" operator="between">
      <formula>1</formula>
      <formula>2</formula>
    </cfRule>
    <cfRule type="cellIs" dxfId="1044" priority="3235" operator="between">
      <formula>0</formula>
      <formula>1</formula>
    </cfRule>
  </conditionalFormatting>
  <conditionalFormatting sqref="L233:L239">
    <cfRule type="cellIs" dxfId="1043" priority="3224" operator="between">
      <formula>0</formula>
      <formula>-100</formula>
    </cfRule>
    <cfRule type="cellIs" dxfId="1042" priority="3225" operator="between">
      <formula>2</formula>
      <formula>100</formula>
    </cfRule>
    <cfRule type="cellIs" dxfId="1041" priority="3226" operator="between">
      <formula>1</formula>
      <formula>2</formula>
    </cfRule>
    <cfRule type="cellIs" dxfId="1040" priority="3227" operator="between">
      <formula>0</formula>
      <formula>1</formula>
    </cfRule>
  </conditionalFormatting>
  <conditionalFormatting sqref="L241:L242">
    <cfRule type="cellIs" dxfId="1039" priority="3216" operator="between">
      <formula>0</formula>
      <formula>-100</formula>
    </cfRule>
    <cfRule type="cellIs" dxfId="1038" priority="3217" operator="between">
      <formula>2</formula>
      <formula>100</formula>
    </cfRule>
    <cfRule type="cellIs" dxfId="1037" priority="3218" operator="between">
      <formula>1</formula>
      <formula>2</formula>
    </cfRule>
    <cfRule type="cellIs" dxfId="1036" priority="3219" operator="between">
      <formula>0</formula>
      <formula>1</formula>
    </cfRule>
  </conditionalFormatting>
  <conditionalFormatting sqref="L240">
    <cfRule type="cellIs" dxfId="1035" priority="3220" operator="between">
      <formula>0</formula>
      <formula>-100</formula>
    </cfRule>
    <cfRule type="cellIs" dxfId="1034" priority="3221" operator="between">
      <formula>2</formula>
      <formula>100</formula>
    </cfRule>
    <cfRule type="cellIs" dxfId="1033" priority="3222" operator="between">
      <formula>1</formula>
      <formula>2</formula>
    </cfRule>
    <cfRule type="cellIs" dxfId="1032" priority="3223" operator="between">
      <formula>0</formula>
      <formula>1</formula>
    </cfRule>
  </conditionalFormatting>
  <conditionalFormatting sqref="L219:L225">
    <cfRule type="cellIs" dxfId="1031" priority="3212" operator="between">
      <formula>0</formula>
      <formula>-100</formula>
    </cfRule>
    <cfRule type="cellIs" dxfId="1030" priority="3213" operator="between">
      <formula>2</formula>
      <formula>100</formula>
    </cfRule>
    <cfRule type="cellIs" dxfId="1029" priority="3214" operator="between">
      <formula>1</formula>
      <formula>2</formula>
    </cfRule>
    <cfRule type="cellIs" dxfId="1028" priority="3215" operator="between">
      <formula>0</formula>
      <formula>1</formula>
    </cfRule>
  </conditionalFormatting>
  <conditionalFormatting sqref="L227:L228">
    <cfRule type="cellIs" dxfId="1027" priority="3204" operator="between">
      <formula>0</formula>
      <formula>-100</formula>
    </cfRule>
    <cfRule type="cellIs" dxfId="1026" priority="3205" operator="between">
      <formula>2</formula>
      <formula>100</formula>
    </cfRule>
    <cfRule type="cellIs" dxfId="1025" priority="3206" operator="between">
      <formula>1</formula>
      <formula>2</formula>
    </cfRule>
    <cfRule type="cellIs" dxfId="1024" priority="3207" operator="between">
      <formula>0</formula>
      <formula>1</formula>
    </cfRule>
  </conditionalFormatting>
  <conditionalFormatting sqref="L226">
    <cfRule type="cellIs" dxfId="1023" priority="3208" operator="between">
      <formula>0</formula>
      <formula>-100</formula>
    </cfRule>
    <cfRule type="cellIs" dxfId="1022" priority="3209" operator="between">
      <formula>2</formula>
      <formula>100</formula>
    </cfRule>
    <cfRule type="cellIs" dxfId="1021" priority="3210" operator="between">
      <formula>1</formula>
      <formula>2</formula>
    </cfRule>
    <cfRule type="cellIs" dxfId="1020" priority="3211" operator="between">
      <formula>0</formula>
      <formula>1</formula>
    </cfRule>
  </conditionalFormatting>
  <conditionalFormatting sqref="L205:L211">
    <cfRule type="cellIs" dxfId="1019" priority="3200" operator="between">
      <formula>0</formula>
      <formula>-100</formula>
    </cfRule>
    <cfRule type="cellIs" dxfId="1018" priority="3201" operator="between">
      <formula>2</formula>
      <formula>100</formula>
    </cfRule>
    <cfRule type="cellIs" dxfId="1017" priority="3202" operator="between">
      <formula>1</formula>
      <formula>2</formula>
    </cfRule>
    <cfRule type="cellIs" dxfId="1016" priority="3203" operator="between">
      <formula>0</formula>
      <formula>1</formula>
    </cfRule>
  </conditionalFormatting>
  <conditionalFormatting sqref="L213:L214">
    <cfRule type="cellIs" dxfId="1015" priority="3192" operator="between">
      <formula>0</formula>
      <formula>-100</formula>
    </cfRule>
    <cfRule type="cellIs" dxfId="1014" priority="3193" operator="between">
      <formula>2</formula>
      <formula>100</formula>
    </cfRule>
    <cfRule type="cellIs" dxfId="1013" priority="3194" operator="between">
      <formula>1</formula>
      <formula>2</formula>
    </cfRule>
    <cfRule type="cellIs" dxfId="1012" priority="3195" operator="between">
      <formula>0</formula>
      <formula>1</formula>
    </cfRule>
  </conditionalFormatting>
  <conditionalFormatting sqref="L212">
    <cfRule type="cellIs" dxfId="1011" priority="3196" operator="between">
      <formula>0</formula>
      <formula>-100</formula>
    </cfRule>
    <cfRule type="cellIs" dxfId="1010" priority="3197" operator="between">
      <formula>2</formula>
      <formula>100</formula>
    </cfRule>
    <cfRule type="cellIs" dxfId="1009" priority="3198" operator="between">
      <formula>1</formula>
      <formula>2</formula>
    </cfRule>
    <cfRule type="cellIs" dxfId="1008" priority="3199" operator="between">
      <formula>0</formula>
      <formula>1</formula>
    </cfRule>
  </conditionalFormatting>
  <conditionalFormatting sqref="L191:L197">
    <cfRule type="cellIs" dxfId="1007" priority="3188" operator="between">
      <formula>0</formula>
      <formula>-100</formula>
    </cfRule>
    <cfRule type="cellIs" dxfId="1006" priority="3189" operator="between">
      <formula>2</formula>
      <formula>100</formula>
    </cfRule>
    <cfRule type="cellIs" dxfId="1005" priority="3190" operator="between">
      <formula>1</formula>
      <formula>2</formula>
    </cfRule>
    <cfRule type="cellIs" dxfId="1004" priority="3191" operator="between">
      <formula>0</formula>
      <formula>1</formula>
    </cfRule>
  </conditionalFormatting>
  <conditionalFormatting sqref="L199:L200">
    <cfRule type="cellIs" dxfId="1003" priority="3180" operator="between">
      <formula>0</formula>
      <formula>-100</formula>
    </cfRule>
    <cfRule type="cellIs" dxfId="1002" priority="3181" operator="between">
      <formula>2</formula>
      <formula>100</formula>
    </cfRule>
    <cfRule type="cellIs" dxfId="1001" priority="3182" operator="between">
      <formula>1</formula>
      <formula>2</formula>
    </cfRule>
    <cfRule type="cellIs" dxfId="1000" priority="3183" operator="between">
      <formula>0</formula>
      <formula>1</formula>
    </cfRule>
  </conditionalFormatting>
  <conditionalFormatting sqref="L198">
    <cfRule type="cellIs" dxfId="999" priority="3184" operator="between">
      <formula>0</formula>
      <formula>-100</formula>
    </cfRule>
    <cfRule type="cellIs" dxfId="998" priority="3185" operator="between">
      <formula>2</formula>
      <formula>100</formula>
    </cfRule>
    <cfRule type="cellIs" dxfId="997" priority="3186" operator="between">
      <formula>1</formula>
      <formula>2</formula>
    </cfRule>
    <cfRule type="cellIs" dxfId="996" priority="3187" operator="between">
      <formula>0</formula>
      <formula>1</formula>
    </cfRule>
  </conditionalFormatting>
  <conditionalFormatting sqref="L177:L183">
    <cfRule type="cellIs" dxfId="995" priority="3176" operator="between">
      <formula>0</formula>
      <formula>-100</formula>
    </cfRule>
    <cfRule type="cellIs" dxfId="994" priority="3177" operator="between">
      <formula>2</formula>
      <formula>100</formula>
    </cfRule>
    <cfRule type="cellIs" dxfId="993" priority="3178" operator="between">
      <formula>1</formula>
      <formula>2</formula>
    </cfRule>
    <cfRule type="cellIs" dxfId="992" priority="3179" operator="between">
      <formula>0</formula>
      <formula>1</formula>
    </cfRule>
  </conditionalFormatting>
  <conditionalFormatting sqref="L185:L186">
    <cfRule type="cellIs" dxfId="991" priority="3168" operator="between">
      <formula>0</formula>
      <formula>-100</formula>
    </cfRule>
    <cfRule type="cellIs" dxfId="990" priority="3169" operator="between">
      <formula>2</formula>
      <formula>100</formula>
    </cfRule>
    <cfRule type="cellIs" dxfId="989" priority="3170" operator="between">
      <formula>1</formula>
      <formula>2</formula>
    </cfRule>
    <cfRule type="cellIs" dxfId="988" priority="3171" operator="between">
      <formula>0</formula>
      <formula>1</formula>
    </cfRule>
  </conditionalFormatting>
  <conditionalFormatting sqref="L184">
    <cfRule type="cellIs" dxfId="987" priority="3172" operator="between">
      <formula>0</formula>
      <formula>-100</formula>
    </cfRule>
    <cfRule type="cellIs" dxfId="986" priority="3173" operator="between">
      <formula>2</formula>
      <formula>100</formula>
    </cfRule>
    <cfRule type="cellIs" dxfId="985" priority="3174" operator="between">
      <formula>1</formula>
      <formula>2</formula>
    </cfRule>
    <cfRule type="cellIs" dxfId="984" priority="3175" operator="between">
      <formula>0</formula>
      <formula>1</formula>
    </cfRule>
  </conditionalFormatting>
  <conditionalFormatting sqref="L163:L169">
    <cfRule type="cellIs" dxfId="983" priority="3164" operator="between">
      <formula>0</formula>
      <formula>-100</formula>
    </cfRule>
    <cfRule type="cellIs" dxfId="982" priority="3165" operator="between">
      <formula>2</formula>
      <formula>100</formula>
    </cfRule>
    <cfRule type="cellIs" dxfId="981" priority="3166" operator="between">
      <formula>1</formula>
      <formula>2</formula>
    </cfRule>
    <cfRule type="cellIs" dxfId="980" priority="3167" operator="between">
      <formula>0</formula>
      <formula>1</formula>
    </cfRule>
  </conditionalFormatting>
  <conditionalFormatting sqref="L171:L172">
    <cfRule type="cellIs" dxfId="979" priority="3156" operator="between">
      <formula>0</formula>
      <formula>-100</formula>
    </cfRule>
    <cfRule type="cellIs" dxfId="978" priority="3157" operator="between">
      <formula>2</formula>
      <formula>100</formula>
    </cfRule>
    <cfRule type="cellIs" dxfId="977" priority="3158" operator="between">
      <formula>1</formula>
      <formula>2</formula>
    </cfRule>
    <cfRule type="cellIs" dxfId="976" priority="3159" operator="between">
      <formula>0</formula>
      <formula>1</formula>
    </cfRule>
  </conditionalFormatting>
  <conditionalFormatting sqref="L170">
    <cfRule type="cellIs" dxfId="975" priority="3160" operator="between">
      <formula>0</formula>
      <formula>-100</formula>
    </cfRule>
    <cfRule type="cellIs" dxfId="974" priority="3161" operator="between">
      <formula>2</formula>
      <formula>100</formula>
    </cfRule>
    <cfRule type="cellIs" dxfId="973" priority="3162" operator="between">
      <formula>1</formula>
      <formula>2</formula>
    </cfRule>
    <cfRule type="cellIs" dxfId="972" priority="3163" operator="between">
      <formula>0</formula>
      <formula>1</formula>
    </cfRule>
  </conditionalFormatting>
  <conditionalFormatting sqref="S163:S172">
    <cfRule type="containsText" dxfId="971" priority="3098" operator="containsText" text="a">
      <formula>NOT(ISERROR(SEARCH("a",S163)))</formula>
    </cfRule>
    <cfRule type="containsText" dxfId="970" priority="3099" operator="containsText" text="r">
      <formula>NOT(ISERROR(SEARCH("r",S163)))</formula>
    </cfRule>
  </conditionalFormatting>
  <conditionalFormatting sqref="S177:S186">
    <cfRule type="containsText" dxfId="969" priority="3094" operator="containsText" text="a">
      <formula>NOT(ISERROR(SEARCH("a",S177)))</formula>
    </cfRule>
    <cfRule type="containsText" dxfId="968" priority="3095" operator="containsText" text="r">
      <formula>NOT(ISERROR(SEARCH("r",S177)))</formula>
    </cfRule>
  </conditionalFormatting>
  <conditionalFormatting sqref="S191:S200">
    <cfRule type="containsText" dxfId="967" priority="3090" operator="containsText" text="a">
      <formula>NOT(ISERROR(SEARCH("a",S191)))</formula>
    </cfRule>
    <cfRule type="containsText" dxfId="966" priority="3091" operator="containsText" text="r">
      <formula>NOT(ISERROR(SEARCH("r",S191)))</formula>
    </cfRule>
  </conditionalFormatting>
  <conditionalFormatting sqref="S205:S214">
    <cfRule type="containsText" dxfId="965" priority="3086" operator="containsText" text="a">
      <formula>NOT(ISERROR(SEARCH("a",S205)))</formula>
    </cfRule>
    <cfRule type="containsText" dxfId="964" priority="3087" operator="containsText" text="r">
      <formula>NOT(ISERROR(SEARCH("r",S205)))</formula>
    </cfRule>
  </conditionalFormatting>
  <conditionalFormatting sqref="S219:S228">
    <cfRule type="containsText" dxfId="963" priority="3082" operator="containsText" text="a">
      <formula>NOT(ISERROR(SEARCH("a",S219)))</formula>
    </cfRule>
    <cfRule type="containsText" dxfId="962" priority="3083" operator="containsText" text="r">
      <formula>NOT(ISERROR(SEARCH("r",S219)))</formula>
    </cfRule>
  </conditionalFormatting>
  <conditionalFormatting sqref="S233:S242">
    <cfRule type="containsText" dxfId="961" priority="3078" operator="containsText" text="a">
      <formula>NOT(ISERROR(SEARCH("a",S233)))</formula>
    </cfRule>
    <cfRule type="containsText" dxfId="960" priority="3079" operator="containsText" text="r">
      <formula>NOT(ISERROR(SEARCH("r",S233)))</formula>
    </cfRule>
  </conditionalFormatting>
  <conditionalFormatting sqref="S247:S256">
    <cfRule type="containsText" dxfId="959" priority="3074" operator="containsText" text="a">
      <formula>NOT(ISERROR(SEARCH("a",S247)))</formula>
    </cfRule>
    <cfRule type="containsText" dxfId="958" priority="3075" operator="containsText" text="r">
      <formula>NOT(ISERROR(SEARCH("r",S247)))</formula>
    </cfRule>
  </conditionalFormatting>
  <conditionalFormatting sqref="S261:S270">
    <cfRule type="containsText" dxfId="957" priority="3070" operator="containsText" text="a">
      <formula>NOT(ISERROR(SEARCH("a",S261)))</formula>
    </cfRule>
    <cfRule type="containsText" dxfId="956" priority="3071" operator="containsText" text="r">
      <formula>NOT(ISERROR(SEARCH("r",S261)))</formula>
    </cfRule>
  </conditionalFormatting>
  <conditionalFormatting sqref="S275:S284">
    <cfRule type="containsText" dxfId="955" priority="3066" operator="containsText" text="a">
      <formula>NOT(ISERROR(SEARCH("a",S275)))</formula>
    </cfRule>
    <cfRule type="containsText" dxfId="954" priority="3067" operator="containsText" text="r">
      <formula>NOT(ISERROR(SEARCH("r",S275)))</formula>
    </cfRule>
  </conditionalFormatting>
  <conditionalFormatting sqref="S319:S328">
    <cfRule type="containsText" dxfId="953" priority="3062" operator="containsText" text="a">
      <formula>NOT(ISERROR(SEARCH("a",S319)))</formula>
    </cfRule>
    <cfRule type="containsText" dxfId="952" priority="3063" operator="containsText" text="r">
      <formula>NOT(ISERROR(SEARCH("r",S319)))</formula>
    </cfRule>
  </conditionalFormatting>
  <conditionalFormatting sqref="S333:S342">
    <cfRule type="containsText" dxfId="951" priority="3058" operator="containsText" text="a">
      <formula>NOT(ISERROR(SEARCH("a",S333)))</formula>
    </cfRule>
    <cfRule type="containsText" dxfId="950" priority="3059" operator="containsText" text="r">
      <formula>NOT(ISERROR(SEARCH("r",S333)))</formula>
    </cfRule>
  </conditionalFormatting>
  <conditionalFormatting sqref="S347:S356">
    <cfRule type="containsText" dxfId="949" priority="3054" operator="containsText" text="a">
      <formula>NOT(ISERROR(SEARCH("a",S347)))</formula>
    </cfRule>
    <cfRule type="containsText" dxfId="948" priority="3055" operator="containsText" text="r">
      <formula>NOT(ISERROR(SEARCH("r",S347)))</formula>
    </cfRule>
  </conditionalFormatting>
  <conditionalFormatting sqref="S361:S370">
    <cfRule type="containsText" dxfId="947" priority="3050" operator="containsText" text="a">
      <formula>NOT(ISERROR(SEARCH("a",S361)))</formula>
    </cfRule>
    <cfRule type="containsText" dxfId="946" priority="3051" operator="containsText" text="r">
      <formula>NOT(ISERROR(SEARCH("r",S361)))</formula>
    </cfRule>
  </conditionalFormatting>
  <conditionalFormatting sqref="S375:S384">
    <cfRule type="containsText" dxfId="945" priority="3046" operator="containsText" text="a">
      <formula>NOT(ISERROR(SEARCH("a",S375)))</formula>
    </cfRule>
    <cfRule type="containsText" dxfId="944" priority="3047" operator="containsText" text="r">
      <formula>NOT(ISERROR(SEARCH("r",S375)))</formula>
    </cfRule>
  </conditionalFormatting>
  <conditionalFormatting sqref="S389:S398">
    <cfRule type="containsText" dxfId="943" priority="3042" operator="containsText" text="a">
      <formula>NOT(ISERROR(SEARCH("a",S389)))</formula>
    </cfRule>
    <cfRule type="containsText" dxfId="942" priority="3043" operator="containsText" text="r">
      <formula>NOT(ISERROR(SEARCH("r",S389)))</formula>
    </cfRule>
  </conditionalFormatting>
  <conditionalFormatting sqref="S403:S412">
    <cfRule type="containsText" dxfId="941" priority="3038" operator="containsText" text="a">
      <formula>NOT(ISERROR(SEARCH("a",S403)))</formula>
    </cfRule>
    <cfRule type="containsText" dxfId="940" priority="3039" operator="containsText" text="r">
      <formula>NOT(ISERROR(SEARCH("r",S403)))</formula>
    </cfRule>
  </conditionalFormatting>
  <conditionalFormatting sqref="S417:S426">
    <cfRule type="containsText" dxfId="939" priority="3034" operator="containsText" text="a">
      <formula>NOT(ISERROR(SEARCH("a",S417)))</formula>
    </cfRule>
    <cfRule type="containsText" dxfId="938" priority="3035" operator="containsText" text="r">
      <formula>NOT(ISERROR(SEARCH("r",S417)))</formula>
    </cfRule>
  </conditionalFormatting>
  <conditionalFormatting sqref="S431:S440">
    <cfRule type="containsText" dxfId="937" priority="3030" operator="containsText" text="a">
      <formula>NOT(ISERROR(SEARCH("a",S431)))</formula>
    </cfRule>
    <cfRule type="containsText" dxfId="936" priority="3031" operator="containsText" text="r">
      <formula>NOT(ISERROR(SEARCH("r",S431)))</formula>
    </cfRule>
  </conditionalFormatting>
  <conditionalFormatting sqref="S461:S470">
    <cfRule type="containsText" dxfId="935" priority="3026" operator="containsText" text="a">
      <formula>NOT(ISERROR(SEARCH("a",S461)))</formula>
    </cfRule>
    <cfRule type="containsText" dxfId="934" priority="3027" operator="containsText" text="r">
      <formula>NOT(ISERROR(SEARCH("r",S461)))</formula>
    </cfRule>
  </conditionalFormatting>
  <conditionalFormatting sqref="S475:S484">
    <cfRule type="containsText" dxfId="933" priority="3022" operator="containsText" text="a">
      <formula>NOT(ISERROR(SEARCH("a",S475)))</formula>
    </cfRule>
    <cfRule type="containsText" dxfId="932" priority="3023" operator="containsText" text="r">
      <formula>NOT(ISERROR(SEARCH("r",S475)))</formula>
    </cfRule>
  </conditionalFormatting>
  <conditionalFormatting sqref="S489:S498">
    <cfRule type="containsText" dxfId="931" priority="3018" operator="containsText" text="a">
      <formula>NOT(ISERROR(SEARCH("a",S489)))</formula>
    </cfRule>
    <cfRule type="containsText" dxfId="930" priority="3019" operator="containsText" text="r">
      <formula>NOT(ISERROR(SEARCH("r",S489)))</formula>
    </cfRule>
  </conditionalFormatting>
  <conditionalFormatting sqref="S503:S512">
    <cfRule type="containsText" dxfId="929" priority="3014" operator="containsText" text="a">
      <formula>NOT(ISERROR(SEARCH("a",S503)))</formula>
    </cfRule>
    <cfRule type="containsText" dxfId="928" priority="3015" operator="containsText" text="r">
      <formula>NOT(ISERROR(SEARCH("r",S503)))</formula>
    </cfRule>
  </conditionalFormatting>
  <conditionalFormatting sqref="S517:S526">
    <cfRule type="containsText" dxfId="927" priority="3010" operator="containsText" text="a">
      <formula>NOT(ISERROR(SEARCH("a",S517)))</formula>
    </cfRule>
    <cfRule type="containsText" dxfId="926" priority="3011" operator="containsText" text="r">
      <formula>NOT(ISERROR(SEARCH("r",S517)))</formula>
    </cfRule>
  </conditionalFormatting>
  <conditionalFormatting sqref="S531:S540">
    <cfRule type="containsText" dxfId="925" priority="3006" operator="containsText" text="a">
      <formula>NOT(ISERROR(SEARCH("a",S531)))</formula>
    </cfRule>
    <cfRule type="containsText" dxfId="924" priority="3007" operator="containsText" text="r">
      <formula>NOT(ISERROR(SEARCH("r",S531)))</formula>
    </cfRule>
  </conditionalFormatting>
  <conditionalFormatting sqref="S545:S554">
    <cfRule type="containsText" dxfId="923" priority="3002" operator="containsText" text="a">
      <formula>NOT(ISERROR(SEARCH("a",S545)))</formula>
    </cfRule>
    <cfRule type="containsText" dxfId="922" priority="3003" operator="containsText" text="r">
      <formula>NOT(ISERROR(SEARCH("r",S545)))</formula>
    </cfRule>
  </conditionalFormatting>
  <conditionalFormatting sqref="S559:S568">
    <cfRule type="containsText" dxfId="921" priority="2998" operator="containsText" text="a">
      <formula>NOT(ISERROR(SEARCH("a",S559)))</formula>
    </cfRule>
    <cfRule type="containsText" dxfId="920" priority="2999" operator="containsText" text="r">
      <formula>NOT(ISERROR(SEARCH("r",S559)))</formula>
    </cfRule>
  </conditionalFormatting>
  <conditionalFormatting sqref="S573:S582">
    <cfRule type="containsText" dxfId="919" priority="2994" operator="containsText" text="a">
      <formula>NOT(ISERROR(SEARCH("a",S573)))</formula>
    </cfRule>
    <cfRule type="containsText" dxfId="918" priority="2995" operator="containsText" text="r">
      <formula>NOT(ISERROR(SEARCH("r",S573)))</formula>
    </cfRule>
  </conditionalFormatting>
  <conditionalFormatting sqref="S587:S596">
    <cfRule type="containsText" dxfId="917" priority="2990" operator="containsText" text="a">
      <formula>NOT(ISERROR(SEARCH("a",S587)))</formula>
    </cfRule>
    <cfRule type="containsText" dxfId="916" priority="2991" operator="containsText" text="r">
      <formula>NOT(ISERROR(SEARCH("r",S587)))</formula>
    </cfRule>
  </conditionalFormatting>
  <conditionalFormatting sqref="O461">
    <cfRule type="expression" dxfId="915" priority="2951">
      <formula>IF(L461="NO BET", TRUE, FALSE)</formula>
    </cfRule>
    <cfRule type="expression" priority="2953">
      <formula>(O461="")</formula>
    </cfRule>
  </conditionalFormatting>
  <conditionalFormatting sqref="O461">
    <cfRule type="expression" priority="2952">
      <formula>(O461="")</formula>
    </cfRule>
  </conditionalFormatting>
  <conditionalFormatting sqref="O463">
    <cfRule type="expression" priority="2950">
      <formula>(O463="")</formula>
    </cfRule>
  </conditionalFormatting>
  <conditionalFormatting sqref="O464">
    <cfRule type="expression" dxfId="914" priority="2947">
      <formula>IF(L464="NO BET", TRUE, FALSE)</formula>
    </cfRule>
    <cfRule type="expression" priority="2949">
      <formula>(O464="")</formula>
    </cfRule>
  </conditionalFormatting>
  <conditionalFormatting sqref="O464">
    <cfRule type="expression" priority="2948">
      <formula>(O464="")</formula>
    </cfRule>
  </conditionalFormatting>
  <conditionalFormatting sqref="O463">
    <cfRule type="expression" dxfId="913" priority="2944">
      <formula>IF(L463="NO BET", TRUE, FALSE)</formula>
    </cfRule>
    <cfRule type="expression" priority="2946">
      <formula>(O463="")</formula>
    </cfRule>
  </conditionalFormatting>
  <conditionalFormatting sqref="O463">
    <cfRule type="expression" priority="2945">
      <formula>(O463="")</formula>
    </cfRule>
  </conditionalFormatting>
  <conditionalFormatting sqref="O465">
    <cfRule type="expression" priority="2943">
      <formula>(O465="")</formula>
    </cfRule>
  </conditionalFormatting>
  <conditionalFormatting sqref="O466">
    <cfRule type="expression" dxfId="912" priority="2936">
      <formula>IF(L466="NO BET", TRUE, FALSE)</formula>
    </cfRule>
    <cfRule type="expression" priority="2942">
      <formula>(O466="")</formula>
    </cfRule>
  </conditionalFormatting>
  <conditionalFormatting sqref="O466">
    <cfRule type="expression" priority="2939">
      <formula>(O466="")</formula>
    </cfRule>
  </conditionalFormatting>
  <conditionalFormatting sqref="O465">
    <cfRule type="expression" dxfId="911" priority="2933">
      <formula>IF(L465="NO BET", TRUE, FALSE)</formula>
    </cfRule>
    <cfRule type="expression" priority="2935">
      <formula>(O465="")</formula>
    </cfRule>
  </conditionalFormatting>
  <conditionalFormatting sqref="O465">
    <cfRule type="expression" priority="2934">
      <formula>(O465="")</formula>
    </cfRule>
  </conditionalFormatting>
  <conditionalFormatting sqref="O467:O470">
    <cfRule type="expression" dxfId="910" priority="2924">
      <formula>AND(NOT(K467=O467),NOT(O467=""))</formula>
    </cfRule>
    <cfRule type="expression" dxfId="909" priority="2925">
      <formula>AND((K467=O467),NOT(O467=""))</formula>
    </cfRule>
  </conditionalFormatting>
  <conditionalFormatting sqref="O467">
    <cfRule type="expression" priority="2923">
      <formula>(O467="")</formula>
    </cfRule>
  </conditionalFormatting>
  <conditionalFormatting sqref="O468">
    <cfRule type="expression" dxfId="908" priority="2916">
      <formula>IF(L468="NO BET", TRUE, FALSE)</formula>
    </cfRule>
    <cfRule type="expression" priority="2922">
      <formula>(O468="")</formula>
    </cfRule>
  </conditionalFormatting>
  <conditionalFormatting sqref="O469">
    <cfRule type="expression" priority="2921">
      <formula>(O469="")</formula>
    </cfRule>
  </conditionalFormatting>
  <conditionalFormatting sqref="O470">
    <cfRule type="expression" priority="2920">
      <formula>(O470="")</formula>
    </cfRule>
  </conditionalFormatting>
  <conditionalFormatting sqref="O468">
    <cfRule type="expression" priority="2919">
      <formula>(O468="")</formula>
    </cfRule>
  </conditionalFormatting>
  <conditionalFormatting sqref="O469">
    <cfRule type="expression" priority="2918">
      <formula>(O469="")</formula>
    </cfRule>
  </conditionalFormatting>
  <conditionalFormatting sqref="O470">
    <cfRule type="expression" priority="2917">
      <formula>(O470="")</formula>
    </cfRule>
  </conditionalFormatting>
  <conditionalFormatting sqref="O467">
    <cfRule type="expression" dxfId="907" priority="2913">
      <formula>IF(L467="NO BET", TRUE, FALSE)</formula>
    </cfRule>
    <cfRule type="expression" priority="2915">
      <formula>(O467="")</formula>
    </cfRule>
  </conditionalFormatting>
  <conditionalFormatting sqref="O467">
    <cfRule type="expression" priority="2914">
      <formula>(O467="")</formula>
    </cfRule>
  </conditionalFormatting>
  <conditionalFormatting sqref="O469">
    <cfRule type="expression" priority="2912">
      <formula>(O469="")</formula>
    </cfRule>
  </conditionalFormatting>
  <conditionalFormatting sqref="O470">
    <cfRule type="expression" dxfId="906" priority="2909">
      <formula>IF(L470="NO BET", TRUE, FALSE)</formula>
    </cfRule>
    <cfRule type="expression" priority="2911">
      <formula>(O470="")</formula>
    </cfRule>
  </conditionalFormatting>
  <conditionalFormatting sqref="O470">
    <cfRule type="expression" priority="2910">
      <formula>(O470="")</formula>
    </cfRule>
  </conditionalFormatting>
  <conditionalFormatting sqref="O469">
    <cfRule type="expression" dxfId="905" priority="2906">
      <formula>IF(L469="NO BET", TRUE, FALSE)</formula>
    </cfRule>
    <cfRule type="expression" priority="2908">
      <formula>(O469="")</formula>
    </cfRule>
  </conditionalFormatting>
  <conditionalFormatting sqref="O469">
    <cfRule type="expression" priority="2907">
      <formula>(O469="")</formula>
    </cfRule>
  </conditionalFormatting>
  <conditionalFormatting sqref="O475:O480">
    <cfRule type="expression" dxfId="904" priority="2904">
      <formula>AND(NOT(K475=O475),NOT(O475=""))</formula>
    </cfRule>
    <cfRule type="expression" dxfId="903" priority="2905">
      <formula>AND((K475=O475),NOT(O475=""))</formula>
    </cfRule>
  </conditionalFormatting>
  <conditionalFormatting sqref="O475">
    <cfRule type="expression" priority="2903">
      <formula>(O475="")</formula>
    </cfRule>
  </conditionalFormatting>
  <conditionalFormatting sqref="O476">
    <cfRule type="expression" dxfId="902" priority="2892">
      <formula>IF(L476="NO BET", TRUE, FALSE)</formula>
    </cfRule>
    <cfRule type="expression" priority="2902">
      <formula>(O476="")</formula>
    </cfRule>
  </conditionalFormatting>
  <conditionalFormatting sqref="O477">
    <cfRule type="expression" priority="2901">
      <formula>(O477="")</formula>
    </cfRule>
  </conditionalFormatting>
  <conditionalFormatting sqref="O478">
    <cfRule type="expression" priority="2900">
      <formula>(O478="")</formula>
    </cfRule>
  </conditionalFormatting>
  <conditionalFormatting sqref="O479">
    <cfRule type="expression" priority="2899">
      <formula>(O479="")</formula>
    </cfRule>
  </conditionalFormatting>
  <conditionalFormatting sqref="O480">
    <cfRule type="expression" priority="2898">
      <formula>(O480="")</formula>
    </cfRule>
  </conditionalFormatting>
  <conditionalFormatting sqref="O476">
    <cfRule type="expression" priority="2897">
      <formula>(O476="")</formula>
    </cfRule>
  </conditionalFormatting>
  <conditionalFormatting sqref="O477">
    <cfRule type="expression" priority="2896">
      <formula>(O477="")</formula>
    </cfRule>
  </conditionalFormatting>
  <conditionalFormatting sqref="O478">
    <cfRule type="expression" priority="2895">
      <formula>(O478="")</formula>
    </cfRule>
  </conditionalFormatting>
  <conditionalFormatting sqref="O479">
    <cfRule type="expression" priority="2894">
      <formula>(O479="")</formula>
    </cfRule>
  </conditionalFormatting>
  <conditionalFormatting sqref="O480">
    <cfRule type="expression" priority="2893">
      <formula>(O480="")</formula>
    </cfRule>
  </conditionalFormatting>
  <conditionalFormatting sqref="O475">
    <cfRule type="expression" dxfId="901" priority="2889">
      <formula>IF(L475="NO BET", TRUE, FALSE)</formula>
    </cfRule>
    <cfRule type="expression" priority="2891">
      <formula>(O475="")</formula>
    </cfRule>
  </conditionalFormatting>
  <conditionalFormatting sqref="O475">
    <cfRule type="expression" priority="2890">
      <formula>(O475="")</formula>
    </cfRule>
  </conditionalFormatting>
  <conditionalFormatting sqref="O477">
    <cfRule type="expression" priority="2888">
      <formula>(O477="")</formula>
    </cfRule>
  </conditionalFormatting>
  <conditionalFormatting sqref="O478">
    <cfRule type="expression" dxfId="900" priority="2885">
      <formula>IF(L478="NO BET", TRUE, FALSE)</formula>
    </cfRule>
    <cfRule type="expression" priority="2887">
      <formula>(O478="")</formula>
    </cfRule>
  </conditionalFormatting>
  <conditionalFormatting sqref="O478">
    <cfRule type="expression" priority="2886">
      <formula>(O478="")</formula>
    </cfRule>
  </conditionalFormatting>
  <conditionalFormatting sqref="O477">
    <cfRule type="expression" dxfId="899" priority="2882">
      <formula>IF(L477="NO BET", TRUE, FALSE)</formula>
    </cfRule>
    <cfRule type="expression" priority="2884">
      <formula>(O477="")</formula>
    </cfRule>
  </conditionalFormatting>
  <conditionalFormatting sqref="O477">
    <cfRule type="expression" priority="2883">
      <formula>(O477="")</formula>
    </cfRule>
  </conditionalFormatting>
  <conditionalFormatting sqref="O479">
    <cfRule type="expression" priority="2881">
      <formula>(O479="")</formula>
    </cfRule>
  </conditionalFormatting>
  <conditionalFormatting sqref="O480">
    <cfRule type="expression" dxfId="898" priority="2878">
      <formula>IF(L480="NO BET", TRUE, FALSE)</formula>
    </cfRule>
    <cfRule type="expression" priority="2880">
      <formula>(O480="")</formula>
    </cfRule>
  </conditionalFormatting>
  <conditionalFormatting sqref="O480">
    <cfRule type="expression" priority="2879">
      <formula>(O480="")</formula>
    </cfRule>
  </conditionalFormatting>
  <conditionalFormatting sqref="O479">
    <cfRule type="expression" dxfId="897" priority="2875">
      <formula>IF(L479="NO BET", TRUE, FALSE)</formula>
    </cfRule>
    <cfRule type="expression" priority="2877">
      <formula>(O479="")</formula>
    </cfRule>
  </conditionalFormatting>
  <conditionalFormatting sqref="O479">
    <cfRule type="expression" priority="2876">
      <formula>(O479="")</formula>
    </cfRule>
  </conditionalFormatting>
  <conditionalFormatting sqref="O481:O484">
    <cfRule type="expression" dxfId="896" priority="2873">
      <formula>AND(NOT(K481=O481),NOT(O481=""))</formula>
    </cfRule>
    <cfRule type="expression" dxfId="895" priority="2874">
      <formula>AND((K481=O481),NOT(O481=""))</formula>
    </cfRule>
  </conditionalFormatting>
  <conditionalFormatting sqref="O481">
    <cfRule type="expression" priority="2872">
      <formula>(O481="")</formula>
    </cfRule>
  </conditionalFormatting>
  <conditionalFormatting sqref="O482">
    <cfRule type="expression" dxfId="894" priority="2865">
      <formula>IF(L482="NO BET", TRUE, FALSE)</formula>
    </cfRule>
    <cfRule type="expression" priority="2871">
      <formula>(O482="")</formula>
    </cfRule>
  </conditionalFormatting>
  <conditionalFormatting sqref="O483">
    <cfRule type="expression" priority="2870">
      <formula>(O483="")</formula>
    </cfRule>
  </conditionalFormatting>
  <conditionalFormatting sqref="O484">
    <cfRule type="expression" priority="2869">
      <formula>(O484="")</formula>
    </cfRule>
  </conditionalFormatting>
  <conditionalFormatting sqref="O482">
    <cfRule type="expression" priority="2868">
      <formula>(O482="")</formula>
    </cfRule>
  </conditionalFormatting>
  <conditionalFormatting sqref="O483">
    <cfRule type="expression" priority="2867">
      <formula>(O483="")</formula>
    </cfRule>
  </conditionalFormatting>
  <conditionalFormatting sqref="O484">
    <cfRule type="expression" priority="2866">
      <formula>(O484="")</formula>
    </cfRule>
  </conditionalFormatting>
  <conditionalFormatting sqref="O481">
    <cfRule type="expression" dxfId="893" priority="2862">
      <formula>IF(L481="NO BET", TRUE, FALSE)</formula>
    </cfRule>
    <cfRule type="expression" priority="2864">
      <formula>(O481="")</formula>
    </cfRule>
  </conditionalFormatting>
  <conditionalFormatting sqref="O481">
    <cfRule type="expression" priority="2863">
      <formula>(O481="")</formula>
    </cfRule>
  </conditionalFormatting>
  <conditionalFormatting sqref="O483">
    <cfRule type="expression" priority="2861">
      <formula>(O483="")</formula>
    </cfRule>
  </conditionalFormatting>
  <conditionalFormatting sqref="O484">
    <cfRule type="expression" dxfId="892" priority="2858">
      <formula>IF(L484="NO BET", TRUE, FALSE)</formula>
    </cfRule>
    <cfRule type="expression" priority="2860">
      <formula>(O484="")</formula>
    </cfRule>
  </conditionalFormatting>
  <conditionalFormatting sqref="O484">
    <cfRule type="expression" priority="2859">
      <formula>(O484="")</formula>
    </cfRule>
  </conditionalFormatting>
  <conditionalFormatting sqref="O483">
    <cfRule type="expression" dxfId="891" priority="2855">
      <formula>IF(L483="NO BET", TRUE, FALSE)</formula>
    </cfRule>
    <cfRule type="expression" priority="2857">
      <formula>(O483="")</formula>
    </cfRule>
  </conditionalFormatting>
  <conditionalFormatting sqref="O483">
    <cfRule type="expression" priority="2856">
      <formula>(O483="")</formula>
    </cfRule>
  </conditionalFormatting>
  <conditionalFormatting sqref="O489:O494">
    <cfRule type="expression" dxfId="890" priority="2853">
      <formula>AND(NOT(K489=O489),NOT(O489=""))</formula>
    </cfRule>
    <cfRule type="expression" dxfId="889" priority="2854">
      <formula>AND((K489=O489),NOT(O489=""))</formula>
    </cfRule>
  </conditionalFormatting>
  <conditionalFormatting sqref="O489">
    <cfRule type="expression" priority="2852">
      <formula>(O489="")</formula>
    </cfRule>
  </conditionalFormatting>
  <conditionalFormatting sqref="O490">
    <cfRule type="expression" dxfId="888" priority="2841">
      <formula>IF(L490="NO BET", TRUE, FALSE)</formula>
    </cfRule>
    <cfRule type="expression" priority="2851">
      <formula>(O490="")</formula>
    </cfRule>
  </conditionalFormatting>
  <conditionalFormatting sqref="O491">
    <cfRule type="expression" priority="2850">
      <formula>(O491="")</formula>
    </cfRule>
  </conditionalFormatting>
  <conditionalFormatting sqref="O492">
    <cfRule type="expression" priority="2849">
      <formula>(O492="")</formula>
    </cfRule>
  </conditionalFormatting>
  <conditionalFormatting sqref="O493">
    <cfRule type="expression" priority="2848">
      <formula>(O493="")</formula>
    </cfRule>
  </conditionalFormatting>
  <conditionalFormatting sqref="O494">
    <cfRule type="expression" priority="2847">
      <formula>(O494="")</formula>
    </cfRule>
  </conditionalFormatting>
  <conditionalFormatting sqref="O490">
    <cfRule type="expression" priority="2846">
      <formula>(O490="")</formula>
    </cfRule>
  </conditionalFormatting>
  <conditionalFormatting sqref="O491">
    <cfRule type="expression" priority="2845">
      <formula>(O491="")</formula>
    </cfRule>
  </conditionalFormatting>
  <conditionalFormatting sqref="O492">
    <cfRule type="expression" priority="2844">
      <formula>(O492="")</formula>
    </cfRule>
  </conditionalFormatting>
  <conditionalFormatting sqref="O493">
    <cfRule type="expression" priority="2843">
      <formula>(O493="")</formula>
    </cfRule>
  </conditionalFormatting>
  <conditionalFormatting sqref="O494">
    <cfRule type="expression" priority="2842">
      <formula>(O494="")</formula>
    </cfRule>
  </conditionalFormatting>
  <conditionalFormatting sqref="O489">
    <cfRule type="expression" dxfId="887" priority="2838">
      <formula>IF(L489="NO BET", TRUE, FALSE)</formula>
    </cfRule>
    <cfRule type="expression" priority="2840">
      <formula>(O489="")</formula>
    </cfRule>
  </conditionalFormatting>
  <conditionalFormatting sqref="O489">
    <cfRule type="expression" priority="2839">
      <formula>(O489="")</formula>
    </cfRule>
  </conditionalFormatting>
  <conditionalFormatting sqref="O491">
    <cfRule type="expression" priority="2837">
      <formula>(O491="")</formula>
    </cfRule>
  </conditionalFormatting>
  <conditionalFormatting sqref="O492">
    <cfRule type="expression" dxfId="886" priority="2834">
      <formula>IF(L492="NO BET", TRUE, FALSE)</formula>
    </cfRule>
    <cfRule type="expression" priority="2836">
      <formula>(O492="")</formula>
    </cfRule>
  </conditionalFormatting>
  <conditionalFormatting sqref="O492">
    <cfRule type="expression" priority="2835">
      <formula>(O492="")</formula>
    </cfRule>
  </conditionalFormatting>
  <conditionalFormatting sqref="O491">
    <cfRule type="expression" dxfId="885" priority="2831">
      <formula>IF(L491="NO BET", TRUE, FALSE)</formula>
    </cfRule>
    <cfRule type="expression" priority="2833">
      <formula>(O491="")</formula>
    </cfRule>
  </conditionalFormatting>
  <conditionalFormatting sqref="O491">
    <cfRule type="expression" priority="2832">
      <formula>(O491="")</formula>
    </cfRule>
  </conditionalFormatting>
  <conditionalFormatting sqref="O493">
    <cfRule type="expression" priority="2830">
      <formula>(O493="")</formula>
    </cfRule>
  </conditionalFormatting>
  <conditionalFormatting sqref="O494">
    <cfRule type="expression" dxfId="884" priority="2827">
      <formula>IF(L494="NO BET", TRUE, FALSE)</formula>
    </cfRule>
    <cfRule type="expression" priority="2829">
      <formula>(O494="")</formula>
    </cfRule>
  </conditionalFormatting>
  <conditionalFormatting sqref="O494">
    <cfRule type="expression" priority="2828">
      <formula>(O494="")</formula>
    </cfRule>
  </conditionalFormatting>
  <conditionalFormatting sqref="O493">
    <cfRule type="expression" dxfId="883" priority="2824">
      <formula>IF(L493="NO BET", TRUE, FALSE)</formula>
    </cfRule>
    <cfRule type="expression" priority="2826">
      <formula>(O493="")</formula>
    </cfRule>
  </conditionalFormatting>
  <conditionalFormatting sqref="O493">
    <cfRule type="expression" priority="2825">
      <formula>(O493="")</formula>
    </cfRule>
  </conditionalFormatting>
  <conditionalFormatting sqref="O495:O498">
    <cfRule type="expression" dxfId="882" priority="2822">
      <formula>AND(NOT(K495=O495),NOT(O495=""))</formula>
    </cfRule>
    <cfRule type="expression" dxfId="881" priority="2823">
      <formula>AND((K495=O495),NOT(O495=""))</formula>
    </cfRule>
  </conditionalFormatting>
  <conditionalFormatting sqref="O495">
    <cfRule type="expression" priority="2821">
      <formula>(O495="")</formula>
    </cfRule>
  </conditionalFormatting>
  <conditionalFormatting sqref="O496">
    <cfRule type="expression" dxfId="880" priority="2814">
      <formula>IF(L496="NO BET", TRUE, FALSE)</formula>
    </cfRule>
    <cfRule type="expression" priority="2820">
      <formula>(O496="")</formula>
    </cfRule>
  </conditionalFormatting>
  <conditionalFormatting sqref="O497">
    <cfRule type="expression" priority="2819">
      <formula>(O497="")</formula>
    </cfRule>
  </conditionalFormatting>
  <conditionalFormatting sqref="O498">
    <cfRule type="expression" priority="2818">
      <formula>(O498="")</formula>
    </cfRule>
  </conditionalFormatting>
  <conditionalFormatting sqref="O496">
    <cfRule type="expression" priority="2817">
      <formula>(O496="")</formula>
    </cfRule>
  </conditionalFormatting>
  <conditionalFormatting sqref="O497">
    <cfRule type="expression" priority="2816">
      <formula>(O497="")</formula>
    </cfRule>
  </conditionalFormatting>
  <conditionalFormatting sqref="O498">
    <cfRule type="expression" priority="2815">
      <formula>(O498="")</formula>
    </cfRule>
  </conditionalFormatting>
  <conditionalFormatting sqref="O495">
    <cfRule type="expression" dxfId="879" priority="2811">
      <formula>IF(L495="NO BET", TRUE, FALSE)</formula>
    </cfRule>
    <cfRule type="expression" priority="2813">
      <formula>(O495="")</formula>
    </cfRule>
  </conditionalFormatting>
  <conditionalFormatting sqref="O495">
    <cfRule type="expression" priority="2812">
      <formula>(O495="")</formula>
    </cfRule>
  </conditionalFormatting>
  <conditionalFormatting sqref="O497">
    <cfRule type="expression" priority="2810">
      <formula>(O497="")</formula>
    </cfRule>
  </conditionalFormatting>
  <conditionalFormatting sqref="O498">
    <cfRule type="expression" dxfId="878" priority="2807">
      <formula>IF(L498="NO BET", TRUE, FALSE)</formula>
    </cfRule>
    <cfRule type="expression" priority="2809">
      <formula>(O498="")</formula>
    </cfRule>
  </conditionalFormatting>
  <conditionalFormatting sqref="O498">
    <cfRule type="expression" priority="2808">
      <formula>(O498="")</formula>
    </cfRule>
  </conditionalFormatting>
  <conditionalFormatting sqref="O497">
    <cfRule type="expression" dxfId="877" priority="2804">
      <formula>IF(L497="NO BET", TRUE, FALSE)</formula>
    </cfRule>
    <cfRule type="expression" priority="2806">
      <formula>(O497="")</formula>
    </cfRule>
  </conditionalFormatting>
  <conditionalFormatting sqref="O497">
    <cfRule type="expression" priority="2805">
      <formula>(O497="")</formula>
    </cfRule>
  </conditionalFormatting>
  <conditionalFormatting sqref="O503:O508">
    <cfRule type="expression" dxfId="876" priority="2802">
      <formula>AND(NOT(K503=O503),NOT(O503=""))</formula>
    </cfRule>
    <cfRule type="expression" dxfId="875" priority="2803">
      <formula>AND((K503=O503),NOT(O503=""))</formula>
    </cfRule>
  </conditionalFormatting>
  <conditionalFormatting sqref="O503">
    <cfRule type="expression" priority="2801">
      <formula>(O503="")</formula>
    </cfRule>
  </conditionalFormatting>
  <conditionalFormatting sqref="O504">
    <cfRule type="expression" dxfId="874" priority="2790">
      <formula>IF(L504="NO BET", TRUE, FALSE)</formula>
    </cfRule>
    <cfRule type="expression" priority="2800">
      <formula>(O504="")</formula>
    </cfRule>
  </conditionalFormatting>
  <conditionalFormatting sqref="O505">
    <cfRule type="expression" priority="2799">
      <formula>(O505="")</formula>
    </cfRule>
  </conditionalFormatting>
  <conditionalFormatting sqref="O506">
    <cfRule type="expression" priority="2798">
      <formula>(O506="")</formula>
    </cfRule>
  </conditionalFormatting>
  <conditionalFormatting sqref="O507">
    <cfRule type="expression" priority="2797">
      <formula>(O507="")</formula>
    </cfRule>
  </conditionalFormatting>
  <conditionalFormatting sqref="O508">
    <cfRule type="expression" priority="2796">
      <formula>(O508="")</formula>
    </cfRule>
  </conditionalFormatting>
  <conditionalFormatting sqref="O504">
    <cfRule type="expression" priority="2795">
      <formula>(O504="")</formula>
    </cfRule>
  </conditionalFormatting>
  <conditionalFormatting sqref="O505">
    <cfRule type="expression" priority="2794">
      <formula>(O505="")</formula>
    </cfRule>
  </conditionalFormatting>
  <conditionalFormatting sqref="O506">
    <cfRule type="expression" priority="2793">
      <formula>(O506="")</formula>
    </cfRule>
  </conditionalFormatting>
  <conditionalFormatting sqref="O507">
    <cfRule type="expression" priority="2792">
      <formula>(O507="")</formula>
    </cfRule>
  </conditionalFormatting>
  <conditionalFormatting sqref="O508">
    <cfRule type="expression" priority="2791">
      <formula>(O508="")</formula>
    </cfRule>
  </conditionalFormatting>
  <conditionalFormatting sqref="O503">
    <cfRule type="expression" dxfId="873" priority="2787">
      <formula>IF(L503="NO BET", TRUE, FALSE)</formula>
    </cfRule>
    <cfRule type="expression" priority="2789">
      <formula>(O503="")</formula>
    </cfRule>
  </conditionalFormatting>
  <conditionalFormatting sqref="O503">
    <cfRule type="expression" priority="2788">
      <formula>(O503="")</formula>
    </cfRule>
  </conditionalFormatting>
  <conditionalFormatting sqref="O505">
    <cfRule type="expression" priority="2786">
      <formula>(O505="")</formula>
    </cfRule>
  </conditionalFormatting>
  <conditionalFormatting sqref="O506">
    <cfRule type="expression" dxfId="872" priority="2783">
      <formula>IF(L506="NO BET", TRUE, FALSE)</formula>
    </cfRule>
    <cfRule type="expression" priority="2785">
      <formula>(O506="")</formula>
    </cfRule>
  </conditionalFormatting>
  <conditionalFormatting sqref="O506">
    <cfRule type="expression" priority="2784">
      <formula>(O506="")</formula>
    </cfRule>
  </conditionalFormatting>
  <conditionalFormatting sqref="O505">
    <cfRule type="expression" dxfId="871" priority="2780">
      <formula>IF(L505="NO BET", TRUE, FALSE)</formula>
    </cfRule>
    <cfRule type="expression" priority="2782">
      <formula>(O505="")</formula>
    </cfRule>
  </conditionalFormatting>
  <conditionalFormatting sqref="O505">
    <cfRule type="expression" priority="2781">
      <formula>(O505="")</formula>
    </cfRule>
  </conditionalFormatting>
  <conditionalFormatting sqref="O507">
    <cfRule type="expression" priority="2779">
      <formula>(O507="")</formula>
    </cfRule>
  </conditionalFormatting>
  <conditionalFormatting sqref="O508">
    <cfRule type="expression" dxfId="870" priority="2776">
      <formula>IF(L508="NO BET", TRUE, FALSE)</formula>
    </cfRule>
    <cfRule type="expression" priority="2778">
      <formula>(O508="")</formula>
    </cfRule>
  </conditionalFormatting>
  <conditionalFormatting sqref="O508">
    <cfRule type="expression" priority="2777">
      <formula>(O508="")</formula>
    </cfRule>
  </conditionalFormatting>
  <conditionalFormatting sqref="O507">
    <cfRule type="expression" dxfId="869" priority="2773">
      <formula>IF(L507="NO BET", TRUE, FALSE)</formula>
    </cfRule>
    <cfRule type="expression" priority="2775">
      <formula>(O507="")</formula>
    </cfRule>
  </conditionalFormatting>
  <conditionalFormatting sqref="O507">
    <cfRule type="expression" priority="2774">
      <formula>(O507="")</formula>
    </cfRule>
  </conditionalFormatting>
  <conditionalFormatting sqref="O509:O512">
    <cfRule type="expression" dxfId="868" priority="2771">
      <formula>AND(NOT(K509=O509),NOT(O509=""))</formula>
    </cfRule>
    <cfRule type="expression" dxfId="867" priority="2772">
      <formula>AND((K509=O509),NOT(O509=""))</formula>
    </cfRule>
  </conditionalFormatting>
  <conditionalFormatting sqref="O509">
    <cfRule type="expression" priority="2770">
      <formula>(O509="")</formula>
    </cfRule>
  </conditionalFormatting>
  <conditionalFormatting sqref="O510">
    <cfRule type="expression" dxfId="866" priority="2763">
      <formula>IF(L510="NO BET", TRUE, FALSE)</formula>
    </cfRule>
    <cfRule type="expression" priority="2769">
      <formula>(O510="")</formula>
    </cfRule>
  </conditionalFormatting>
  <conditionalFormatting sqref="O511">
    <cfRule type="expression" priority="2768">
      <formula>(O511="")</formula>
    </cfRule>
  </conditionalFormatting>
  <conditionalFormatting sqref="O512">
    <cfRule type="expression" priority="2767">
      <formula>(O512="")</formula>
    </cfRule>
  </conditionalFormatting>
  <conditionalFormatting sqref="O510">
    <cfRule type="expression" priority="2766">
      <formula>(O510="")</formula>
    </cfRule>
  </conditionalFormatting>
  <conditionalFormatting sqref="O511">
    <cfRule type="expression" priority="2765">
      <formula>(O511="")</formula>
    </cfRule>
  </conditionalFormatting>
  <conditionalFormatting sqref="O512">
    <cfRule type="expression" priority="2764">
      <formula>(O512="")</formula>
    </cfRule>
  </conditionalFormatting>
  <conditionalFormatting sqref="O509">
    <cfRule type="expression" dxfId="865" priority="2760">
      <formula>IF(L509="NO BET", TRUE, FALSE)</formula>
    </cfRule>
    <cfRule type="expression" priority="2762">
      <formula>(O509="")</formula>
    </cfRule>
  </conditionalFormatting>
  <conditionalFormatting sqref="O509">
    <cfRule type="expression" priority="2761">
      <formula>(O509="")</formula>
    </cfRule>
  </conditionalFormatting>
  <conditionalFormatting sqref="O511">
    <cfRule type="expression" priority="2759">
      <formula>(O511="")</formula>
    </cfRule>
  </conditionalFormatting>
  <conditionalFormatting sqref="O512">
    <cfRule type="expression" dxfId="864" priority="2756">
      <formula>IF(L512="NO BET", TRUE, FALSE)</formula>
    </cfRule>
    <cfRule type="expression" priority="2758">
      <formula>(O512="")</formula>
    </cfRule>
  </conditionalFormatting>
  <conditionalFormatting sqref="O512">
    <cfRule type="expression" priority="2757">
      <formula>(O512="")</formula>
    </cfRule>
  </conditionalFormatting>
  <conditionalFormatting sqref="O511">
    <cfRule type="expression" dxfId="863" priority="2753">
      <formula>IF(L511="NO BET", TRUE, FALSE)</formula>
    </cfRule>
    <cfRule type="expression" priority="2755">
      <formula>(O511="")</formula>
    </cfRule>
  </conditionalFormatting>
  <conditionalFormatting sqref="O511">
    <cfRule type="expression" priority="2754">
      <formula>(O511="")</formula>
    </cfRule>
  </conditionalFormatting>
  <conditionalFormatting sqref="O517:O522">
    <cfRule type="expression" dxfId="862" priority="2751">
      <formula>AND(NOT(K517=O517),NOT(O517=""))</formula>
    </cfRule>
    <cfRule type="expression" dxfId="861" priority="2752">
      <formula>AND((K517=O517),NOT(O517=""))</formula>
    </cfRule>
  </conditionalFormatting>
  <conditionalFormatting sqref="O517">
    <cfRule type="expression" priority="2750">
      <formula>(O517="")</formula>
    </cfRule>
  </conditionalFormatting>
  <conditionalFormatting sqref="O518">
    <cfRule type="expression" dxfId="860" priority="2739">
      <formula>IF(L518="NO BET", TRUE, FALSE)</formula>
    </cfRule>
    <cfRule type="expression" priority="2749">
      <formula>(O518="")</formula>
    </cfRule>
  </conditionalFormatting>
  <conditionalFormatting sqref="O519">
    <cfRule type="expression" priority="2748">
      <formula>(O519="")</formula>
    </cfRule>
  </conditionalFormatting>
  <conditionalFormatting sqref="O520">
    <cfRule type="expression" priority="2747">
      <formula>(O520="")</formula>
    </cfRule>
  </conditionalFormatting>
  <conditionalFormatting sqref="O521">
    <cfRule type="expression" priority="2746">
      <formula>(O521="")</formula>
    </cfRule>
  </conditionalFormatting>
  <conditionalFormatting sqref="O522">
    <cfRule type="expression" priority="2745">
      <formula>(O522="")</formula>
    </cfRule>
  </conditionalFormatting>
  <conditionalFormatting sqref="O518">
    <cfRule type="expression" priority="2744">
      <formula>(O518="")</formula>
    </cfRule>
  </conditionalFormatting>
  <conditionalFormatting sqref="O519">
    <cfRule type="expression" priority="2743">
      <formula>(O519="")</formula>
    </cfRule>
  </conditionalFormatting>
  <conditionalFormatting sqref="O520">
    <cfRule type="expression" priority="2742">
      <formula>(O520="")</formula>
    </cfRule>
  </conditionalFormatting>
  <conditionalFormatting sqref="O521">
    <cfRule type="expression" priority="2741">
      <formula>(O521="")</formula>
    </cfRule>
  </conditionalFormatting>
  <conditionalFormatting sqref="O522">
    <cfRule type="expression" priority="2740">
      <formula>(O522="")</formula>
    </cfRule>
  </conditionalFormatting>
  <conditionalFormatting sqref="O517">
    <cfRule type="expression" dxfId="859" priority="2736">
      <formula>IF(L517="NO BET", TRUE, FALSE)</formula>
    </cfRule>
    <cfRule type="expression" priority="2738">
      <formula>(O517="")</formula>
    </cfRule>
  </conditionalFormatting>
  <conditionalFormatting sqref="O517">
    <cfRule type="expression" priority="2737">
      <formula>(O517="")</formula>
    </cfRule>
  </conditionalFormatting>
  <conditionalFormatting sqref="O519">
    <cfRule type="expression" priority="2735">
      <formula>(O519="")</formula>
    </cfRule>
  </conditionalFormatting>
  <conditionalFormatting sqref="O520">
    <cfRule type="expression" dxfId="858" priority="2732">
      <formula>IF(L520="NO BET", TRUE, FALSE)</formula>
    </cfRule>
    <cfRule type="expression" priority="2734">
      <formula>(O520="")</formula>
    </cfRule>
  </conditionalFormatting>
  <conditionalFormatting sqref="O520">
    <cfRule type="expression" priority="2733">
      <formula>(O520="")</formula>
    </cfRule>
  </conditionalFormatting>
  <conditionalFormatting sqref="O519">
    <cfRule type="expression" dxfId="857" priority="2729">
      <formula>IF(L519="NO BET", TRUE, FALSE)</formula>
    </cfRule>
    <cfRule type="expression" priority="2731">
      <formula>(O519="")</formula>
    </cfRule>
  </conditionalFormatting>
  <conditionalFormatting sqref="O519">
    <cfRule type="expression" priority="2730">
      <formula>(O519="")</formula>
    </cfRule>
  </conditionalFormatting>
  <conditionalFormatting sqref="O521">
    <cfRule type="expression" priority="2728">
      <formula>(O521="")</formula>
    </cfRule>
  </conditionalFormatting>
  <conditionalFormatting sqref="O522">
    <cfRule type="expression" dxfId="856" priority="2725">
      <formula>IF(L522="NO BET", TRUE, FALSE)</formula>
    </cfRule>
    <cfRule type="expression" priority="2727">
      <formula>(O522="")</formula>
    </cfRule>
  </conditionalFormatting>
  <conditionalFormatting sqref="O522">
    <cfRule type="expression" priority="2726">
      <formula>(O522="")</formula>
    </cfRule>
  </conditionalFormatting>
  <conditionalFormatting sqref="O521">
    <cfRule type="expression" dxfId="855" priority="2722">
      <formula>IF(L521="NO BET", TRUE, FALSE)</formula>
    </cfRule>
    <cfRule type="expression" priority="2724">
      <formula>(O521="")</formula>
    </cfRule>
  </conditionalFormatting>
  <conditionalFormatting sqref="O521">
    <cfRule type="expression" priority="2723">
      <formula>(O521="")</formula>
    </cfRule>
  </conditionalFormatting>
  <conditionalFormatting sqref="O523:O526">
    <cfRule type="expression" dxfId="854" priority="2720">
      <formula>AND(NOT(K523=O523),NOT(O523=""))</formula>
    </cfRule>
    <cfRule type="expression" dxfId="853" priority="2721">
      <formula>AND((K523=O523),NOT(O523=""))</formula>
    </cfRule>
  </conditionalFormatting>
  <conditionalFormatting sqref="O523">
    <cfRule type="expression" priority="2719">
      <formula>(O523="")</formula>
    </cfRule>
  </conditionalFormatting>
  <conditionalFormatting sqref="O524">
    <cfRule type="expression" dxfId="852" priority="2712">
      <formula>IF(L524="NO BET", TRUE, FALSE)</formula>
    </cfRule>
    <cfRule type="expression" priority="2718">
      <formula>(O524="")</formula>
    </cfRule>
  </conditionalFormatting>
  <conditionalFormatting sqref="O525">
    <cfRule type="expression" priority="2717">
      <formula>(O525="")</formula>
    </cfRule>
  </conditionalFormatting>
  <conditionalFormatting sqref="O526">
    <cfRule type="expression" priority="2716">
      <formula>(O526="")</formula>
    </cfRule>
  </conditionalFormatting>
  <conditionalFormatting sqref="O524">
    <cfRule type="expression" priority="2715">
      <formula>(O524="")</formula>
    </cfRule>
  </conditionalFormatting>
  <conditionalFormatting sqref="O525">
    <cfRule type="expression" priority="2714">
      <formula>(O525="")</formula>
    </cfRule>
  </conditionalFormatting>
  <conditionalFormatting sqref="O526">
    <cfRule type="expression" priority="2713">
      <formula>(O526="")</formula>
    </cfRule>
  </conditionalFormatting>
  <conditionalFormatting sqref="O523">
    <cfRule type="expression" dxfId="851" priority="2709">
      <formula>IF(L523="NO BET", TRUE, FALSE)</formula>
    </cfRule>
    <cfRule type="expression" priority="2711">
      <formula>(O523="")</formula>
    </cfRule>
  </conditionalFormatting>
  <conditionalFormatting sqref="O523">
    <cfRule type="expression" priority="2710">
      <formula>(O523="")</formula>
    </cfRule>
  </conditionalFormatting>
  <conditionalFormatting sqref="O525">
    <cfRule type="expression" priority="2708">
      <formula>(O525="")</formula>
    </cfRule>
  </conditionalFormatting>
  <conditionalFormatting sqref="O526">
    <cfRule type="expression" dxfId="850" priority="2705">
      <formula>IF(L526="NO BET", TRUE, FALSE)</formula>
    </cfRule>
    <cfRule type="expression" priority="2707">
      <formula>(O526="")</formula>
    </cfRule>
  </conditionalFormatting>
  <conditionalFormatting sqref="O526">
    <cfRule type="expression" priority="2706">
      <formula>(O526="")</formula>
    </cfRule>
  </conditionalFormatting>
  <conditionalFormatting sqref="O525">
    <cfRule type="expression" dxfId="849" priority="2702">
      <formula>IF(L525="NO BET", TRUE, FALSE)</formula>
    </cfRule>
    <cfRule type="expression" priority="2704">
      <formula>(O525="")</formula>
    </cfRule>
  </conditionalFormatting>
  <conditionalFormatting sqref="O525">
    <cfRule type="expression" priority="2703">
      <formula>(O525="")</formula>
    </cfRule>
  </conditionalFormatting>
  <conditionalFormatting sqref="O531:O536">
    <cfRule type="expression" dxfId="848" priority="2700">
      <formula>AND(NOT(K531=O531),NOT(O531=""))</formula>
    </cfRule>
    <cfRule type="expression" dxfId="847" priority="2701">
      <formula>AND((K531=O531),NOT(O531=""))</formula>
    </cfRule>
  </conditionalFormatting>
  <conditionalFormatting sqref="O531">
    <cfRule type="expression" priority="2699">
      <formula>(O531="")</formula>
    </cfRule>
  </conditionalFormatting>
  <conditionalFormatting sqref="O532">
    <cfRule type="expression" dxfId="846" priority="2688">
      <formula>IF(L532="NO BET", TRUE, FALSE)</formula>
    </cfRule>
    <cfRule type="expression" priority="2698">
      <formula>(O532="")</formula>
    </cfRule>
  </conditionalFormatting>
  <conditionalFormatting sqref="O533">
    <cfRule type="expression" priority="2697">
      <formula>(O533="")</formula>
    </cfRule>
  </conditionalFormatting>
  <conditionalFormatting sqref="O534">
    <cfRule type="expression" priority="2696">
      <formula>(O534="")</formula>
    </cfRule>
  </conditionalFormatting>
  <conditionalFormatting sqref="O535">
    <cfRule type="expression" priority="2695">
      <formula>(O535="")</formula>
    </cfRule>
  </conditionalFormatting>
  <conditionalFormatting sqref="O536">
    <cfRule type="expression" priority="2694">
      <formula>(O536="")</formula>
    </cfRule>
  </conditionalFormatting>
  <conditionalFormatting sqref="O532">
    <cfRule type="expression" priority="2693">
      <formula>(O532="")</formula>
    </cfRule>
  </conditionalFormatting>
  <conditionalFormatting sqref="O533">
    <cfRule type="expression" priority="2692">
      <formula>(O533="")</formula>
    </cfRule>
  </conditionalFormatting>
  <conditionalFormatting sqref="O534">
    <cfRule type="expression" priority="2691">
      <formula>(O534="")</formula>
    </cfRule>
  </conditionalFormatting>
  <conditionalFormatting sqref="O535">
    <cfRule type="expression" priority="2690">
      <formula>(O535="")</formula>
    </cfRule>
  </conditionalFormatting>
  <conditionalFormatting sqref="O536">
    <cfRule type="expression" priority="2689">
      <formula>(O536="")</formula>
    </cfRule>
  </conditionalFormatting>
  <conditionalFormatting sqref="O531">
    <cfRule type="expression" dxfId="845" priority="2685">
      <formula>IF(L531="NO BET", TRUE, FALSE)</formula>
    </cfRule>
    <cfRule type="expression" priority="2687">
      <formula>(O531="")</formula>
    </cfRule>
  </conditionalFormatting>
  <conditionalFormatting sqref="O531">
    <cfRule type="expression" priority="2686">
      <formula>(O531="")</formula>
    </cfRule>
  </conditionalFormatting>
  <conditionalFormatting sqref="O533">
    <cfRule type="expression" priority="2684">
      <formula>(O533="")</formula>
    </cfRule>
  </conditionalFormatting>
  <conditionalFormatting sqref="O534">
    <cfRule type="expression" dxfId="844" priority="2681">
      <formula>IF(L534="NO BET", TRUE, FALSE)</formula>
    </cfRule>
    <cfRule type="expression" priority="2683">
      <formula>(O534="")</formula>
    </cfRule>
  </conditionalFormatting>
  <conditionalFormatting sqref="O534">
    <cfRule type="expression" priority="2682">
      <formula>(O534="")</formula>
    </cfRule>
  </conditionalFormatting>
  <conditionalFormatting sqref="O533">
    <cfRule type="expression" dxfId="843" priority="2678">
      <formula>IF(L533="NO BET", TRUE, FALSE)</formula>
    </cfRule>
    <cfRule type="expression" priority="2680">
      <formula>(O533="")</formula>
    </cfRule>
  </conditionalFormatting>
  <conditionalFormatting sqref="O533">
    <cfRule type="expression" priority="2679">
      <formula>(O533="")</formula>
    </cfRule>
  </conditionalFormatting>
  <conditionalFormatting sqref="O535">
    <cfRule type="expression" priority="2677">
      <formula>(O535="")</formula>
    </cfRule>
  </conditionalFormatting>
  <conditionalFormatting sqref="O536">
    <cfRule type="expression" dxfId="842" priority="2674">
      <formula>IF(L536="NO BET", TRUE, FALSE)</formula>
    </cfRule>
    <cfRule type="expression" priority="2676">
      <formula>(O536="")</formula>
    </cfRule>
  </conditionalFormatting>
  <conditionalFormatting sqref="O536">
    <cfRule type="expression" priority="2675">
      <formula>(O536="")</formula>
    </cfRule>
  </conditionalFormatting>
  <conditionalFormatting sqref="O535">
    <cfRule type="expression" dxfId="841" priority="2671">
      <formula>IF(L535="NO BET", TRUE, FALSE)</formula>
    </cfRule>
    <cfRule type="expression" priority="2673">
      <formula>(O535="")</formula>
    </cfRule>
  </conditionalFormatting>
  <conditionalFormatting sqref="O535">
    <cfRule type="expression" priority="2672">
      <formula>(O535="")</formula>
    </cfRule>
  </conditionalFormatting>
  <conditionalFormatting sqref="O537:O540">
    <cfRule type="expression" dxfId="840" priority="2669">
      <formula>AND(NOT(K537=O537),NOT(O537=""))</formula>
    </cfRule>
    <cfRule type="expression" dxfId="839" priority="2670">
      <formula>AND((K537=O537),NOT(O537=""))</formula>
    </cfRule>
  </conditionalFormatting>
  <conditionalFormatting sqref="O537">
    <cfRule type="expression" priority="2668">
      <formula>(O537="")</formula>
    </cfRule>
  </conditionalFormatting>
  <conditionalFormatting sqref="O538">
    <cfRule type="expression" dxfId="838" priority="2661">
      <formula>IF(L538="NO BET", TRUE, FALSE)</formula>
    </cfRule>
    <cfRule type="expression" priority="2667">
      <formula>(O538="")</formula>
    </cfRule>
  </conditionalFormatting>
  <conditionalFormatting sqref="O539">
    <cfRule type="expression" priority="2666">
      <formula>(O539="")</formula>
    </cfRule>
  </conditionalFormatting>
  <conditionalFormatting sqref="O540">
    <cfRule type="expression" priority="2665">
      <formula>(O540="")</formula>
    </cfRule>
  </conditionalFormatting>
  <conditionalFormatting sqref="O538">
    <cfRule type="expression" priority="2664">
      <formula>(O538="")</formula>
    </cfRule>
  </conditionalFormatting>
  <conditionalFormatting sqref="O539">
    <cfRule type="expression" priority="2663">
      <formula>(O539="")</formula>
    </cfRule>
  </conditionalFormatting>
  <conditionalFormatting sqref="O540">
    <cfRule type="expression" priority="2662">
      <formula>(O540="")</formula>
    </cfRule>
  </conditionalFormatting>
  <conditionalFormatting sqref="O537">
    <cfRule type="expression" dxfId="837" priority="2658">
      <formula>IF(L537="NO BET", TRUE, FALSE)</formula>
    </cfRule>
    <cfRule type="expression" priority="2660">
      <formula>(O537="")</formula>
    </cfRule>
  </conditionalFormatting>
  <conditionalFormatting sqref="O537">
    <cfRule type="expression" priority="2659">
      <formula>(O537="")</formula>
    </cfRule>
  </conditionalFormatting>
  <conditionalFormatting sqref="O539">
    <cfRule type="expression" priority="2657">
      <formula>(O539="")</formula>
    </cfRule>
  </conditionalFormatting>
  <conditionalFormatting sqref="O540">
    <cfRule type="expression" dxfId="836" priority="2654">
      <formula>IF(L540="NO BET", TRUE, FALSE)</formula>
    </cfRule>
    <cfRule type="expression" priority="2656">
      <formula>(O540="")</formula>
    </cfRule>
  </conditionalFormatting>
  <conditionalFormatting sqref="O540">
    <cfRule type="expression" priority="2655">
      <formula>(O540="")</formula>
    </cfRule>
  </conditionalFormatting>
  <conditionalFormatting sqref="O539">
    <cfRule type="expression" dxfId="835" priority="2651">
      <formula>IF(L539="NO BET", TRUE, FALSE)</formula>
    </cfRule>
    <cfRule type="expression" priority="2653">
      <formula>(O539="")</formula>
    </cfRule>
  </conditionalFormatting>
  <conditionalFormatting sqref="O539">
    <cfRule type="expression" priority="2652">
      <formula>(O539="")</formula>
    </cfRule>
  </conditionalFormatting>
  <conditionalFormatting sqref="O545:O550">
    <cfRule type="expression" dxfId="834" priority="2649">
      <formula>AND(NOT(K545=O545),NOT(O545=""))</formula>
    </cfRule>
    <cfRule type="expression" dxfId="833" priority="2650">
      <formula>AND((K545=O545),NOT(O545=""))</formula>
    </cfRule>
  </conditionalFormatting>
  <conditionalFormatting sqref="O545">
    <cfRule type="expression" priority="2648">
      <formula>(O545="")</formula>
    </cfRule>
  </conditionalFormatting>
  <conditionalFormatting sqref="O546">
    <cfRule type="expression" dxfId="832" priority="2637">
      <formula>IF(L546="NO BET", TRUE, FALSE)</formula>
    </cfRule>
    <cfRule type="expression" priority="2647">
      <formula>(O546="")</formula>
    </cfRule>
  </conditionalFormatting>
  <conditionalFormatting sqref="O547">
    <cfRule type="expression" priority="2646">
      <formula>(O547="")</formula>
    </cfRule>
  </conditionalFormatting>
  <conditionalFormatting sqref="O548">
    <cfRule type="expression" priority="2645">
      <formula>(O548="")</formula>
    </cfRule>
  </conditionalFormatting>
  <conditionalFormatting sqref="O549">
    <cfRule type="expression" priority="2644">
      <formula>(O549="")</formula>
    </cfRule>
  </conditionalFormatting>
  <conditionalFormatting sqref="O550">
    <cfRule type="expression" priority="2643">
      <formula>(O550="")</formula>
    </cfRule>
  </conditionalFormatting>
  <conditionalFormatting sqref="O546">
    <cfRule type="expression" priority="2642">
      <formula>(O546="")</formula>
    </cfRule>
  </conditionalFormatting>
  <conditionalFormatting sqref="O547">
    <cfRule type="expression" priority="2641">
      <formula>(O547="")</formula>
    </cfRule>
  </conditionalFormatting>
  <conditionalFormatting sqref="O548">
    <cfRule type="expression" priority="2640">
      <formula>(O548="")</formula>
    </cfRule>
  </conditionalFormatting>
  <conditionalFormatting sqref="O549">
    <cfRule type="expression" priority="2639">
      <formula>(O549="")</formula>
    </cfRule>
  </conditionalFormatting>
  <conditionalFormatting sqref="O550">
    <cfRule type="expression" priority="2638">
      <formula>(O550="")</formula>
    </cfRule>
  </conditionalFormatting>
  <conditionalFormatting sqref="O545">
    <cfRule type="expression" dxfId="831" priority="2634">
      <formula>IF(L545="NO BET", TRUE, FALSE)</formula>
    </cfRule>
    <cfRule type="expression" priority="2636">
      <formula>(O545="")</formula>
    </cfRule>
  </conditionalFormatting>
  <conditionalFormatting sqref="O545">
    <cfRule type="expression" priority="2635">
      <formula>(O545="")</formula>
    </cfRule>
  </conditionalFormatting>
  <conditionalFormatting sqref="O547">
    <cfRule type="expression" priority="2633">
      <formula>(O547="")</formula>
    </cfRule>
  </conditionalFormatting>
  <conditionalFormatting sqref="O548">
    <cfRule type="expression" dxfId="830" priority="2630">
      <formula>IF(L548="NO BET", TRUE, FALSE)</formula>
    </cfRule>
    <cfRule type="expression" priority="2632">
      <formula>(O548="")</formula>
    </cfRule>
  </conditionalFormatting>
  <conditionalFormatting sqref="O548">
    <cfRule type="expression" priority="2631">
      <formula>(O548="")</formula>
    </cfRule>
  </conditionalFormatting>
  <conditionalFormatting sqref="O547">
    <cfRule type="expression" dxfId="829" priority="2627">
      <formula>IF(L547="NO BET", TRUE, FALSE)</formula>
    </cfRule>
    <cfRule type="expression" priority="2629">
      <formula>(O547="")</formula>
    </cfRule>
  </conditionalFormatting>
  <conditionalFormatting sqref="O547">
    <cfRule type="expression" priority="2628">
      <formula>(O547="")</formula>
    </cfRule>
  </conditionalFormatting>
  <conditionalFormatting sqref="O549">
    <cfRule type="expression" priority="2626">
      <formula>(O549="")</formula>
    </cfRule>
  </conditionalFormatting>
  <conditionalFormatting sqref="O550">
    <cfRule type="expression" dxfId="828" priority="2623">
      <formula>IF(L550="NO BET", TRUE, FALSE)</formula>
    </cfRule>
    <cfRule type="expression" priority="2625">
      <formula>(O550="")</formula>
    </cfRule>
  </conditionalFormatting>
  <conditionalFormatting sqref="O550">
    <cfRule type="expression" priority="2624">
      <formula>(O550="")</formula>
    </cfRule>
  </conditionalFormatting>
  <conditionalFormatting sqref="O549">
    <cfRule type="expression" dxfId="827" priority="2620">
      <formula>IF(L549="NO BET", TRUE, FALSE)</formula>
    </cfRule>
    <cfRule type="expression" priority="2622">
      <formula>(O549="")</formula>
    </cfRule>
  </conditionalFormatting>
  <conditionalFormatting sqref="O549">
    <cfRule type="expression" priority="2621">
      <formula>(O549="")</formula>
    </cfRule>
  </conditionalFormatting>
  <conditionalFormatting sqref="O551:O554">
    <cfRule type="expression" dxfId="826" priority="2618">
      <formula>AND(NOT(K551=O551),NOT(O551=""))</formula>
    </cfRule>
    <cfRule type="expression" dxfId="825" priority="2619">
      <formula>AND((K551=O551),NOT(O551=""))</formula>
    </cfRule>
  </conditionalFormatting>
  <conditionalFormatting sqref="O551">
    <cfRule type="expression" priority="2617">
      <formula>(O551="")</formula>
    </cfRule>
  </conditionalFormatting>
  <conditionalFormatting sqref="O552">
    <cfRule type="expression" dxfId="824" priority="2610">
      <formula>IF(L552="NO BET", TRUE, FALSE)</formula>
    </cfRule>
    <cfRule type="expression" priority="2616">
      <formula>(O552="")</formula>
    </cfRule>
  </conditionalFormatting>
  <conditionalFormatting sqref="O553">
    <cfRule type="expression" priority="2615">
      <formula>(O553="")</formula>
    </cfRule>
  </conditionalFormatting>
  <conditionalFormatting sqref="O554">
    <cfRule type="expression" priority="2614">
      <formula>(O554="")</formula>
    </cfRule>
  </conditionalFormatting>
  <conditionalFormatting sqref="O552">
    <cfRule type="expression" priority="2613">
      <formula>(O552="")</formula>
    </cfRule>
  </conditionalFormatting>
  <conditionalFormatting sqref="O553">
    <cfRule type="expression" priority="2612">
      <formula>(O553="")</formula>
    </cfRule>
  </conditionalFormatting>
  <conditionalFormatting sqref="O554">
    <cfRule type="expression" priority="2611">
      <formula>(O554="")</formula>
    </cfRule>
  </conditionalFormatting>
  <conditionalFormatting sqref="O551">
    <cfRule type="expression" dxfId="823" priority="2607">
      <formula>IF(L551="NO BET", TRUE, FALSE)</formula>
    </cfRule>
    <cfRule type="expression" priority="2609">
      <formula>(O551="")</formula>
    </cfRule>
  </conditionalFormatting>
  <conditionalFormatting sqref="O551">
    <cfRule type="expression" priority="2608">
      <formula>(O551="")</formula>
    </cfRule>
  </conditionalFormatting>
  <conditionalFormatting sqref="O553">
    <cfRule type="expression" priority="2606">
      <formula>(O553="")</formula>
    </cfRule>
  </conditionalFormatting>
  <conditionalFormatting sqref="O554">
    <cfRule type="expression" dxfId="822" priority="2603">
      <formula>IF(L554="NO BET", TRUE, FALSE)</formula>
    </cfRule>
    <cfRule type="expression" priority="2605">
      <formula>(O554="")</formula>
    </cfRule>
  </conditionalFormatting>
  <conditionalFormatting sqref="O554">
    <cfRule type="expression" priority="2604">
      <formula>(O554="")</formula>
    </cfRule>
  </conditionalFormatting>
  <conditionalFormatting sqref="O553">
    <cfRule type="expression" dxfId="821" priority="2600">
      <formula>IF(L553="NO BET", TRUE, FALSE)</formula>
    </cfRule>
    <cfRule type="expression" priority="2602">
      <formula>(O553="")</formula>
    </cfRule>
  </conditionalFormatting>
  <conditionalFormatting sqref="O553">
    <cfRule type="expression" priority="2601">
      <formula>(O553="")</formula>
    </cfRule>
  </conditionalFormatting>
  <conditionalFormatting sqref="O559:O564">
    <cfRule type="expression" dxfId="820" priority="2598">
      <formula>AND(NOT(K559=O559),NOT(O559=""))</formula>
    </cfRule>
    <cfRule type="expression" dxfId="819" priority="2599">
      <formula>AND((K559=O559),NOT(O559=""))</formula>
    </cfRule>
  </conditionalFormatting>
  <conditionalFormatting sqref="O559">
    <cfRule type="expression" priority="2597">
      <formula>(O559="")</formula>
    </cfRule>
  </conditionalFormatting>
  <conditionalFormatting sqref="O560">
    <cfRule type="expression" dxfId="818" priority="2586">
      <formula>IF(L560="NO BET", TRUE, FALSE)</formula>
    </cfRule>
    <cfRule type="expression" priority="2596">
      <formula>(O560="")</formula>
    </cfRule>
  </conditionalFormatting>
  <conditionalFormatting sqref="O561">
    <cfRule type="expression" priority="2595">
      <formula>(O561="")</formula>
    </cfRule>
  </conditionalFormatting>
  <conditionalFormatting sqref="O562">
    <cfRule type="expression" priority="2594">
      <formula>(O562="")</formula>
    </cfRule>
  </conditionalFormatting>
  <conditionalFormatting sqref="O563">
    <cfRule type="expression" priority="2593">
      <formula>(O563="")</formula>
    </cfRule>
  </conditionalFormatting>
  <conditionalFormatting sqref="O564">
    <cfRule type="expression" priority="2592">
      <formula>(O564="")</formula>
    </cfRule>
  </conditionalFormatting>
  <conditionalFormatting sqref="O560">
    <cfRule type="expression" priority="2591">
      <formula>(O560="")</formula>
    </cfRule>
  </conditionalFormatting>
  <conditionalFormatting sqref="O561">
    <cfRule type="expression" priority="2590">
      <formula>(O561="")</formula>
    </cfRule>
  </conditionalFormatting>
  <conditionalFormatting sqref="O562">
    <cfRule type="expression" priority="2589">
      <formula>(O562="")</formula>
    </cfRule>
  </conditionalFormatting>
  <conditionalFormatting sqref="O563">
    <cfRule type="expression" priority="2588">
      <formula>(O563="")</formula>
    </cfRule>
  </conditionalFormatting>
  <conditionalFormatting sqref="O564">
    <cfRule type="expression" priority="2587">
      <formula>(O564="")</formula>
    </cfRule>
  </conditionalFormatting>
  <conditionalFormatting sqref="O559">
    <cfRule type="expression" dxfId="817" priority="2583">
      <formula>IF(L559="NO BET", TRUE, FALSE)</formula>
    </cfRule>
    <cfRule type="expression" priority="2585">
      <formula>(O559="")</formula>
    </cfRule>
  </conditionalFormatting>
  <conditionalFormatting sqref="O559">
    <cfRule type="expression" priority="2584">
      <formula>(O559="")</formula>
    </cfRule>
  </conditionalFormatting>
  <conditionalFormatting sqref="O561">
    <cfRule type="expression" priority="2582">
      <formula>(O561="")</formula>
    </cfRule>
  </conditionalFormatting>
  <conditionalFormatting sqref="O562">
    <cfRule type="expression" dxfId="816" priority="2579">
      <formula>IF(L562="NO BET", TRUE, FALSE)</formula>
    </cfRule>
    <cfRule type="expression" priority="2581">
      <formula>(O562="")</formula>
    </cfRule>
  </conditionalFormatting>
  <conditionalFormatting sqref="O562">
    <cfRule type="expression" priority="2580">
      <formula>(O562="")</formula>
    </cfRule>
  </conditionalFormatting>
  <conditionalFormatting sqref="O561">
    <cfRule type="expression" dxfId="815" priority="2576">
      <formula>IF(L561="NO BET", TRUE, FALSE)</formula>
    </cfRule>
    <cfRule type="expression" priority="2578">
      <formula>(O561="")</formula>
    </cfRule>
  </conditionalFormatting>
  <conditionalFormatting sqref="O561">
    <cfRule type="expression" priority="2577">
      <formula>(O561="")</formula>
    </cfRule>
  </conditionalFormatting>
  <conditionalFormatting sqref="O563">
    <cfRule type="expression" priority="2575">
      <formula>(O563="")</formula>
    </cfRule>
  </conditionalFormatting>
  <conditionalFormatting sqref="O564">
    <cfRule type="expression" dxfId="814" priority="2572">
      <formula>IF(L564="NO BET", TRUE, FALSE)</formula>
    </cfRule>
    <cfRule type="expression" priority="2574">
      <formula>(O564="")</formula>
    </cfRule>
  </conditionalFormatting>
  <conditionalFormatting sqref="O564">
    <cfRule type="expression" priority="2573">
      <formula>(O564="")</formula>
    </cfRule>
  </conditionalFormatting>
  <conditionalFormatting sqref="O563">
    <cfRule type="expression" dxfId="813" priority="2569">
      <formula>IF(L563="NO BET", TRUE, FALSE)</formula>
    </cfRule>
    <cfRule type="expression" priority="2571">
      <formula>(O563="")</formula>
    </cfRule>
  </conditionalFormatting>
  <conditionalFormatting sqref="O563">
    <cfRule type="expression" priority="2570">
      <formula>(O563="")</formula>
    </cfRule>
  </conditionalFormatting>
  <conditionalFormatting sqref="O565:O568">
    <cfRule type="expression" dxfId="812" priority="2567">
      <formula>AND(NOT(K565=O565),NOT(O565=""))</formula>
    </cfRule>
    <cfRule type="expression" dxfId="811" priority="2568">
      <formula>AND((K565=O565),NOT(O565=""))</formula>
    </cfRule>
  </conditionalFormatting>
  <conditionalFormatting sqref="O565">
    <cfRule type="expression" priority="2566">
      <formula>(O565="")</formula>
    </cfRule>
  </conditionalFormatting>
  <conditionalFormatting sqref="O566">
    <cfRule type="expression" dxfId="810" priority="2559">
      <formula>IF(L566="NO BET", TRUE, FALSE)</formula>
    </cfRule>
    <cfRule type="expression" priority="2565">
      <formula>(O566="")</formula>
    </cfRule>
  </conditionalFormatting>
  <conditionalFormatting sqref="O567">
    <cfRule type="expression" priority="2564">
      <formula>(O567="")</formula>
    </cfRule>
  </conditionalFormatting>
  <conditionalFormatting sqref="O568">
    <cfRule type="expression" priority="2563">
      <formula>(O568="")</formula>
    </cfRule>
  </conditionalFormatting>
  <conditionalFormatting sqref="O566">
    <cfRule type="expression" priority="2562">
      <formula>(O566="")</formula>
    </cfRule>
  </conditionalFormatting>
  <conditionalFormatting sqref="O567">
    <cfRule type="expression" priority="2561">
      <formula>(O567="")</formula>
    </cfRule>
  </conditionalFormatting>
  <conditionalFormatting sqref="O568">
    <cfRule type="expression" priority="2560">
      <formula>(O568="")</formula>
    </cfRule>
  </conditionalFormatting>
  <conditionalFormatting sqref="O565">
    <cfRule type="expression" dxfId="809" priority="2556">
      <formula>IF(L565="NO BET", TRUE, FALSE)</formula>
    </cfRule>
    <cfRule type="expression" priority="2558">
      <formula>(O565="")</formula>
    </cfRule>
  </conditionalFormatting>
  <conditionalFormatting sqref="O565">
    <cfRule type="expression" priority="2557">
      <formula>(O565="")</formula>
    </cfRule>
  </conditionalFormatting>
  <conditionalFormatting sqref="O567">
    <cfRule type="expression" priority="2555">
      <formula>(O567="")</formula>
    </cfRule>
  </conditionalFormatting>
  <conditionalFormatting sqref="O568">
    <cfRule type="expression" dxfId="808" priority="2552">
      <formula>IF(L568="NO BET", TRUE, FALSE)</formula>
    </cfRule>
    <cfRule type="expression" priority="2554">
      <formula>(O568="")</formula>
    </cfRule>
  </conditionalFormatting>
  <conditionalFormatting sqref="O568">
    <cfRule type="expression" priority="2553">
      <formula>(O568="")</formula>
    </cfRule>
  </conditionalFormatting>
  <conditionalFormatting sqref="O567">
    <cfRule type="expression" dxfId="807" priority="2549">
      <formula>IF(L567="NO BET", TRUE, FALSE)</formula>
    </cfRule>
    <cfRule type="expression" priority="2551">
      <formula>(O567="")</formula>
    </cfRule>
  </conditionalFormatting>
  <conditionalFormatting sqref="O567">
    <cfRule type="expression" priority="2550">
      <formula>(O567="")</formula>
    </cfRule>
  </conditionalFormatting>
  <conditionalFormatting sqref="O573:O578">
    <cfRule type="expression" dxfId="806" priority="2547">
      <formula>AND(NOT(K573=O573),NOT(O573=""))</formula>
    </cfRule>
    <cfRule type="expression" dxfId="805" priority="2548">
      <formula>AND((K573=O573),NOT(O573=""))</formula>
    </cfRule>
  </conditionalFormatting>
  <conditionalFormatting sqref="O573">
    <cfRule type="expression" priority="2546">
      <formula>(O573="")</formula>
    </cfRule>
  </conditionalFormatting>
  <conditionalFormatting sqref="O574">
    <cfRule type="expression" dxfId="804" priority="2535">
      <formula>IF(L574="NO BET", TRUE, FALSE)</formula>
    </cfRule>
    <cfRule type="expression" priority="2545">
      <formula>(O574="")</formula>
    </cfRule>
  </conditionalFormatting>
  <conditionalFormatting sqref="O575">
    <cfRule type="expression" priority="2544">
      <formula>(O575="")</formula>
    </cfRule>
  </conditionalFormatting>
  <conditionalFormatting sqref="O576">
    <cfRule type="expression" priority="2543">
      <formula>(O576="")</formula>
    </cfRule>
  </conditionalFormatting>
  <conditionalFormatting sqref="O577">
    <cfRule type="expression" priority="2542">
      <formula>(O577="")</formula>
    </cfRule>
  </conditionalFormatting>
  <conditionalFormatting sqref="O578">
    <cfRule type="expression" priority="2541">
      <formula>(O578="")</formula>
    </cfRule>
  </conditionalFormatting>
  <conditionalFormatting sqref="O574">
    <cfRule type="expression" priority="2540">
      <formula>(O574="")</formula>
    </cfRule>
  </conditionalFormatting>
  <conditionalFormatting sqref="O575">
    <cfRule type="expression" priority="2539">
      <formula>(O575="")</formula>
    </cfRule>
  </conditionalFormatting>
  <conditionalFormatting sqref="O576">
    <cfRule type="expression" priority="2538">
      <formula>(O576="")</formula>
    </cfRule>
  </conditionalFormatting>
  <conditionalFormatting sqref="O577">
    <cfRule type="expression" priority="2537">
      <formula>(O577="")</formula>
    </cfRule>
  </conditionalFormatting>
  <conditionalFormatting sqref="O578">
    <cfRule type="expression" priority="2536">
      <formula>(O578="")</formula>
    </cfRule>
  </conditionalFormatting>
  <conditionalFormatting sqref="O573">
    <cfRule type="expression" dxfId="803" priority="2532">
      <formula>IF(L573="NO BET", TRUE, FALSE)</formula>
    </cfRule>
    <cfRule type="expression" priority="2534">
      <formula>(O573="")</formula>
    </cfRule>
  </conditionalFormatting>
  <conditionalFormatting sqref="O573">
    <cfRule type="expression" priority="2533">
      <formula>(O573="")</formula>
    </cfRule>
  </conditionalFormatting>
  <conditionalFormatting sqref="O575">
    <cfRule type="expression" priority="2531">
      <formula>(O575="")</formula>
    </cfRule>
  </conditionalFormatting>
  <conditionalFormatting sqref="O576">
    <cfRule type="expression" dxfId="802" priority="2528">
      <formula>IF(L576="NO BET", TRUE, FALSE)</formula>
    </cfRule>
    <cfRule type="expression" priority="2530">
      <formula>(O576="")</formula>
    </cfRule>
  </conditionalFormatting>
  <conditionalFormatting sqref="O576">
    <cfRule type="expression" priority="2529">
      <formula>(O576="")</formula>
    </cfRule>
  </conditionalFormatting>
  <conditionalFormatting sqref="O575">
    <cfRule type="expression" dxfId="801" priority="2525">
      <formula>IF(L575="NO BET", TRUE, FALSE)</formula>
    </cfRule>
    <cfRule type="expression" priority="2527">
      <formula>(O575="")</formula>
    </cfRule>
  </conditionalFormatting>
  <conditionalFormatting sqref="O575">
    <cfRule type="expression" priority="2526">
      <formula>(O575="")</formula>
    </cfRule>
  </conditionalFormatting>
  <conditionalFormatting sqref="O577">
    <cfRule type="expression" priority="2524">
      <formula>(O577="")</formula>
    </cfRule>
  </conditionalFormatting>
  <conditionalFormatting sqref="O578">
    <cfRule type="expression" dxfId="800" priority="2521">
      <formula>IF(L578="NO BET", TRUE, FALSE)</formula>
    </cfRule>
    <cfRule type="expression" priority="2523">
      <formula>(O578="")</formula>
    </cfRule>
  </conditionalFormatting>
  <conditionalFormatting sqref="O578">
    <cfRule type="expression" priority="2522">
      <formula>(O578="")</formula>
    </cfRule>
  </conditionalFormatting>
  <conditionalFormatting sqref="O577">
    <cfRule type="expression" dxfId="799" priority="2518">
      <formula>IF(L577="NO BET", TRUE, FALSE)</formula>
    </cfRule>
    <cfRule type="expression" priority="2520">
      <formula>(O577="")</formula>
    </cfRule>
  </conditionalFormatting>
  <conditionalFormatting sqref="O577">
    <cfRule type="expression" priority="2519">
      <formula>(O577="")</formula>
    </cfRule>
  </conditionalFormatting>
  <conditionalFormatting sqref="O579:O582">
    <cfRule type="expression" dxfId="798" priority="2516">
      <formula>AND(NOT(K579=O579),NOT(O579=""))</formula>
    </cfRule>
    <cfRule type="expression" dxfId="797" priority="2517">
      <formula>AND((K579=O579),NOT(O579=""))</formula>
    </cfRule>
  </conditionalFormatting>
  <conditionalFormatting sqref="O579">
    <cfRule type="expression" priority="2515">
      <formula>(O579="")</formula>
    </cfRule>
  </conditionalFormatting>
  <conditionalFormatting sqref="O580">
    <cfRule type="expression" dxfId="796" priority="2508">
      <formula>IF(L580="NO BET", TRUE, FALSE)</formula>
    </cfRule>
    <cfRule type="expression" priority="2514">
      <formula>(O580="")</formula>
    </cfRule>
  </conditionalFormatting>
  <conditionalFormatting sqref="O581">
    <cfRule type="expression" priority="2513">
      <formula>(O581="")</formula>
    </cfRule>
  </conditionalFormatting>
  <conditionalFormatting sqref="O582">
    <cfRule type="expression" priority="2512">
      <formula>(O582="")</formula>
    </cfRule>
  </conditionalFormatting>
  <conditionalFormatting sqref="O580">
    <cfRule type="expression" priority="2511">
      <formula>(O580="")</formula>
    </cfRule>
  </conditionalFormatting>
  <conditionalFormatting sqref="O581">
    <cfRule type="expression" priority="2510">
      <formula>(O581="")</formula>
    </cfRule>
  </conditionalFormatting>
  <conditionalFormatting sqref="O582">
    <cfRule type="expression" priority="2509">
      <formula>(O582="")</formula>
    </cfRule>
  </conditionalFormatting>
  <conditionalFormatting sqref="O579">
    <cfRule type="expression" dxfId="795" priority="2505">
      <formula>IF(L579="NO BET", TRUE, FALSE)</formula>
    </cfRule>
    <cfRule type="expression" priority="2507">
      <formula>(O579="")</formula>
    </cfRule>
  </conditionalFormatting>
  <conditionalFormatting sqref="O579">
    <cfRule type="expression" priority="2506">
      <formula>(O579="")</formula>
    </cfRule>
  </conditionalFormatting>
  <conditionalFormatting sqref="O581">
    <cfRule type="expression" priority="2504">
      <formula>(O581="")</formula>
    </cfRule>
  </conditionalFormatting>
  <conditionalFormatting sqref="O582">
    <cfRule type="expression" dxfId="794" priority="2501">
      <formula>IF(L582="NO BET", TRUE, FALSE)</formula>
    </cfRule>
    <cfRule type="expression" priority="2503">
      <formula>(O582="")</formula>
    </cfRule>
  </conditionalFormatting>
  <conditionalFormatting sqref="O582">
    <cfRule type="expression" priority="2502">
      <formula>(O582="")</formula>
    </cfRule>
  </conditionalFormatting>
  <conditionalFormatting sqref="O581">
    <cfRule type="expression" dxfId="793" priority="2498">
      <formula>IF(L581="NO BET", TRUE, FALSE)</formula>
    </cfRule>
    <cfRule type="expression" priority="2500">
      <formula>(O581="")</formula>
    </cfRule>
  </conditionalFormatting>
  <conditionalFormatting sqref="O581">
    <cfRule type="expression" priority="2499">
      <formula>(O581="")</formula>
    </cfRule>
  </conditionalFormatting>
  <conditionalFormatting sqref="O587:O592">
    <cfRule type="expression" dxfId="792" priority="2496">
      <formula>AND(NOT(K587=O587),NOT(O587=""))</formula>
    </cfRule>
    <cfRule type="expression" dxfId="791" priority="2497">
      <formula>AND((K587=O587),NOT(O587=""))</formula>
    </cfRule>
  </conditionalFormatting>
  <conditionalFormatting sqref="O587">
    <cfRule type="expression" priority="2495">
      <formula>(O587="")</formula>
    </cfRule>
  </conditionalFormatting>
  <conditionalFormatting sqref="O588">
    <cfRule type="expression" dxfId="790" priority="2484">
      <formula>IF(L588="NO BET", TRUE, FALSE)</formula>
    </cfRule>
    <cfRule type="expression" priority="2494">
      <formula>(O588="")</formula>
    </cfRule>
  </conditionalFormatting>
  <conditionalFormatting sqref="O589">
    <cfRule type="expression" priority="2493">
      <formula>(O589="")</formula>
    </cfRule>
  </conditionalFormatting>
  <conditionalFormatting sqref="O590">
    <cfRule type="expression" priority="2492">
      <formula>(O590="")</formula>
    </cfRule>
  </conditionalFormatting>
  <conditionalFormatting sqref="O591">
    <cfRule type="expression" priority="2491">
      <formula>(O591="")</formula>
    </cfRule>
  </conditionalFormatting>
  <conditionalFormatting sqref="O592">
    <cfRule type="expression" priority="2490">
      <formula>(O592="")</formula>
    </cfRule>
  </conditionalFormatting>
  <conditionalFormatting sqref="O588">
    <cfRule type="expression" priority="2489">
      <formula>(O588="")</formula>
    </cfRule>
  </conditionalFormatting>
  <conditionalFormatting sqref="O589">
    <cfRule type="expression" priority="2488">
      <formula>(O589="")</formula>
    </cfRule>
  </conditionalFormatting>
  <conditionalFormatting sqref="O590">
    <cfRule type="expression" priority="2487">
      <formula>(O590="")</formula>
    </cfRule>
  </conditionalFormatting>
  <conditionalFormatting sqref="O591">
    <cfRule type="expression" priority="2486">
      <formula>(O591="")</formula>
    </cfRule>
  </conditionalFormatting>
  <conditionalFormatting sqref="O592">
    <cfRule type="expression" priority="2485">
      <formula>(O592="")</formula>
    </cfRule>
  </conditionalFormatting>
  <conditionalFormatting sqref="O587">
    <cfRule type="expression" dxfId="789" priority="2481">
      <formula>IF(L587="NO BET", TRUE, FALSE)</formula>
    </cfRule>
    <cfRule type="expression" priority="2483">
      <formula>(O587="")</formula>
    </cfRule>
  </conditionalFormatting>
  <conditionalFormatting sqref="O587">
    <cfRule type="expression" priority="2482">
      <formula>(O587="")</formula>
    </cfRule>
  </conditionalFormatting>
  <conditionalFormatting sqref="O589">
    <cfRule type="expression" priority="2480">
      <formula>(O589="")</formula>
    </cfRule>
  </conditionalFormatting>
  <conditionalFormatting sqref="O590">
    <cfRule type="expression" dxfId="788" priority="2477">
      <formula>IF(L590="NO BET", TRUE, FALSE)</formula>
    </cfRule>
    <cfRule type="expression" priority="2479">
      <formula>(O590="")</formula>
    </cfRule>
  </conditionalFormatting>
  <conditionalFormatting sqref="O590">
    <cfRule type="expression" priority="2478">
      <formula>(O590="")</formula>
    </cfRule>
  </conditionalFormatting>
  <conditionalFormatting sqref="O589">
    <cfRule type="expression" dxfId="787" priority="2474">
      <formula>IF(L589="NO BET", TRUE, FALSE)</formula>
    </cfRule>
    <cfRule type="expression" priority="2476">
      <formula>(O589="")</formula>
    </cfRule>
  </conditionalFormatting>
  <conditionalFormatting sqref="O589">
    <cfRule type="expression" priority="2475">
      <formula>(O589="")</formula>
    </cfRule>
  </conditionalFormatting>
  <conditionalFormatting sqref="O591">
    <cfRule type="expression" priority="2473">
      <formula>(O591="")</formula>
    </cfRule>
  </conditionalFormatting>
  <conditionalFormatting sqref="O592">
    <cfRule type="expression" dxfId="786" priority="2470">
      <formula>IF(L592="NO BET", TRUE, FALSE)</formula>
    </cfRule>
    <cfRule type="expression" priority="2472">
      <formula>(O592="")</formula>
    </cfRule>
  </conditionalFormatting>
  <conditionalFormatting sqref="O592">
    <cfRule type="expression" priority="2471">
      <formula>(O592="")</formula>
    </cfRule>
  </conditionalFormatting>
  <conditionalFormatting sqref="O591">
    <cfRule type="expression" dxfId="785" priority="2467">
      <formula>IF(L591="NO BET", TRUE, FALSE)</formula>
    </cfRule>
    <cfRule type="expression" priority="2469">
      <formula>(O591="")</formula>
    </cfRule>
  </conditionalFormatting>
  <conditionalFormatting sqref="O591">
    <cfRule type="expression" priority="2468">
      <formula>(O591="")</formula>
    </cfRule>
  </conditionalFormatting>
  <conditionalFormatting sqref="O593:O596">
    <cfRule type="expression" dxfId="784" priority="2465">
      <formula>AND(NOT(K593=O593),NOT(O593=""))</formula>
    </cfRule>
    <cfRule type="expression" dxfId="783" priority="2466">
      <formula>AND((K593=O593),NOT(O593=""))</formula>
    </cfRule>
  </conditionalFormatting>
  <conditionalFormatting sqref="O593">
    <cfRule type="expression" priority="2464">
      <formula>(O593="")</formula>
    </cfRule>
  </conditionalFormatting>
  <conditionalFormatting sqref="O594">
    <cfRule type="expression" dxfId="782" priority="2457">
      <formula>IF(L594="NO BET", TRUE, FALSE)</formula>
    </cfRule>
    <cfRule type="expression" priority="2463">
      <formula>(O594="")</formula>
    </cfRule>
  </conditionalFormatting>
  <conditionalFormatting sqref="O595">
    <cfRule type="expression" priority="2462">
      <formula>(O595="")</formula>
    </cfRule>
  </conditionalFormatting>
  <conditionalFormatting sqref="O596">
    <cfRule type="expression" priority="2461">
      <formula>(O596="")</formula>
    </cfRule>
  </conditionalFormatting>
  <conditionalFormatting sqref="O594">
    <cfRule type="expression" priority="2460">
      <formula>(O594="")</formula>
    </cfRule>
  </conditionalFormatting>
  <conditionalFormatting sqref="O595">
    <cfRule type="expression" priority="2459">
      <formula>(O595="")</formula>
    </cfRule>
  </conditionalFormatting>
  <conditionalFormatting sqref="O596">
    <cfRule type="expression" priority="2458">
      <formula>(O596="")</formula>
    </cfRule>
  </conditionalFormatting>
  <conditionalFormatting sqref="O593">
    <cfRule type="expression" dxfId="781" priority="2454">
      <formula>IF(L593="NO BET", TRUE, FALSE)</formula>
    </cfRule>
    <cfRule type="expression" priority="2456">
      <formula>(O593="")</formula>
    </cfRule>
  </conditionalFormatting>
  <conditionalFormatting sqref="O593">
    <cfRule type="expression" priority="2455">
      <formula>(O593="")</formula>
    </cfRule>
  </conditionalFormatting>
  <conditionalFormatting sqref="O595">
    <cfRule type="expression" priority="2453">
      <formula>(O595="")</formula>
    </cfRule>
  </conditionalFormatting>
  <conditionalFormatting sqref="O596">
    <cfRule type="expression" dxfId="780" priority="2450">
      <formula>IF(L596="NO BET", TRUE, FALSE)</formula>
    </cfRule>
    <cfRule type="expression" priority="2452">
      <formula>(O596="")</formula>
    </cfRule>
  </conditionalFormatting>
  <conditionalFormatting sqref="O596">
    <cfRule type="expression" priority="2451">
      <formula>(O596="")</formula>
    </cfRule>
  </conditionalFormatting>
  <conditionalFormatting sqref="O595">
    <cfRule type="expression" dxfId="779" priority="2447">
      <formula>IF(L595="NO BET", TRUE, FALSE)</formula>
    </cfRule>
    <cfRule type="expression" priority="2449">
      <formula>(O595="")</formula>
    </cfRule>
  </conditionalFormatting>
  <conditionalFormatting sqref="O595">
    <cfRule type="expression" priority="2448">
      <formula>(O595="")</formula>
    </cfRule>
  </conditionalFormatting>
  <conditionalFormatting sqref="O431:O436">
    <cfRule type="expression" dxfId="778" priority="2445">
      <formula>AND(NOT(K431=O431),NOT(O431=""))</formula>
    </cfRule>
    <cfRule type="expression" dxfId="777" priority="2446">
      <formula>AND((K431=O431),NOT(O431=""))</formula>
    </cfRule>
  </conditionalFormatting>
  <conditionalFormatting sqref="O431">
    <cfRule type="expression" priority="2444">
      <formula>(O431="")</formula>
    </cfRule>
  </conditionalFormatting>
  <conditionalFormatting sqref="O432">
    <cfRule type="expression" dxfId="776" priority="2433">
      <formula>IF(L432="NO BET", TRUE, FALSE)</formula>
    </cfRule>
    <cfRule type="expression" priority="2443">
      <formula>(O432="")</formula>
    </cfRule>
  </conditionalFormatting>
  <conditionalFormatting sqref="O433">
    <cfRule type="expression" priority="2442">
      <formula>(O433="")</formula>
    </cfRule>
  </conditionalFormatting>
  <conditionalFormatting sqref="O434">
    <cfRule type="expression" priority="2441">
      <formula>(O434="")</formula>
    </cfRule>
  </conditionalFormatting>
  <conditionalFormatting sqref="O435">
    <cfRule type="expression" priority="2440">
      <formula>(O435="")</formula>
    </cfRule>
  </conditionalFormatting>
  <conditionalFormatting sqref="O436">
    <cfRule type="expression" priority="2439">
      <formula>(O436="")</formula>
    </cfRule>
  </conditionalFormatting>
  <conditionalFormatting sqref="O432">
    <cfRule type="expression" priority="2438">
      <formula>(O432="")</formula>
    </cfRule>
  </conditionalFormatting>
  <conditionalFormatting sqref="O433">
    <cfRule type="expression" priority="2437">
      <formula>(O433="")</formula>
    </cfRule>
  </conditionalFormatting>
  <conditionalFormatting sqref="O434">
    <cfRule type="expression" priority="2436">
      <formula>(O434="")</formula>
    </cfRule>
  </conditionalFormatting>
  <conditionalFormatting sqref="O435">
    <cfRule type="expression" priority="2435">
      <formula>(O435="")</formula>
    </cfRule>
  </conditionalFormatting>
  <conditionalFormatting sqref="O436">
    <cfRule type="expression" priority="2434">
      <formula>(O436="")</formula>
    </cfRule>
  </conditionalFormatting>
  <conditionalFormatting sqref="O431">
    <cfRule type="expression" dxfId="775" priority="2430">
      <formula>IF(L431="NO BET", TRUE, FALSE)</formula>
    </cfRule>
    <cfRule type="expression" priority="2432">
      <formula>(O431="")</formula>
    </cfRule>
  </conditionalFormatting>
  <conditionalFormatting sqref="O431">
    <cfRule type="expression" priority="2431">
      <formula>(O431="")</formula>
    </cfRule>
  </conditionalFormatting>
  <conditionalFormatting sqref="O433">
    <cfRule type="expression" priority="2429">
      <formula>(O433="")</formula>
    </cfRule>
  </conditionalFormatting>
  <conditionalFormatting sqref="O434">
    <cfRule type="expression" dxfId="774" priority="2426">
      <formula>IF(L434="NO BET", TRUE, FALSE)</formula>
    </cfRule>
    <cfRule type="expression" priority="2428">
      <formula>(O434="")</formula>
    </cfRule>
  </conditionalFormatting>
  <conditionalFormatting sqref="O434">
    <cfRule type="expression" priority="2427">
      <formula>(O434="")</formula>
    </cfRule>
  </conditionalFormatting>
  <conditionalFormatting sqref="O433">
    <cfRule type="expression" dxfId="773" priority="2423">
      <formula>IF(L433="NO BET", TRUE, FALSE)</formula>
    </cfRule>
    <cfRule type="expression" priority="2425">
      <formula>(O433="")</formula>
    </cfRule>
  </conditionalFormatting>
  <conditionalFormatting sqref="O433">
    <cfRule type="expression" priority="2424">
      <formula>(O433="")</formula>
    </cfRule>
  </conditionalFormatting>
  <conditionalFormatting sqref="O435">
    <cfRule type="expression" priority="2422">
      <formula>(O435="")</formula>
    </cfRule>
  </conditionalFormatting>
  <conditionalFormatting sqref="O436">
    <cfRule type="expression" dxfId="772" priority="2419">
      <formula>IF(L436="NO BET", TRUE, FALSE)</formula>
    </cfRule>
    <cfRule type="expression" priority="2421">
      <formula>(O436="")</formula>
    </cfRule>
  </conditionalFormatting>
  <conditionalFormatting sqref="O436">
    <cfRule type="expression" priority="2420">
      <formula>(O436="")</formula>
    </cfRule>
  </conditionalFormatting>
  <conditionalFormatting sqref="O435">
    <cfRule type="expression" dxfId="771" priority="2416">
      <formula>IF(L435="NO BET", TRUE, FALSE)</formula>
    </cfRule>
    <cfRule type="expression" priority="2418">
      <formula>(O435="")</formula>
    </cfRule>
  </conditionalFormatting>
  <conditionalFormatting sqref="O435">
    <cfRule type="expression" priority="2417">
      <formula>(O435="")</formula>
    </cfRule>
  </conditionalFormatting>
  <conditionalFormatting sqref="O437:O440">
    <cfRule type="expression" dxfId="770" priority="2414">
      <formula>AND(NOT(K437=O437),NOT(O437=""))</formula>
    </cfRule>
    <cfRule type="expression" dxfId="769" priority="2415">
      <formula>AND((K437=O437),NOT(O437=""))</formula>
    </cfRule>
  </conditionalFormatting>
  <conditionalFormatting sqref="O437">
    <cfRule type="expression" priority="2413">
      <formula>(O437="")</formula>
    </cfRule>
  </conditionalFormatting>
  <conditionalFormatting sqref="O438">
    <cfRule type="expression" dxfId="768" priority="2406">
      <formula>IF(L438="NO BET", TRUE, FALSE)</formula>
    </cfRule>
    <cfRule type="expression" priority="2412">
      <formula>(O438="")</formula>
    </cfRule>
  </conditionalFormatting>
  <conditionalFormatting sqref="O439">
    <cfRule type="expression" priority="2411">
      <formula>(O439="")</formula>
    </cfRule>
  </conditionalFormatting>
  <conditionalFormatting sqref="O440">
    <cfRule type="expression" priority="2410">
      <formula>(O440="")</formula>
    </cfRule>
  </conditionalFormatting>
  <conditionalFormatting sqref="O438">
    <cfRule type="expression" priority="2409">
      <formula>(O438="")</formula>
    </cfRule>
  </conditionalFormatting>
  <conditionalFormatting sqref="O439">
    <cfRule type="expression" priority="2408">
      <formula>(O439="")</formula>
    </cfRule>
  </conditionalFormatting>
  <conditionalFormatting sqref="O440">
    <cfRule type="expression" priority="2407">
      <formula>(O440="")</formula>
    </cfRule>
  </conditionalFormatting>
  <conditionalFormatting sqref="O437">
    <cfRule type="expression" dxfId="767" priority="2403">
      <formula>IF(L437="NO BET", TRUE, FALSE)</formula>
    </cfRule>
    <cfRule type="expression" priority="2405">
      <formula>(O437="")</formula>
    </cfRule>
  </conditionalFormatting>
  <conditionalFormatting sqref="O437">
    <cfRule type="expression" priority="2404">
      <formula>(O437="")</formula>
    </cfRule>
  </conditionalFormatting>
  <conditionalFormatting sqref="O439">
    <cfRule type="expression" priority="2402">
      <formula>(O439="")</formula>
    </cfRule>
  </conditionalFormatting>
  <conditionalFormatting sqref="O440">
    <cfRule type="expression" dxfId="766" priority="2399">
      <formula>IF(L440="NO BET", TRUE, FALSE)</formula>
    </cfRule>
    <cfRule type="expression" priority="2401">
      <formula>(O440="")</formula>
    </cfRule>
  </conditionalFormatting>
  <conditionalFormatting sqref="O440">
    <cfRule type="expression" priority="2400">
      <formula>(O440="")</formula>
    </cfRule>
  </conditionalFormatting>
  <conditionalFormatting sqref="O439">
    <cfRule type="expression" dxfId="765" priority="2396">
      <formula>IF(L439="NO BET", TRUE, FALSE)</formula>
    </cfRule>
    <cfRule type="expression" priority="2398">
      <formula>(O439="")</formula>
    </cfRule>
  </conditionalFormatting>
  <conditionalFormatting sqref="O439">
    <cfRule type="expression" priority="2397">
      <formula>(O439="")</formula>
    </cfRule>
  </conditionalFormatting>
  <conditionalFormatting sqref="O417:O422">
    <cfRule type="expression" dxfId="764" priority="2394">
      <formula>AND(NOT(K417=O417),NOT(O417=""))</formula>
    </cfRule>
    <cfRule type="expression" dxfId="763" priority="2395">
      <formula>AND((K417=O417),NOT(O417=""))</formula>
    </cfRule>
  </conditionalFormatting>
  <conditionalFormatting sqref="O417">
    <cfRule type="expression" priority="2393">
      <formula>(O417="")</formula>
    </cfRule>
  </conditionalFormatting>
  <conditionalFormatting sqref="O418">
    <cfRule type="expression" dxfId="762" priority="2382">
      <formula>IF(L418="NO BET", TRUE, FALSE)</formula>
    </cfRule>
    <cfRule type="expression" priority="2392">
      <formula>(O418="")</formula>
    </cfRule>
  </conditionalFormatting>
  <conditionalFormatting sqref="O419">
    <cfRule type="expression" priority="2391">
      <formula>(O419="")</formula>
    </cfRule>
  </conditionalFormatting>
  <conditionalFormatting sqref="O420">
    <cfRule type="expression" priority="2390">
      <formula>(O420="")</formula>
    </cfRule>
  </conditionalFormatting>
  <conditionalFormatting sqref="O421">
    <cfRule type="expression" priority="2389">
      <formula>(O421="")</formula>
    </cfRule>
  </conditionalFormatting>
  <conditionalFormatting sqref="O422">
    <cfRule type="expression" priority="2388">
      <formula>(O422="")</formula>
    </cfRule>
  </conditionalFormatting>
  <conditionalFormatting sqref="O418">
    <cfRule type="expression" priority="2387">
      <formula>(O418="")</formula>
    </cfRule>
  </conditionalFormatting>
  <conditionalFormatting sqref="O419">
    <cfRule type="expression" priority="2386">
      <formula>(O419="")</formula>
    </cfRule>
  </conditionalFormatting>
  <conditionalFormatting sqref="O420">
    <cfRule type="expression" priority="2385">
      <formula>(O420="")</formula>
    </cfRule>
  </conditionalFormatting>
  <conditionalFormatting sqref="O421">
    <cfRule type="expression" priority="2384">
      <formula>(O421="")</formula>
    </cfRule>
  </conditionalFormatting>
  <conditionalFormatting sqref="O422">
    <cfRule type="expression" priority="2383">
      <formula>(O422="")</formula>
    </cfRule>
  </conditionalFormatting>
  <conditionalFormatting sqref="O417">
    <cfRule type="expression" dxfId="761" priority="2379">
      <formula>IF(L417="NO BET", TRUE, FALSE)</formula>
    </cfRule>
    <cfRule type="expression" priority="2381">
      <formula>(O417="")</formula>
    </cfRule>
  </conditionalFormatting>
  <conditionalFormatting sqref="O417">
    <cfRule type="expression" priority="2380">
      <formula>(O417="")</formula>
    </cfRule>
  </conditionalFormatting>
  <conditionalFormatting sqref="O419">
    <cfRule type="expression" priority="2378">
      <formula>(O419="")</formula>
    </cfRule>
  </conditionalFormatting>
  <conditionalFormatting sqref="O420">
    <cfRule type="expression" dxfId="760" priority="2375">
      <formula>IF(L420="NO BET", TRUE, FALSE)</formula>
    </cfRule>
    <cfRule type="expression" priority="2377">
      <formula>(O420="")</formula>
    </cfRule>
  </conditionalFormatting>
  <conditionalFormatting sqref="O420">
    <cfRule type="expression" priority="2376">
      <formula>(O420="")</formula>
    </cfRule>
  </conditionalFormatting>
  <conditionalFormatting sqref="O419">
    <cfRule type="expression" dxfId="759" priority="2372">
      <formula>IF(L419="NO BET", TRUE, FALSE)</formula>
    </cfRule>
    <cfRule type="expression" priority="2374">
      <formula>(O419="")</formula>
    </cfRule>
  </conditionalFormatting>
  <conditionalFormatting sqref="O419">
    <cfRule type="expression" priority="2373">
      <formula>(O419="")</formula>
    </cfRule>
  </conditionalFormatting>
  <conditionalFormatting sqref="O421">
    <cfRule type="expression" priority="2371">
      <formula>(O421="")</formula>
    </cfRule>
  </conditionalFormatting>
  <conditionalFormatting sqref="O422">
    <cfRule type="expression" dxfId="758" priority="2368">
      <formula>IF(L422="NO BET", TRUE, FALSE)</formula>
    </cfRule>
    <cfRule type="expression" priority="2370">
      <formula>(O422="")</formula>
    </cfRule>
  </conditionalFormatting>
  <conditionalFormatting sqref="O422">
    <cfRule type="expression" priority="2369">
      <formula>(O422="")</formula>
    </cfRule>
  </conditionalFormatting>
  <conditionalFormatting sqref="O421">
    <cfRule type="expression" dxfId="757" priority="2365">
      <formula>IF(L421="NO BET", TRUE, FALSE)</formula>
    </cfRule>
    <cfRule type="expression" priority="2367">
      <formula>(O421="")</formula>
    </cfRule>
  </conditionalFormatting>
  <conditionalFormatting sqref="O421">
    <cfRule type="expression" priority="2366">
      <formula>(O421="")</formula>
    </cfRule>
  </conditionalFormatting>
  <conditionalFormatting sqref="O423:O426">
    <cfRule type="expression" dxfId="756" priority="2363">
      <formula>AND(NOT(K423=O423),NOT(O423=""))</formula>
    </cfRule>
    <cfRule type="expression" dxfId="755" priority="2364">
      <formula>AND((K423=O423),NOT(O423=""))</formula>
    </cfRule>
  </conditionalFormatting>
  <conditionalFormatting sqref="O423">
    <cfRule type="expression" priority="2362">
      <formula>(O423="")</formula>
    </cfRule>
  </conditionalFormatting>
  <conditionalFormatting sqref="O424">
    <cfRule type="expression" dxfId="754" priority="2355">
      <formula>IF(L424="NO BET", TRUE, FALSE)</formula>
    </cfRule>
    <cfRule type="expression" priority="2361">
      <formula>(O424="")</formula>
    </cfRule>
  </conditionalFormatting>
  <conditionalFormatting sqref="O425">
    <cfRule type="expression" priority="2360">
      <formula>(O425="")</formula>
    </cfRule>
  </conditionalFormatting>
  <conditionalFormatting sqref="O426">
    <cfRule type="expression" priority="2359">
      <formula>(O426="")</formula>
    </cfRule>
  </conditionalFormatting>
  <conditionalFormatting sqref="O424">
    <cfRule type="expression" priority="2358">
      <formula>(O424="")</formula>
    </cfRule>
  </conditionalFormatting>
  <conditionalFormatting sqref="O425">
    <cfRule type="expression" priority="2357">
      <formula>(O425="")</formula>
    </cfRule>
  </conditionalFormatting>
  <conditionalFormatting sqref="O426">
    <cfRule type="expression" priority="2356">
      <formula>(O426="")</formula>
    </cfRule>
  </conditionalFormatting>
  <conditionalFormatting sqref="O423">
    <cfRule type="expression" dxfId="753" priority="2352">
      <formula>IF(L423="NO BET", TRUE, FALSE)</formula>
    </cfRule>
    <cfRule type="expression" priority="2354">
      <formula>(O423="")</formula>
    </cfRule>
  </conditionalFormatting>
  <conditionalFormatting sqref="O423">
    <cfRule type="expression" priority="2353">
      <formula>(O423="")</formula>
    </cfRule>
  </conditionalFormatting>
  <conditionalFormatting sqref="O425">
    <cfRule type="expression" priority="2351">
      <formula>(O425="")</formula>
    </cfRule>
  </conditionalFormatting>
  <conditionalFormatting sqref="O426">
    <cfRule type="expression" dxfId="752" priority="2348">
      <formula>IF(L426="NO BET", TRUE, FALSE)</formula>
    </cfRule>
    <cfRule type="expression" priority="2350">
      <formula>(O426="")</formula>
    </cfRule>
  </conditionalFormatting>
  <conditionalFormatting sqref="O426">
    <cfRule type="expression" priority="2349">
      <formula>(O426="")</formula>
    </cfRule>
  </conditionalFormatting>
  <conditionalFormatting sqref="O425">
    <cfRule type="expression" dxfId="751" priority="2345">
      <formula>IF(L425="NO BET", TRUE, FALSE)</formula>
    </cfRule>
    <cfRule type="expression" priority="2347">
      <formula>(O425="")</formula>
    </cfRule>
  </conditionalFormatting>
  <conditionalFormatting sqref="O425">
    <cfRule type="expression" priority="2346">
      <formula>(O425="")</formula>
    </cfRule>
  </conditionalFormatting>
  <conditionalFormatting sqref="O403:O408">
    <cfRule type="expression" dxfId="750" priority="2343">
      <formula>AND(NOT(K403=O403),NOT(O403=""))</formula>
    </cfRule>
    <cfRule type="expression" dxfId="749" priority="2344">
      <formula>AND((K403=O403),NOT(O403=""))</formula>
    </cfRule>
  </conditionalFormatting>
  <conditionalFormatting sqref="O403">
    <cfRule type="expression" priority="2342">
      <formula>(O403="")</formula>
    </cfRule>
  </conditionalFormatting>
  <conditionalFormatting sqref="O404">
    <cfRule type="expression" dxfId="748" priority="2331">
      <formula>IF(L404="NO BET", TRUE, FALSE)</formula>
    </cfRule>
    <cfRule type="expression" priority="2341">
      <formula>(O404="")</formula>
    </cfRule>
  </conditionalFormatting>
  <conditionalFormatting sqref="O405">
    <cfRule type="expression" priority="2340">
      <formula>(O405="")</formula>
    </cfRule>
  </conditionalFormatting>
  <conditionalFormatting sqref="O406">
    <cfRule type="expression" priority="2339">
      <formula>(O406="")</formula>
    </cfRule>
  </conditionalFormatting>
  <conditionalFormatting sqref="O407">
    <cfRule type="expression" priority="2338">
      <formula>(O407="")</formula>
    </cfRule>
  </conditionalFormatting>
  <conditionalFormatting sqref="O408">
    <cfRule type="expression" priority="2337">
      <formula>(O408="")</formula>
    </cfRule>
  </conditionalFormatting>
  <conditionalFormatting sqref="O404">
    <cfRule type="expression" priority="2336">
      <formula>(O404="")</formula>
    </cfRule>
  </conditionalFormatting>
  <conditionalFormatting sqref="O405">
    <cfRule type="expression" priority="2335">
      <formula>(O405="")</formula>
    </cfRule>
  </conditionalFormatting>
  <conditionalFormatting sqref="O406">
    <cfRule type="expression" priority="2334">
      <formula>(O406="")</formula>
    </cfRule>
  </conditionalFormatting>
  <conditionalFormatting sqref="O407">
    <cfRule type="expression" priority="2333">
      <formula>(O407="")</formula>
    </cfRule>
  </conditionalFormatting>
  <conditionalFormatting sqref="O408">
    <cfRule type="expression" priority="2332">
      <formula>(O408="")</formula>
    </cfRule>
  </conditionalFormatting>
  <conditionalFormatting sqref="O403">
    <cfRule type="expression" dxfId="747" priority="2328">
      <formula>IF(L403="NO BET", TRUE, FALSE)</formula>
    </cfRule>
    <cfRule type="expression" priority="2330">
      <formula>(O403="")</formula>
    </cfRule>
  </conditionalFormatting>
  <conditionalFormatting sqref="O403">
    <cfRule type="expression" priority="2329">
      <formula>(O403="")</formula>
    </cfRule>
  </conditionalFormatting>
  <conditionalFormatting sqref="O405">
    <cfRule type="expression" priority="2327">
      <formula>(O405="")</formula>
    </cfRule>
  </conditionalFormatting>
  <conditionalFormatting sqref="O406">
    <cfRule type="expression" dxfId="746" priority="2324">
      <formula>IF(L406="NO BET", TRUE, FALSE)</formula>
    </cfRule>
    <cfRule type="expression" priority="2326">
      <formula>(O406="")</formula>
    </cfRule>
  </conditionalFormatting>
  <conditionalFormatting sqref="O406">
    <cfRule type="expression" priority="2325">
      <formula>(O406="")</formula>
    </cfRule>
  </conditionalFormatting>
  <conditionalFormatting sqref="O405">
    <cfRule type="expression" dxfId="745" priority="2321">
      <formula>IF(L405="NO BET", TRUE, FALSE)</formula>
    </cfRule>
    <cfRule type="expression" priority="2323">
      <formula>(O405="")</formula>
    </cfRule>
  </conditionalFormatting>
  <conditionalFormatting sqref="O405">
    <cfRule type="expression" priority="2322">
      <formula>(O405="")</formula>
    </cfRule>
  </conditionalFormatting>
  <conditionalFormatting sqref="O407">
    <cfRule type="expression" priority="2320">
      <formula>(O407="")</formula>
    </cfRule>
  </conditionalFormatting>
  <conditionalFormatting sqref="O408">
    <cfRule type="expression" dxfId="744" priority="2317">
      <formula>IF(L408="NO BET", TRUE, FALSE)</formula>
    </cfRule>
    <cfRule type="expression" priority="2319">
      <formula>(O408="")</formula>
    </cfRule>
  </conditionalFormatting>
  <conditionalFormatting sqref="O408">
    <cfRule type="expression" priority="2318">
      <formula>(O408="")</formula>
    </cfRule>
  </conditionalFormatting>
  <conditionalFormatting sqref="O407">
    <cfRule type="expression" dxfId="743" priority="2314">
      <formula>IF(L407="NO BET", TRUE, FALSE)</formula>
    </cfRule>
    <cfRule type="expression" priority="2316">
      <formula>(O407="")</formula>
    </cfRule>
  </conditionalFormatting>
  <conditionalFormatting sqref="O407">
    <cfRule type="expression" priority="2315">
      <formula>(O407="")</formula>
    </cfRule>
  </conditionalFormatting>
  <conditionalFormatting sqref="O409:O412">
    <cfRule type="expression" dxfId="742" priority="2312">
      <formula>AND(NOT(K409=O409),NOT(O409=""))</formula>
    </cfRule>
    <cfRule type="expression" dxfId="741" priority="2313">
      <formula>AND((K409=O409),NOT(O409=""))</formula>
    </cfRule>
  </conditionalFormatting>
  <conditionalFormatting sqref="O409">
    <cfRule type="expression" priority="2311">
      <formula>(O409="")</formula>
    </cfRule>
  </conditionalFormatting>
  <conditionalFormatting sqref="O410">
    <cfRule type="expression" dxfId="740" priority="2304">
      <formula>IF(L410="NO BET", TRUE, FALSE)</formula>
    </cfRule>
    <cfRule type="expression" priority="2310">
      <formula>(O410="")</formula>
    </cfRule>
  </conditionalFormatting>
  <conditionalFormatting sqref="O411">
    <cfRule type="expression" priority="2309">
      <formula>(O411="")</formula>
    </cfRule>
  </conditionalFormatting>
  <conditionalFormatting sqref="O412">
    <cfRule type="expression" priority="2308">
      <formula>(O412="")</formula>
    </cfRule>
  </conditionalFormatting>
  <conditionalFormatting sqref="O410">
    <cfRule type="expression" priority="2307">
      <formula>(O410="")</formula>
    </cfRule>
  </conditionalFormatting>
  <conditionalFormatting sqref="O411">
    <cfRule type="expression" priority="2306">
      <formula>(O411="")</formula>
    </cfRule>
  </conditionalFormatting>
  <conditionalFormatting sqref="O412">
    <cfRule type="expression" priority="2305">
      <formula>(O412="")</formula>
    </cfRule>
  </conditionalFormatting>
  <conditionalFormatting sqref="O409">
    <cfRule type="expression" dxfId="739" priority="2301">
      <formula>IF(L409="NO BET", TRUE, FALSE)</formula>
    </cfRule>
    <cfRule type="expression" priority="2303">
      <formula>(O409="")</formula>
    </cfRule>
  </conditionalFormatting>
  <conditionalFormatting sqref="O409">
    <cfRule type="expression" priority="2302">
      <formula>(O409="")</formula>
    </cfRule>
  </conditionalFormatting>
  <conditionalFormatting sqref="O411">
    <cfRule type="expression" priority="2300">
      <formula>(O411="")</formula>
    </cfRule>
  </conditionalFormatting>
  <conditionalFormatting sqref="O412">
    <cfRule type="expression" dxfId="738" priority="2297">
      <formula>IF(L412="NO BET", TRUE, FALSE)</formula>
    </cfRule>
    <cfRule type="expression" priority="2299">
      <formula>(O412="")</formula>
    </cfRule>
  </conditionalFormatting>
  <conditionalFormatting sqref="O412">
    <cfRule type="expression" priority="2298">
      <formula>(O412="")</formula>
    </cfRule>
  </conditionalFormatting>
  <conditionalFormatting sqref="O411">
    <cfRule type="expression" dxfId="737" priority="2294">
      <formula>IF(L411="NO BET", TRUE, FALSE)</formula>
    </cfRule>
    <cfRule type="expression" priority="2296">
      <formula>(O411="")</formula>
    </cfRule>
  </conditionalFormatting>
  <conditionalFormatting sqref="O411">
    <cfRule type="expression" priority="2295">
      <formula>(O411="")</formula>
    </cfRule>
  </conditionalFormatting>
  <conditionalFormatting sqref="O375:O380">
    <cfRule type="expression" dxfId="736" priority="2241">
      <formula>AND(NOT(K375=O375),NOT(O375=""))</formula>
    </cfRule>
    <cfRule type="expression" dxfId="735" priority="2242">
      <formula>AND((K375=O375),NOT(O375=""))</formula>
    </cfRule>
  </conditionalFormatting>
  <conditionalFormatting sqref="O375">
    <cfRule type="expression" priority="2240">
      <formula>(O375="")</formula>
    </cfRule>
  </conditionalFormatting>
  <conditionalFormatting sqref="O376">
    <cfRule type="expression" dxfId="734" priority="2229">
      <formula>IF(L376="NO BET", TRUE, FALSE)</formula>
    </cfRule>
    <cfRule type="expression" priority="2239">
      <formula>(O376="")</formula>
    </cfRule>
  </conditionalFormatting>
  <conditionalFormatting sqref="O377">
    <cfRule type="expression" priority="2238">
      <formula>(O377="")</formula>
    </cfRule>
  </conditionalFormatting>
  <conditionalFormatting sqref="O378">
    <cfRule type="expression" priority="2237">
      <formula>(O378="")</formula>
    </cfRule>
  </conditionalFormatting>
  <conditionalFormatting sqref="O379">
    <cfRule type="expression" priority="2236">
      <formula>(O379="")</formula>
    </cfRule>
  </conditionalFormatting>
  <conditionalFormatting sqref="O380">
    <cfRule type="expression" priority="2235">
      <formula>(O380="")</formula>
    </cfRule>
  </conditionalFormatting>
  <conditionalFormatting sqref="O376">
    <cfRule type="expression" priority="2234">
      <formula>(O376="")</formula>
    </cfRule>
  </conditionalFormatting>
  <conditionalFormatting sqref="O377">
    <cfRule type="expression" priority="2233">
      <formula>(O377="")</formula>
    </cfRule>
  </conditionalFormatting>
  <conditionalFormatting sqref="O378">
    <cfRule type="expression" priority="2232">
      <formula>(O378="")</formula>
    </cfRule>
  </conditionalFormatting>
  <conditionalFormatting sqref="O379">
    <cfRule type="expression" priority="2231">
      <formula>(O379="")</formula>
    </cfRule>
  </conditionalFormatting>
  <conditionalFormatting sqref="O380">
    <cfRule type="expression" priority="2230">
      <formula>(O380="")</formula>
    </cfRule>
  </conditionalFormatting>
  <conditionalFormatting sqref="O375">
    <cfRule type="expression" dxfId="733" priority="2226">
      <formula>IF(L375="NO BET", TRUE, FALSE)</formula>
    </cfRule>
    <cfRule type="expression" priority="2228">
      <formula>(O375="")</formula>
    </cfRule>
  </conditionalFormatting>
  <conditionalFormatting sqref="O375">
    <cfRule type="expression" priority="2227">
      <formula>(O375="")</formula>
    </cfRule>
  </conditionalFormatting>
  <conditionalFormatting sqref="O377">
    <cfRule type="expression" priority="2225">
      <formula>(O377="")</formula>
    </cfRule>
  </conditionalFormatting>
  <conditionalFormatting sqref="O378">
    <cfRule type="expression" dxfId="732" priority="2222">
      <formula>IF(L378="NO BET", TRUE, FALSE)</formula>
    </cfRule>
    <cfRule type="expression" priority="2224">
      <formula>(O378="")</formula>
    </cfRule>
  </conditionalFormatting>
  <conditionalFormatting sqref="O378">
    <cfRule type="expression" priority="2223">
      <formula>(O378="")</formula>
    </cfRule>
  </conditionalFormatting>
  <conditionalFormatting sqref="O377">
    <cfRule type="expression" dxfId="731" priority="2219">
      <formula>IF(L377="NO BET", TRUE, FALSE)</formula>
    </cfRule>
    <cfRule type="expression" priority="2221">
      <formula>(O377="")</formula>
    </cfRule>
  </conditionalFormatting>
  <conditionalFormatting sqref="O377">
    <cfRule type="expression" priority="2220">
      <formula>(O377="")</formula>
    </cfRule>
  </conditionalFormatting>
  <conditionalFormatting sqref="O379">
    <cfRule type="expression" priority="2218">
      <formula>(O379="")</formula>
    </cfRule>
  </conditionalFormatting>
  <conditionalFormatting sqref="O380">
    <cfRule type="expression" dxfId="730" priority="2215">
      <formula>IF(L380="NO BET", TRUE, FALSE)</formula>
    </cfRule>
    <cfRule type="expression" priority="2217">
      <formula>(O380="")</formula>
    </cfRule>
  </conditionalFormatting>
  <conditionalFormatting sqref="O380">
    <cfRule type="expression" priority="2216">
      <formula>(O380="")</formula>
    </cfRule>
  </conditionalFormatting>
  <conditionalFormatting sqref="O379">
    <cfRule type="expression" dxfId="729" priority="2212">
      <formula>IF(L379="NO BET", TRUE, FALSE)</formula>
    </cfRule>
    <cfRule type="expression" priority="2214">
      <formula>(O379="")</formula>
    </cfRule>
  </conditionalFormatting>
  <conditionalFormatting sqref="O379">
    <cfRule type="expression" priority="2213">
      <formula>(O379="")</formula>
    </cfRule>
  </conditionalFormatting>
  <conditionalFormatting sqref="O381:O384">
    <cfRule type="expression" dxfId="728" priority="2210">
      <formula>AND(NOT(K381=O381),NOT(O381=""))</formula>
    </cfRule>
    <cfRule type="expression" dxfId="727" priority="2211">
      <formula>AND((K381=O381),NOT(O381=""))</formula>
    </cfRule>
  </conditionalFormatting>
  <conditionalFormatting sqref="O381">
    <cfRule type="expression" priority="2209">
      <formula>(O381="")</formula>
    </cfRule>
  </conditionalFormatting>
  <conditionalFormatting sqref="O382">
    <cfRule type="expression" dxfId="726" priority="2202">
      <formula>IF(L382="NO BET", TRUE, FALSE)</formula>
    </cfRule>
    <cfRule type="expression" priority="2208">
      <formula>(O382="")</formula>
    </cfRule>
  </conditionalFormatting>
  <conditionalFormatting sqref="O383">
    <cfRule type="expression" priority="2207">
      <formula>(O383="")</formula>
    </cfRule>
  </conditionalFormatting>
  <conditionalFormatting sqref="O384">
    <cfRule type="expression" priority="2206">
      <formula>(O384="")</formula>
    </cfRule>
  </conditionalFormatting>
  <conditionalFormatting sqref="O382">
    <cfRule type="expression" priority="2205">
      <formula>(O382="")</formula>
    </cfRule>
  </conditionalFormatting>
  <conditionalFormatting sqref="O383">
    <cfRule type="expression" priority="2204">
      <formula>(O383="")</formula>
    </cfRule>
  </conditionalFormatting>
  <conditionalFormatting sqref="O384">
    <cfRule type="expression" priority="2203">
      <formula>(O384="")</formula>
    </cfRule>
  </conditionalFormatting>
  <conditionalFormatting sqref="O381">
    <cfRule type="expression" dxfId="725" priority="2199">
      <formula>IF(L381="NO BET", TRUE, FALSE)</formula>
    </cfRule>
    <cfRule type="expression" priority="2201">
      <formula>(O381="")</formula>
    </cfRule>
  </conditionalFormatting>
  <conditionalFormatting sqref="O381">
    <cfRule type="expression" priority="2200">
      <formula>(O381="")</formula>
    </cfRule>
  </conditionalFormatting>
  <conditionalFormatting sqref="O383">
    <cfRule type="expression" priority="2198">
      <formula>(O383="")</formula>
    </cfRule>
  </conditionalFormatting>
  <conditionalFormatting sqref="O384">
    <cfRule type="expression" dxfId="724" priority="2195">
      <formula>IF(L384="NO BET", TRUE, FALSE)</formula>
    </cfRule>
    <cfRule type="expression" priority="2197">
      <formula>(O384="")</formula>
    </cfRule>
  </conditionalFormatting>
  <conditionalFormatting sqref="O384">
    <cfRule type="expression" priority="2196">
      <formula>(O384="")</formula>
    </cfRule>
  </conditionalFormatting>
  <conditionalFormatting sqref="O383">
    <cfRule type="expression" dxfId="723" priority="2192">
      <formula>IF(L383="NO BET", TRUE, FALSE)</formula>
    </cfRule>
    <cfRule type="expression" priority="2194">
      <formula>(O383="")</formula>
    </cfRule>
  </conditionalFormatting>
  <conditionalFormatting sqref="O383">
    <cfRule type="expression" priority="2193">
      <formula>(O383="")</formula>
    </cfRule>
  </conditionalFormatting>
  <conditionalFormatting sqref="O361:O366">
    <cfRule type="expression" dxfId="722" priority="2190">
      <formula>AND(NOT(K361=O361),NOT(O361=""))</formula>
    </cfRule>
    <cfRule type="expression" dxfId="721" priority="2191">
      <formula>AND((K361=O361),NOT(O361=""))</formula>
    </cfRule>
  </conditionalFormatting>
  <conditionalFormatting sqref="O361">
    <cfRule type="expression" priority="2189">
      <formula>(O361="")</formula>
    </cfRule>
  </conditionalFormatting>
  <conditionalFormatting sqref="O362">
    <cfRule type="expression" dxfId="720" priority="2178">
      <formula>IF(L362="NO BET", TRUE, FALSE)</formula>
    </cfRule>
    <cfRule type="expression" priority="2188">
      <formula>(O362="")</formula>
    </cfRule>
  </conditionalFormatting>
  <conditionalFormatting sqref="O363">
    <cfRule type="expression" priority="2187">
      <formula>(O363="")</formula>
    </cfRule>
  </conditionalFormatting>
  <conditionalFormatting sqref="O364">
    <cfRule type="expression" priority="2186">
      <formula>(O364="")</formula>
    </cfRule>
  </conditionalFormatting>
  <conditionalFormatting sqref="O365">
    <cfRule type="expression" priority="2185">
      <formula>(O365="")</formula>
    </cfRule>
  </conditionalFormatting>
  <conditionalFormatting sqref="O366">
    <cfRule type="expression" priority="2184">
      <formula>(O366="")</formula>
    </cfRule>
  </conditionalFormatting>
  <conditionalFormatting sqref="O362">
    <cfRule type="expression" priority="2183">
      <formula>(O362="")</formula>
    </cfRule>
  </conditionalFormatting>
  <conditionalFormatting sqref="O363">
    <cfRule type="expression" priority="2182">
      <formula>(O363="")</formula>
    </cfRule>
  </conditionalFormatting>
  <conditionalFormatting sqref="O364">
    <cfRule type="expression" priority="2181">
      <formula>(O364="")</formula>
    </cfRule>
  </conditionalFormatting>
  <conditionalFormatting sqref="O365">
    <cfRule type="expression" priority="2180">
      <formula>(O365="")</formula>
    </cfRule>
  </conditionalFormatting>
  <conditionalFormatting sqref="O366">
    <cfRule type="expression" priority="2179">
      <formula>(O366="")</formula>
    </cfRule>
  </conditionalFormatting>
  <conditionalFormatting sqref="O361">
    <cfRule type="expression" dxfId="719" priority="2175">
      <formula>IF(L361="NO BET", TRUE, FALSE)</formula>
    </cfRule>
    <cfRule type="expression" priority="2177">
      <formula>(O361="")</formula>
    </cfRule>
  </conditionalFormatting>
  <conditionalFormatting sqref="O361">
    <cfRule type="expression" priority="2176">
      <formula>(O361="")</formula>
    </cfRule>
  </conditionalFormatting>
  <conditionalFormatting sqref="O363">
    <cfRule type="expression" priority="2174">
      <formula>(O363="")</formula>
    </cfRule>
  </conditionalFormatting>
  <conditionalFormatting sqref="O364">
    <cfRule type="expression" dxfId="718" priority="2171">
      <formula>IF(L364="NO BET", TRUE, FALSE)</formula>
    </cfRule>
    <cfRule type="expression" priority="2173">
      <formula>(O364="")</formula>
    </cfRule>
  </conditionalFormatting>
  <conditionalFormatting sqref="O364">
    <cfRule type="expression" priority="2172">
      <formula>(O364="")</formula>
    </cfRule>
  </conditionalFormatting>
  <conditionalFormatting sqref="O363">
    <cfRule type="expression" dxfId="717" priority="2168">
      <formula>IF(L363="NO BET", TRUE, FALSE)</formula>
    </cfRule>
    <cfRule type="expression" priority="2170">
      <formula>(O363="")</formula>
    </cfRule>
  </conditionalFormatting>
  <conditionalFormatting sqref="O363">
    <cfRule type="expression" priority="2169">
      <formula>(O363="")</formula>
    </cfRule>
  </conditionalFormatting>
  <conditionalFormatting sqref="O365">
    <cfRule type="expression" priority="2167">
      <formula>(O365="")</formula>
    </cfRule>
  </conditionalFormatting>
  <conditionalFormatting sqref="O366">
    <cfRule type="expression" dxfId="716" priority="2164">
      <formula>IF(L366="NO BET", TRUE, FALSE)</formula>
    </cfRule>
    <cfRule type="expression" priority="2166">
      <formula>(O366="")</formula>
    </cfRule>
  </conditionalFormatting>
  <conditionalFormatting sqref="O366">
    <cfRule type="expression" priority="2165">
      <formula>(O366="")</formula>
    </cfRule>
  </conditionalFormatting>
  <conditionalFormatting sqref="O365">
    <cfRule type="expression" dxfId="715" priority="2161">
      <formula>IF(L365="NO BET", TRUE, FALSE)</formula>
    </cfRule>
    <cfRule type="expression" priority="2163">
      <formula>(O365="")</formula>
    </cfRule>
  </conditionalFormatting>
  <conditionalFormatting sqref="O365">
    <cfRule type="expression" priority="2162">
      <formula>(O365="")</formula>
    </cfRule>
  </conditionalFormatting>
  <conditionalFormatting sqref="O367:O370">
    <cfRule type="expression" dxfId="714" priority="2159">
      <formula>AND(NOT(K367=O367),NOT(O367=""))</formula>
    </cfRule>
    <cfRule type="expression" dxfId="713" priority="2160">
      <formula>AND((K367=O367),NOT(O367=""))</formula>
    </cfRule>
  </conditionalFormatting>
  <conditionalFormatting sqref="O367">
    <cfRule type="expression" priority="2158">
      <formula>(O367="")</formula>
    </cfRule>
  </conditionalFormatting>
  <conditionalFormatting sqref="O368">
    <cfRule type="expression" dxfId="712" priority="2151">
      <formula>IF(L368="NO BET", TRUE, FALSE)</formula>
    </cfRule>
    <cfRule type="expression" priority="2157">
      <formula>(O368="")</formula>
    </cfRule>
  </conditionalFormatting>
  <conditionalFormatting sqref="O369">
    <cfRule type="expression" priority="2156">
      <formula>(O369="")</formula>
    </cfRule>
  </conditionalFormatting>
  <conditionalFormatting sqref="O370">
    <cfRule type="expression" priority="2155">
      <formula>(O370="")</formula>
    </cfRule>
  </conditionalFormatting>
  <conditionalFormatting sqref="O368">
    <cfRule type="expression" priority="2154">
      <formula>(O368="")</formula>
    </cfRule>
  </conditionalFormatting>
  <conditionalFormatting sqref="O369">
    <cfRule type="expression" priority="2153">
      <formula>(O369="")</formula>
    </cfRule>
  </conditionalFormatting>
  <conditionalFormatting sqref="O370">
    <cfRule type="expression" priority="2152">
      <formula>(O370="")</formula>
    </cfRule>
  </conditionalFormatting>
  <conditionalFormatting sqref="O367">
    <cfRule type="expression" dxfId="711" priority="2148">
      <formula>IF(L367="NO BET", TRUE, FALSE)</formula>
    </cfRule>
    <cfRule type="expression" priority="2150">
      <formula>(O367="")</formula>
    </cfRule>
  </conditionalFormatting>
  <conditionalFormatting sqref="O367">
    <cfRule type="expression" priority="2149">
      <formula>(O367="")</formula>
    </cfRule>
  </conditionalFormatting>
  <conditionalFormatting sqref="O369">
    <cfRule type="expression" priority="2147">
      <formula>(O369="")</formula>
    </cfRule>
  </conditionalFormatting>
  <conditionalFormatting sqref="O370">
    <cfRule type="expression" dxfId="710" priority="2144">
      <formula>IF(L370="NO BET", TRUE, FALSE)</formula>
    </cfRule>
    <cfRule type="expression" priority="2146">
      <formula>(O370="")</formula>
    </cfRule>
  </conditionalFormatting>
  <conditionalFormatting sqref="O370">
    <cfRule type="expression" priority="2145">
      <formula>(O370="")</formula>
    </cfRule>
  </conditionalFormatting>
  <conditionalFormatting sqref="O369">
    <cfRule type="expression" dxfId="709" priority="2141">
      <formula>IF(L369="NO BET", TRUE, FALSE)</formula>
    </cfRule>
    <cfRule type="expression" priority="2143">
      <formula>(O369="")</formula>
    </cfRule>
  </conditionalFormatting>
  <conditionalFormatting sqref="O369">
    <cfRule type="expression" priority="2142">
      <formula>(O369="")</formula>
    </cfRule>
  </conditionalFormatting>
  <conditionalFormatting sqref="O347:O352">
    <cfRule type="expression" dxfId="708" priority="2139">
      <formula>AND(NOT(K347=O347),NOT(O347=""))</formula>
    </cfRule>
    <cfRule type="expression" dxfId="707" priority="2140">
      <formula>AND((K347=O347),NOT(O347=""))</formula>
    </cfRule>
  </conditionalFormatting>
  <conditionalFormatting sqref="O347">
    <cfRule type="expression" priority="2138">
      <formula>(O347="")</formula>
    </cfRule>
  </conditionalFormatting>
  <conditionalFormatting sqref="O348">
    <cfRule type="expression" dxfId="706" priority="2127">
      <formula>IF(L348="NO BET", TRUE, FALSE)</formula>
    </cfRule>
    <cfRule type="expression" priority="2137">
      <formula>(O348="")</formula>
    </cfRule>
  </conditionalFormatting>
  <conditionalFormatting sqref="O349">
    <cfRule type="expression" priority="2136">
      <formula>(O349="")</formula>
    </cfRule>
  </conditionalFormatting>
  <conditionalFormatting sqref="O350">
    <cfRule type="expression" priority="2135">
      <formula>(O350="")</formula>
    </cfRule>
  </conditionalFormatting>
  <conditionalFormatting sqref="O351">
    <cfRule type="expression" priority="2134">
      <formula>(O351="")</formula>
    </cfRule>
  </conditionalFormatting>
  <conditionalFormatting sqref="O352">
    <cfRule type="expression" priority="2133">
      <formula>(O352="")</formula>
    </cfRule>
  </conditionalFormatting>
  <conditionalFormatting sqref="O348">
    <cfRule type="expression" priority="2132">
      <formula>(O348="")</formula>
    </cfRule>
  </conditionalFormatting>
  <conditionalFormatting sqref="O349">
    <cfRule type="expression" priority="2131">
      <formula>(O349="")</formula>
    </cfRule>
  </conditionalFormatting>
  <conditionalFormatting sqref="O350">
    <cfRule type="expression" priority="2130">
      <formula>(O350="")</formula>
    </cfRule>
  </conditionalFormatting>
  <conditionalFormatting sqref="O351">
    <cfRule type="expression" priority="2129">
      <formula>(O351="")</formula>
    </cfRule>
  </conditionalFormatting>
  <conditionalFormatting sqref="O352">
    <cfRule type="expression" priority="2128">
      <formula>(O352="")</formula>
    </cfRule>
  </conditionalFormatting>
  <conditionalFormatting sqref="O347">
    <cfRule type="expression" dxfId="705" priority="2124">
      <formula>IF(L347="NO BET", TRUE, FALSE)</formula>
    </cfRule>
    <cfRule type="expression" priority="2126">
      <formula>(O347="")</formula>
    </cfRule>
  </conditionalFormatting>
  <conditionalFormatting sqref="O347">
    <cfRule type="expression" priority="2125">
      <formula>(O347="")</formula>
    </cfRule>
  </conditionalFormatting>
  <conditionalFormatting sqref="O349">
    <cfRule type="expression" priority="2123">
      <formula>(O349="")</formula>
    </cfRule>
  </conditionalFormatting>
  <conditionalFormatting sqref="O350">
    <cfRule type="expression" dxfId="704" priority="2120">
      <formula>IF(L350="NO BET", TRUE, FALSE)</formula>
    </cfRule>
    <cfRule type="expression" priority="2122">
      <formula>(O350="")</formula>
    </cfRule>
  </conditionalFormatting>
  <conditionalFormatting sqref="O350">
    <cfRule type="expression" priority="2121">
      <formula>(O350="")</formula>
    </cfRule>
  </conditionalFormatting>
  <conditionalFormatting sqref="O349">
    <cfRule type="expression" dxfId="703" priority="2117">
      <formula>IF(L349="NO BET", TRUE, FALSE)</formula>
    </cfRule>
    <cfRule type="expression" priority="2119">
      <formula>(O349="")</formula>
    </cfRule>
  </conditionalFormatting>
  <conditionalFormatting sqref="O349">
    <cfRule type="expression" priority="2118">
      <formula>(O349="")</formula>
    </cfRule>
  </conditionalFormatting>
  <conditionalFormatting sqref="O351">
    <cfRule type="expression" priority="2116">
      <formula>(O351="")</formula>
    </cfRule>
  </conditionalFormatting>
  <conditionalFormatting sqref="O352">
    <cfRule type="expression" dxfId="702" priority="2113">
      <formula>IF(L352="NO BET", TRUE, FALSE)</formula>
    </cfRule>
    <cfRule type="expression" priority="2115">
      <formula>(O352="")</formula>
    </cfRule>
  </conditionalFormatting>
  <conditionalFormatting sqref="O352">
    <cfRule type="expression" priority="2114">
      <formula>(O352="")</formula>
    </cfRule>
  </conditionalFormatting>
  <conditionalFormatting sqref="O351">
    <cfRule type="expression" dxfId="701" priority="2110">
      <formula>IF(L351="NO BET", TRUE, FALSE)</formula>
    </cfRule>
    <cfRule type="expression" priority="2112">
      <formula>(O351="")</formula>
    </cfRule>
  </conditionalFormatting>
  <conditionalFormatting sqref="O351">
    <cfRule type="expression" priority="2111">
      <formula>(O351="")</formula>
    </cfRule>
  </conditionalFormatting>
  <conditionalFormatting sqref="O353:O356">
    <cfRule type="expression" dxfId="700" priority="2108">
      <formula>AND(NOT(K353=O353),NOT(O353=""))</formula>
    </cfRule>
    <cfRule type="expression" dxfId="699" priority="2109">
      <formula>AND((K353=O353),NOT(O353=""))</formula>
    </cfRule>
  </conditionalFormatting>
  <conditionalFormatting sqref="O353">
    <cfRule type="expression" priority="2107">
      <formula>(O353="")</formula>
    </cfRule>
  </conditionalFormatting>
  <conditionalFormatting sqref="O354">
    <cfRule type="expression" dxfId="698" priority="2100">
      <formula>IF(L354="NO BET", TRUE, FALSE)</formula>
    </cfRule>
    <cfRule type="expression" priority="2106">
      <formula>(O354="")</formula>
    </cfRule>
  </conditionalFormatting>
  <conditionalFormatting sqref="O355">
    <cfRule type="expression" priority="2105">
      <formula>(O355="")</formula>
    </cfRule>
  </conditionalFormatting>
  <conditionalFormatting sqref="O356">
    <cfRule type="expression" priority="2104">
      <formula>(O356="")</formula>
    </cfRule>
  </conditionalFormatting>
  <conditionalFormatting sqref="O354">
    <cfRule type="expression" priority="2103">
      <formula>(O354="")</formula>
    </cfRule>
  </conditionalFormatting>
  <conditionalFormatting sqref="O355">
    <cfRule type="expression" priority="2102">
      <formula>(O355="")</formula>
    </cfRule>
  </conditionalFormatting>
  <conditionalFormatting sqref="O356">
    <cfRule type="expression" priority="2101">
      <formula>(O356="")</formula>
    </cfRule>
  </conditionalFormatting>
  <conditionalFormatting sqref="O353">
    <cfRule type="expression" dxfId="697" priority="2097">
      <formula>IF(L353="NO BET", TRUE, FALSE)</formula>
    </cfRule>
    <cfRule type="expression" priority="2099">
      <formula>(O353="")</formula>
    </cfRule>
  </conditionalFormatting>
  <conditionalFormatting sqref="O353">
    <cfRule type="expression" priority="2098">
      <formula>(O353="")</formula>
    </cfRule>
  </conditionalFormatting>
  <conditionalFormatting sqref="O355">
    <cfRule type="expression" priority="2096">
      <formula>(O355="")</formula>
    </cfRule>
  </conditionalFormatting>
  <conditionalFormatting sqref="O356">
    <cfRule type="expression" dxfId="696" priority="2093">
      <formula>IF(L356="NO BET", TRUE, FALSE)</formula>
    </cfRule>
    <cfRule type="expression" priority="2095">
      <formula>(O356="")</formula>
    </cfRule>
  </conditionalFormatting>
  <conditionalFormatting sqref="O356">
    <cfRule type="expression" priority="2094">
      <formula>(O356="")</formula>
    </cfRule>
  </conditionalFormatting>
  <conditionalFormatting sqref="O355">
    <cfRule type="expression" dxfId="695" priority="2090">
      <formula>IF(L355="NO BET", TRUE, FALSE)</formula>
    </cfRule>
    <cfRule type="expression" priority="2092">
      <formula>(O355="")</formula>
    </cfRule>
  </conditionalFormatting>
  <conditionalFormatting sqref="O355">
    <cfRule type="expression" priority="2091">
      <formula>(O355="")</formula>
    </cfRule>
  </conditionalFormatting>
  <conditionalFormatting sqref="O333:O338">
    <cfRule type="expression" dxfId="694" priority="2088">
      <formula>AND(NOT(K333=O333),NOT(O333=""))</formula>
    </cfRule>
    <cfRule type="expression" dxfId="693" priority="2089">
      <formula>AND((K333=O333),NOT(O333=""))</formula>
    </cfRule>
  </conditionalFormatting>
  <conditionalFormatting sqref="O333">
    <cfRule type="expression" priority="2087">
      <formula>(O333="")</formula>
    </cfRule>
  </conditionalFormatting>
  <conditionalFormatting sqref="O334">
    <cfRule type="expression" dxfId="692" priority="2076">
      <formula>IF(L334="NO BET", TRUE, FALSE)</formula>
    </cfRule>
    <cfRule type="expression" priority="2086">
      <formula>(O334="")</formula>
    </cfRule>
  </conditionalFormatting>
  <conditionalFormatting sqref="O335">
    <cfRule type="expression" priority="2085">
      <formula>(O335="")</formula>
    </cfRule>
  </conditionalFormatting>
  <conditionalFormatting sqref="O336">
    <cfRule type="expression" priority="2084">
      <formula>(O336="")</formula>
    </cfRule>
  </conditionalFormatting>
  <conditionalFormatting sqref="O337">
    <cfRule type="expression" priority="2083">
      <formula>(O337="")</formula>
    </cfRule>
  </conditionalFormatting>
  <conditionalFormatting sqref="O338">
    <cfRule type="expression" priority="2082">
      <formula>(O338="")</formula>
    </cfRule>
  </conditionalFormatting>
  <conditionalFormatting sqref="O334">
    <cfRule type="expression" priority="2081">
      <formula>(O334="")</formula>
    </cfRule>
  </conditionalFormatting>
  <conditionalFormatting sqref="O335">
    <cfRule type="expression" priority="2080">
      <formula>(O335="")</formula>
    </cfRule>
  </conditionalFormatting>
  <conditionalFormatting sqref="O336">
    <cfRule type="expression" priority="2079">
      <formula>(O336="")</formula>
    </cfRule>
  </conditionalFormatting>
  <conditionalFormatting sqref="O337">
    <cfRule type="expression" priority="2078">
      <formula>(O337="")</formula>
    </cfRule>
  </conditionalFormatting>
  <conditionalFormatting sqref="O338">
    <cfRule type="expression" priority="2077">
      <formula>(O338="")</formula>
    </cfRule>
  </conditionalFormatting>
  <conditionalFormatting sqref="O333">
    <cfRule type="expression" dxfId="691" priority="2073">
      <formula>IF(L333="NO BET", TRUE, FALSE)</formula>
    </cfRule>
    <cfRule type="expression" priority="2075">
      <formula>(O333="")</formula>
    </cfRule>
  </conditionalFormatting>
  <conditionalFormatting sqref="O333">
    <cfRule type="expression" priority="2074">
      <formula>(O333="")</formula>
    </cfRule>
  </conditionalFormatting>
  <conditionalFormatting sqref="O335">
    <cfRule type="expression" priority="2072">
      <formula>(O335="")</formula>
    </cfRule>
  </conditionalFormatting>
  <conditionalFormatting sqref="O336">
    <cfRule type="expression" dxfId="690" priority="2069">
      <formula>IF(L336="NO BET", TRUE, FALSE)</formula>
    </cfRule>
    <cfRule type="expression" priority="2071">
      <formula>(O336="")</formula>
    </cfRule>
  </conditionalFormatting>
  <conditionalFormatting sqref="O336">
    <cfRule type="expression" priority="2070">
      <formula>(O336="")</formula>
    </cfRule>
  </conditionalFormatting>
  <conditionalFormatting sqref="O335">
    <cfRule type="expression" dxfId="689" priority="2066">
      <formula>IF(L335="NO BET", TRUE, FALSE)</formula>
    </cfRule>
    <cfRule type="expression" priority="2068">
      <formula>(O335="")</formula>
    </cfRule>
  </conditionalFormatting>
  <conditionalFormatting sqref="O335">
    <cfRule type="expression" priority="2067">
      <formula>(O335="")</formula>
    </cfRule>
  </conditionalFormatting>
  <conditionalFormatting sqref="O337">
    <cfRule type="expression" priority="2065">
      <formula>(O337="")</formula>
    </cfRule>
  </conditionalFormatting>
  <conditionalFormatting sqref="O338">
    <cfRule type="expression" dxfId="688" priority="2062">
      <formula>IF(L338="NO BET", TRUE, FALSE)</formula>
    </cfRule>
    <cfRule type="expression" priority="2064">
      <formula>(O338="")</formula>
    </cfRule>
  </conditionalFormatting>
  <conditionalFormatting sqref="O338">
    <cfRule type="expression" priority="2063">
      <formula>(O338="")</formula>
    </cfRule>
  </conditionalFormatting>
  <conditionalFormatting sqref="O337">
    <cfRule type="expression" dxfId="687" priority="2059">
      <formula>IF(L337="NO BET", TRUE, FALSE)</formula>
    </cfRule>
    <cfRule type="expression" priority="2061">
      <formula>(O337="")</formula>
    </cfRule>
  </conditionalFormatting>
  <conditionalFormatting sqref="O337">
    <cfRule type="expression" priority="2060">
      <formula>(O337="")</formula>
    </cfRule>
  </conditionalFormatting>
  <conditionalFormatting sqref="O339:O342">
    <cfRule type="expression" dxfId="686" priority="2057">
      <formula>AND(NOT(K339=O339),NOT(O339=""))</formula>
    </cfRule>
    <cfRule type="expression" dxfId="685" priority="2058">
      <formula>AND((K339=O339),NOT(O339=""))</formula>
    </cfRule>
  </conditionalFormatting>
  <conditionalFormatting sqref="O339">
    <cfRule type="expression" priority="2056">
      <formula>(O339="")</formula>
    </cfRule>
  </conditionalFormatting>
  <conditionalFormatting sqref="O340">
    <cfRule type="expression" dxfId="684" priority="2049">
      <formula>IF(L340="NO BET", TRUE, FALSE)</formula>
    </cfRule>
    <cfRule type="expression" priority="2055">
      <formula>(O340="")</formula>
    </cfRule>
  </conditionalFormatting>
  <conditionalFormatting sqref="O341">
    <cfRule type="expression" priority="2054">
      <formula>(O341="")</formula>
    </cfRule>
  </conditionalFormatting>
  <conditionalFormatting sqref="O342">
    <cfRule type="expression" priority="2053">
      <formula>(O342="")</formula>
    </cfRule>
  </conditionalFormatting>
  <conditionalFormatting sqref="O340">
    <cfRule type="expression" priority="2052">
      <formula>(O340="")</formula>
    </cfRule>
  </conditionalFormatting>
  <conditionalFormatting sqref="O341">
    <cfRule type="expression" priority="2051">
      <formula>(O341="")</formula>
    </cfRule>
  </conditionalFormatting>
  <conditionalFormatting sqref="O342">
    <cfRule type="expression" priority="2050">
      <formula>(O342="")</formula>
    </cfRule>
  </conditionalFormatting>
  <conditionalFormatting sqref="O339">
    <cfRule type="expression" dxfId="683" priority="2046">
      <formula>IF(L339="NO BET", TRUE, FALSE)</formula>
    </cfRule>
    <cfRule type="expression" priority="2048">
      <formula>(O339="")</formula>
    </cfRule>
  </conditionalFormatting>
  <conditionalFormatting sqref="O339">
    <cfRule type="expression" priority="2047">
      <formula>(O339="")</formula>
    </cfRule>
  </conditionalFormatting>
  <conditionalFormatting sqref="O341">
    <cfRule type="expression" priority="2045">
      <formula>(O341="")</formula>
    </cfRule>
  </conditionalFormatting>
  <conditionalFormatting sqref="O342">
    <cfRule type="expression" dxfId="682" priority="2042">
      <formula>IF(L342="NO BET", TRUE, FALSE)</formula>
    </cfRule>
    <cfRule type="expression" priority="2044">
      <formula>(O342="")</formula>
    </cfRule>
  </conditionalFormatting>
  <conditionalFormatting sqref="O342">
    <cfRule type="expression" priority="2043">
      <formula>(O342="")</formula>
    </cfRule>
  </conditionalFormatting>
  <conditionalFormatting sqref="O341">
    <cfRule type="expression" dxfId="681" priority="2039">
      <formula>IF(L341="NO BET", TRUE, FALSE)</formula>
    </cfRule>
    <cfRule type="expression" priority="2041">
      <formula>(O341="")</formula>
    </cfRule>
  </conditionalFormatting>
  <conditionalFormatting sqref="O341">
    <cfRule type="expression" priority="2040">
      <formula>(O341="")</formula>
    </cfRule>
  </conditionalFormatting>
  <conditionalFormatting sqref="O319:O324">
    <cfRule type="expression" dxfId="680" priority="2037">
      <formula>AND(NOT(K319=O319),NOT(O319=""))</formula>
    </cfRule>
    <cfRule type="expression" dxfId="679" priority="2038">
      <formula>AND((K319=O319),NOT(O319=""))</formula>
    </cfRule>
  </conditionalFormatting>
  <conditionalFormatting sqref="O319">
    <cfRule type="expression" priority="2036">
      <formula>(O319="")</formula>
    </cfRule>
  </conditionalFormatting>
  <conditionalFormatting sqref="O320">
    <cfRule type="expression" dxfId="678" priority="2025">
      <formula>IF(L320="NO BET", TRUE, FALSE)</formula>
    </cfRule>
    <cfRule type="expression" priority="2035">
      <formula>(O320="")</formula>
    </cfRule>
  </conditionalFormatting>
  <conditionalFormatting sqref="O321">
    <cfRule type="expression" priority="2034">
      <formula>(O321="")</formula>
    </cfRule>
  </conditionalFormatting>
  <conditionalFormatting sqref="O322">
    <cfRule type="expression" priority="2033">
      <formula>(O322="")</formula>
    </cfRule>
  </conditionalFormatting>
  <conditionalFormatting sqref="O323">
    <cfRule type="expression" priority="2032">
      <formula>(O323="")</formula>
    </cfRule>
  </conditionalFormatting>
  <conditionalFormatting sqref="O324">
    <cfRule type="expression" priority="2031">
      <formula>(O324="")</formula>
    </cfRule>
  </conditionalFormatting>
  <conditionalFormatting sqref="O320">
    <cfRule type="expression" priority="2030">
      <formula>(O320="")</formula>
    </cfRule>
  </conditionalFormatting>
  <conditionalFormatting sqref="O321">
    <cfRule type="expression" priority="2029">
      <formula>(O321="")</formula>
    </cfRule>
  </conditionalFormatting>
  <conditionalFormatting sqref="O322">
    <cfRule type="expression" priority="2028">
      <formula>(O322="")</formula>
    </cfRule>
  </conditionalFormatting>
  <conditionalFormatting sqref="O323">
    <cfRule type="expression" priority="2027">
      <formula>(O323="")</formula>
    </cfRule>
  </conditionalFormatting>
  <conditionalFormatting sqref="O324">
    <cfRule type="expression" priority="2026">
      <formula>(O324="")</formula>
    </cfRule>
  </conditionalFormatting>
  <conditionalFormatting sqref="O319">
    <cfRule type="expression" dxfId="677" priority="2022">
      <formula>IF(L319="NO BET", TRUE, FALSE)</formula>
    </cfRule>
    <cfRule type="expression" priority="2024">
      <formula>(O319="")</formula>
    </cfRule>
  </conditionalFormatting>
  <conditionalFormatting sqref="O319">
    <cfRule type="expression" priority="2023">
      <formula>(O319="")</formula>
    </cfRule>
  </conditionalFormatting>
  <conditionalFormatting sqref="O321">
    <cfRule type="expression" priority="2021">
      <formula>(O321="")</formula>
    </cfRule>
  </conditionalFormatting>
  <conditionalFormatting sqref="O322">
    <cfRule type="expression" dxfId="676" priority="2018">
      <formula>IF(L322="NO BET", TRUE, FALSE)</formula>
    </cfRule>
    <cfRule type="expression" priority="2020">
      <formula>(O322="")</formula>
    </cfRule>
  </conditionalFormatting>
  <conditionalFormatting sqref="O322">
    <cfRule type="expression" priority="2019">
      <formula>(O322="")</formula>
    </cfRule>
  </conditionalFormatting>
  <conditionalFormatting sqref="O321">
    <cfRule type="expression" dxfId="675" priority="2015">
      <formula>IF(L321="NO BET", TRUE, FALSE)</formula>
    </cfRule>
    <cfRule type="expression" priority="2017">
      <formula>(O321="")</formula>
    </cfRule>
  </conditionalFormatting>
  <conditionalFormatting sqref="O321">
    <cfRule type="expression" priority="2016">
      <formula>(O321="")</formula>
    </cfRule>
  </conditionalFormatting>
  <conditionalFormatting sqref="O323">
    <cfRule type="expression" priority="2014">
      <formula>(O323="")</formula>
    </cfRule>
  </conditionalFormatting>
  <conditionalFormatting sqref="O324">
    <cfRule type="expression" dxfId="674" priority="2011">
      <formula>IF(L324="NO BET", TRUE, FALSE)</formula>
    </cfRule>
    <cfRule type="expression" priority="2013">
      <formula>(O324="")</formula>
    </cfRule>
  </conditionalFormatting>
  <conditionalFormatting sqref="O324">
    <cfRule type="expression" priority="2012">
      <formula>(O324="")</formula>
    </cfRule>
  </conditionalFormatting>
  <conditionalFormatting sqref="O323">
    <cfRule type="expression" dxfId="673" priority="2008">
      <formula>IF(L323="NO BET", TRUE, FALSE)</formula>
    </cfRule>
    <cfRule type="expression" priority="2010">
      <formula>(O323="")</formula>
    </cfRule>
  </conditionalFormatting>
  <conditionalFormatting sqref="O323">
    <cfRule type="expression" priority="2009">
      <formula>(O323="")</formula>
    </cfRule>
  </conditionalFormatting>
  <conditionalFormatting sqref="O325:O328">
    <cfRule type="expression" dxfId="672" priority="2006">
      <formula>AND(NOT(K325=O325),NOT(O325=""))</formula>
    </cfRule>
    <cfRule type="expression" dxfId="671" priority="2007">
      <formula>AND((K325=O325),NOT(O325=""))</formula>
    </cfRule>
  </conditionalFormatting>
  <conditionalFormatting sqref="O325">
    <cfRule type="expression" priority="2005">
      <formula>(O325="")</formula>
    </cfRule>
  </conditionalFormatting>
  <conditionalFormatting sqref="O326">
    <cfRule type="expression" dxfId="670" priority="1998">
      <formula>IF(L326="NO BET", TRUE, FALSE)</formula>
    </cfRule>
    <cfRule type="expression" priority="2004">
      <formula>(O326="")</formula>
    </cfRule>
  </conditionalFormatting>
  <conditionalFormatting sqref="O327">
    <cfRule type="expression" priority="2003">
      <formula>(O327="")</formula>
    </cfRule>
  </conditionalFormatting>
  <conditionalFormatting sqref="O328">
    <cfRule type="expression" priority="2002">
      <formula>(O328="")</formula>
    </cfRule>
  </conditionalFormatting>
  <conditionalFormatting sqref="O326">
    <cfRule type="expression" priority="2001">
      <formula>(O326="")</formula>
    </cfRule>
  </conditionalFormatting>
  <conditionalFormatting sqref="O327">
    <cfRule type="expression" priority="2000">
      <formula>(O327="")</formula>
    </cfRule>
  </conditionalFormatting>
  <conditionalFormatting sqref="O328">
    <cfRule type="expression" priority="1999">
      <formula>(O328="")</formula>
    </cfRule>
  </conditionalFormatting>
  <conditionalFormatting sqref="O325">
    <cfRule type="expression" dxfId="669" priority="1995">
      <formula>IF(L325="NO BET", TRUE, FALSE)</formula>
    </cfRule>
    <cfRule type="expression" priority="1997">
      <formula>(O325="")</formula>
    </cfRule>
  </conditionalFormatting>
  <conditionalFormatting sqref="O325">
    <cfRule type="expression" priority="1996">
      <formula>(O325="")</formula>
    </cfRule>
  </conditionalFormatting>
  <conditionalFormatting sqref="O327">
    <cfRule type="expression" priority="1994">
      <formula>(O327="")</formula>
    </cfRule>
  </conditionalFormatting>
  <conditionalFormatting sqref="O328">
    <cfRule type="expression" dxfId="668" priority="1991">
      <formula>IF(L328="NO BET", TRUE, FALSE)</formula>
    </cfRule>
    <cfRule type="expression" priority="1993">
      <formula>(O328="")</formula>
    </cfRule>
  </conditionalFormatting>
  <conditionalFormatting sqref="O328">
    <cfRule type="expression" priority="1992">
      <formula>(O328="")</formula>
    </cfRule>
  </conditionalFormatting>
  <conditionalFormatting sqref="O327">
    <cfRule type="expression" dxfId="667" priority="1988">
      <formula>IF(L327="NO BET", TRUE, FALSE)</formula>
    </cfRule>
    <cfRule type="expression" priority="1990">
      <formula>(O327="")</formula>
    </cfRule>
  </conditionalFormatting>
  <conditionalFormatting sqref="O327">
    <cfRule type="expression" priority="1989">
      <formula>(O327="")</formula>
    </cfRule>
  </conditionalFormatting>
  <conditionalFormatting sqref="O275:O280">
    <cfRule type="expression" dxfId="666" priority="1986">
      <formula>AND(NOT(K275=O275),NOT(O275=""))</formula>
    </cfRule>
    <cfRule type="expression" dxfId="665" priority="1987">
      <formula>AND((K275=O275),NOT(O275=""))</formula>
    </cfRule>
  </conditionalFormatting>
  <conditionalFormatting sqref="O275">
    <cfRule type="expression" priority="1985">
      <formula>(O275="")</formula>
    </cfRule>
  </conditionalFormatting>
  <conditionalFormatting sqref="O276">
    <cfRule type="expression" dxfId="664" priority="1974">
      <formula>IF(L276="NO BET", TRUE, FALSE)</formula>
    </cfRule>
    <cfRule type="expression" priority="1984">
      <formula>(O276="")</formula>
    </cfRule>
  </conditionalFormatting>
  <conditionalFormatting sqref="O277">
    <cfRule type="expression" priority="1983">
      <formula>(O277="")</formula>
    </cfRule>
  </conditionalFormatting>
  <conditionalFormatting sqref="O278">
    <cfRule type="expression" priority="1982">
      <formula>(O278="")</formula>
    </cfRule>
  </conditionalFormatting>
  <conditionalFormatting sqref="O279">
    <cfRule type="expression" priority="1981">
      <formula>(O279="")</formula>
    </cfRule>
  </conditionalFormatting>
  <conditionalFormatting sqref="O280">
    <cfRule type="expression" priority="1980">
      <formula>(O280="")</formula>
    </cfRule>
  </conditionalFormatting>
  <conditionalFormatting sqref="O276">
    <cfRule type="expression" priority="1979">
      <formula>(O276="")</formula>
    </cfRule>
  </conditionalFormatting>
  <conditionalFormatting sqref="O277">
    <cfRule type="expression" priority="1978">
      <formula>(O277="")</formula>
    </cfRule>
  </conditionalFormatting>
  <conditionalFormatting sqref="O278">
    <cfRule type="expression" priority="1977">
      <formula>(O278="")</formula>
    </cfRule>
  </conditionalFormatting>
  <conditionalFormatting sqref="O279">
    <cfRule type="expression" priority="1976">
      <formula>(O279="")</formula>
    </cfRule>
  </conditionalFormatting>
  <conditionalFormatting sqref="O280">
    <cfRule type="expression" priority="1975">
      <formula>(O280="")</formula>
    </cfRule>
  </conditionalFormatting>
  <conditionalFormatting sqref="O275">
    <cfRule type="expression" dxfId="663" priority="1971">
      <formula>IF(L275="NO BET", TRUE, FALSE)</formula>
    </cfRule>
    <cfRule type="expression" priority="1973">
      <formula>(O275="")</formula>
    </cfRule>
  </conditionalFormatting>
  <conditionalFormatting sqref="O275">
    <cfRule type="expression" priority="1972">
      <formula>(O275="")</formula>
    </cfRule>
  </conditionalFormatting>
  <conditionalFormatting sqref="O277">
    <cfRule type="expression" priority="1970">
      <formula>(O277="")</formula>
    </cfRule>
  </conditionalFormatting>
  <conditionalFormatting sqref="O278">
    <cfRule type="expression" dxfId="662" priority="1967">
      <formula>IF(L278="NO BET", TRUE, FALSE)</formula>
    </cfRule>
    <cfRule type="expression" priority="1969">
      <formula>(O278="")</formula>
    </cfRule>
  </conditionalFormatting>
  <conditionalFormatting sqref="O278">
    <cfRule type="expression" priority="1968">
      <formula>(O278="")</formula>
    </cfRule>
  </conditionalFormatting>
  <conditionalFormatting sqref="O277">
    <cfRule type="expression" dxfId="661" priority="1964">
      <formula>IF(L277="NO BET", TRUE, FALSE)</formula>
    </cfRule>
    <cfRule type="expression" priority="1966">
      <formula>(O277="")</formula>
    </cfRule>
  </conditionalFormatting>
  <conditionalFormatting sqref="O277">
    <cfRule type="expression" priority="1965">
      <formula>(O277="")</formula>
    </cfRule>
  </conditionalFormatting>
  <conditionalFormatting sqref="O279">
    <cfRule type="expression" priority="1963">
      <formula>(O279="")</formula>
    </cfRule>
  </conditionalFormatting>
  <conditionalFormatting sqref="O280">
    <cfRule type="expression" dxfId="660" priority="1960">
      <formula>IF(L280="NO BET", TRUE, FALSE)</formula>
    </cfRule>
    <cfRule type="expression" priority="1962">
      <formula>(O280="")</formula>
    </cfRule>
  </conditionalFormatting>
  <conditionalFormatting sqref="O280">
    <cfRule type="expression" priority="1961">
      <formula>(O280="")</formula>
    </cfRule>
  </conditionalFormatting>
  <conditionalFormatting sqref="O279">
    <cfRule type="expression" dxfId="659" priority="1957">
      <formula>IF(L279="NO BET", TRUE, FALSE)</formula>
    </cfRule>
    <cfRule type="expression" priority="1959">
      <formula>(O279="")</formula>
    </cfRule>
  </conditionalFormatting>
  <conditionalFormatting sqref="O279">
    <cfRule type="expression" priority="1958">
      <formula>(O279="")</formula>
    </cfRule>
  </conditionalFormatting>
  <conditionalFormatting sqref="O281:O284">
    <cfRule type="expression" dxfId="658" priority="1955">
      <formula>AND(NOT(K281=O281),NOT(O281=""))</formula>
    </cfRule>
    <cfRule type="expression" dxfId="657" priority="1956">
      <formula>AND((K281=O281),NOT(O281=""))</formula>
    </cfRule>
  </conditionalFormatting>
  <conditionalFormatting sqref="O281">
    <cfRule type="expression" priority="1954">
      <formula>(O281="")</formula>
    </cfRule>
  </conditionalFormatting>
  <conditionalFormatting sqref="O282">
    <cfRule type="expression" dxfId="656" priority="1947">
      <formula>IF(L282="NO BET", TRUE, FALSE)</formula>
    </cfRule>
    <cfRule type="expression" priority="1953">
      <formula>(O282="")</formula>
    </cfRule>
  </conditionalFormatting>
  <conditionalFormatting sqref="O283">
    <cfRule type="expression" priority="1952">
      <formula>(O283="")</formula>
    </cfRule>
  </conditionalFormatting>
  <conditionalFormatting sqref="O284">
    <cfRule type="expression" priority="1951">
      <formula>(O284="")</formula>
    </cfRule>
  </conditionalFormatting>
  <conditionalFormatting sqref="O282">
    <cfRule type="expression" priority="1950">
      <formula>(O282="")</formula>
    </cfRule>
  </conditionalFormatting>
  <conditionalFormatting sqref="O283">
    <cfRule type="expression" priority="1949">
      <formula>(O283="")</formula>
    </cfRule>
  </conditionalFormatting>
  <conditionalFormatting sqref="O284">
    <cfRule type="expression" priority="1948">
      <formula>(O284="")</formula>
    </cfRule>
  </conditionalFormatting>
  <conditionalFormatting sqref="O281">
    <cfRule type="expression" dxfId="655" priority="1944">
      <formula>IF(L281="NO BET", TRUE, FALSE)</formula>
    </cfRule>
    <cfRule type="expression" priority="1946">
      <formula>(O281="")</formula>
    </cfRule>
  </conditionalFormatting>
  <conditionalFormatting sqref="O281">
    <cfRule type="expression" priority="1945">
      <formula>(O281="")</formula>
    </cfRule>
  </conditionalFormatting>
  <conditionalFormatting sqref="O283">
    <cfRule type="expression" priority="1943">
      <formula>(O283="")</formula>
    </cfRule>
  </conditionalFormatting>
  <conditionalFormatting sqref="O284">
    <cfRule type="expression" dxfId="654" priority="1940">
      <formula>IF(L284="NO BET", TRUE, FALSE)</formula>
    </cfRule>
    <cfRule type="expression" priority="1942">
      <formula>(O284="")</formula>
    </cfRule>
  </conditionalFormatting>
  <conditionalFormatting sqref="O284">
    <cfRule type="expression" priority="1941">
      <formula>(O284="")</formula>
    </cfRule>
  </conditionalFormatting>
  <conditionalFormatting sqref="O283">
    <cfRule type="expression" dxfId="653" priority="1937">
      <formula>IF(L283="NO BET", TRUE, FALSE)</formula>
    </cfRule>
    <cfRule type="expression" priority="1939">
      <formula>(O283="")</formula>
    </cfRule>
  </conditionalFormatting>
  <conditionalFormatting sqref="O283">
    <cfRule type="expression" priority="1938">
      <formula>(O283="")</formula>
    </cfRule>
  </conditionalFormatting>
  <conditionalFormatting sqref="O261:O266">
    <cfRule type="expression" dxfId="652" priority="1935">
      <formula>AND(NOT(K261=O261),NOT(O261=""))</formula>
    </cfRule>
    <cfRule type="expression" dxfId="651" priority="1936">
      <formula>AND((K261=O261),NOT(O261=""))</formula>
    </cfRule>
  </conditionalFormatting>
  <conditionalFormatting sqref="O261">
    <cfRule type="expression" priority="1934">
      <formula>(O261="")</formula>
    </cfRule>
  </conditionalFormatting>
  <conditionalFormatting sqref="O262">
    <cfRule type="expression" dxfId="650" priority="1923">
      <formula>IF(L262="NO BET", TRUE, FALSE)</formula>
    </cfRule>
    <cfRule type="expression" priority="1933">
      <formula>(O262="")</formula>
    </cfRule>
  </conditionalFormatting>
  <conditionalFormatting sqref="O263">
    <cfRule type="expression" priority="1932">
      <formula>(O263="")</formula>
    </cfRule>
  </conditionalFormatting>
  <conditionalFormatting sqref="O264">
    <cfRule type="expression" priority="1931">
      <formula>(O264="")</formula>
    </cfRule>
  </conditionalFormatting>
  <conditionalFormatting sqref="O265">
    <cfRule type="expression" priority="1930">
      <formula>(O265="")</formula>
    </cfRule>
  </conditionalFormatting>
  <conditionalFormatting sqref="O266">
    <cfRule type="expression" priority="1929">
      <formula>(O266="")</formula>
    </cfRule>
  </conditionalFormatting>
  <conditionalFormatting sqref="O262">
    <cfRule type="expression" priority="1928">
      <formula>(O262="")</formula>
    </cfRule>
  </conditionalFormatting>
  <conditionalFormatting sqref="O263">
    <cfRule type="expression" priority="1927">
      <formula>(O263="")</formula>
    </cfRule>
  </conditionalFormatting>
  <conditionalFormatting sqref="O264">
    <cfRule type="expression" priority="1926">
      <formula>(O264="")</formula>
    </cfRule>
  </conditionalFormatting>
  <conditionalFormatting sqref="O265">
    <cfRule type="expression" priority="1925">
      <formula>(O265="")</formula>
    </cfRule>
  </conditionalFormatting>
  <conditionalFormatting sqref="O266">
    <cfRule type="expression" priority="1924">
      <formula>(O266="")</formula>
    </cfRule>
  </conditionalFormatting>
  <conditionalFormatting sqref="O261">
    <cfRule type="expression" dxfId="649" priority="1920">
      <formula>IF(L261="NO BET", TRUE, FALSE)</formula>
    </cfRule>
    <cfRule type="expression" priority="1922">
      <formula>(O261="")</formula>
    </cfRule>
  </conditionalFormatting>
  <conditionalFormatting sqref="O261">
    <cfRule type="expression" priority="1921">
      <formula>(O261="")</formula>
    </cfRule>
  </conditionalFormatting>
  <conditionalFormatting sqref="O263">
    <cfRule type="expression" priority="1919">
      <formula>(O263="")</formula>
    </cfRule>
  </conditionalFormatting>
  <conditionalFormatting sqref="O264">
    <cfRule type="expression" dxfId="648" priority="1916">
      <formula>IF(L264="NO BET", TRUE, FALSE)</formula>
    </cfRule>
    <cfRule type="expression" priority="1918">
      <formula>(O264="")</formula>
    </cfRule>
  </conditionalFormatting>
  <conditionalFormatting sqref="O264">
    <cfRule type="expression" priority="1917">
      <formula>(O264="")</formula>
    </cfRule>
  </conditionalFormatting>
  <conditionalFormatting sqref="O263">
    <cfRule type="expression" dxfId="647" priority="1913">
      <formula>IF(L263="NO BET", TRUE, FALSE)</formula>
    </cfRule>
    <cfRule type="expression" priority="1915">
      <formula>(O263="")</formula>
    </cfRule>
  </conditionalFormatting>
  <conditionalFormatting sqref="O263">
    <cfRule type="expression" priority="1914">
      <formula>(O263="")</formula>
    </cfRule>
  </conditionalFormatting>
  <conditionalFormatting sqref="O265">
    <cfRule type="expression" priority="1912">
      <formula>(O265="")</formula>
    </cfRule>
  </conditionalFormatting>
  <conditionalFormatting sqref="O266">
    <cfRule type="expression" dxfId="646" priority="1909">
      <formula>IF(L266="NO BET", TRUE, FALSE)</formula>
    </cfRule>
    <cfRule type="expression" priority="1911">
      <formula>(O266="")</formula>
    </cfRule>
  </conditionalFormatting>
  <conditionalFormatting sqref="O266">
    <cfRule type="expression" priority="1910">
      <formula>(O266="")</formula>
    </cfRule>
  </conditionalFormatting>
  <conditionalFormatting sqref="O265">
    <cfRule type="expression" dxfId="645" priority="1906">
      <formula>IF(L265="NO BET", TRUE, FALSE)</formula>
    </cfRule>
    <cfRule type="expression" priority="1908">
      <formula>(O265="")</formula>
    </cfRule>
  </conditionalFormatting>
  <conditionalFormatting sqref="O265">
    <cfRule type="expression" priority="1907">
      <formula>(O265="")</formula>
    </cfRule>
  </conditionalFormatting>
  <conditionalFormatting sqref="O267:O270">
    <cfRule type="expression" dxfId="644" priority="1904">
      <formula>AND(NOT(K267=O267),NOT(O267=""))</formula>
    </cfRule>
    <cfRule type="expression" dxfId="643" priority="1905">
      <formula>AND((K267=O267),NOT(O267=""))</formula>
    </cfRule>
  </conditionalFormatting>
  <conditionalFormatting sqref="O267">
    <cfRule type="expression" priority="1903">
      <formula>(O267="")</formula>
    </cfRule>
  </conditionalFormatting>
  <conditionalFormatting sqref="O268">
    <cfRule type="expression" dxfId="642" priority="1896">
      <formula>IF(L268="NO BET", TRUE, FALSE)</formula>
    </cfRule>
    <cfRule type="expression" priority="1902">
      <formula>(O268="")</formula>
    </cfRule>
  </conditionalFormatting>
  <conditionalFormatting sqref="O269">
    <cfRule type="expression" priority="1901">
      <formula>(O269="")</formula>
    </cfRule>
  </conditionalFormatting>
  <conditionalFormatting sqref="O270">
    <cfRule type="expression" priority="1900">
      <formula>(O270="")</formula>
    </cfRule>
  </conditionalFormatting>
  <conditionalFormatting sqref="O268">
    <cfRule type="expression" priority="1899">
      <formula>(O268="")</formula>
    </cfRule>
  </conditionalFormatting>
  <conditionalFormatting sqref="O269">
    <cfRule type="expression" priority="1898">
      <formula>(O269="")</formula>
    </cfRule>
  </conditionalFormatting>
  <conditionalFormatting sqref="O270">
    <cfRule type="expression" priority="1897">
      <formula>(O270="")</formula>
    </cfRule>
  </conditionalFormatting>
  <conditionalFormatting sqref="O267">
    <cfRule type="expression" dxfId="641" priority="1893">
      <formula>IF(L267="NO BET", TRUE, FALSE)</formula>
    </cfRule>
    <cfRule type="expression" priority="1895">
      <formula>(O267="")</formula>
    </cfRule>
  </conditionalFormatting>
  <conditionalFormatting sqref="O267">
    <cfRule type="expression" priority="1894">
      <formula>(O267="")</formula>
    </cfRule>
  </conditionalFormatting>
  <conditionalFormatting sqref="O269">
    <cfRule type="expression" priority="1892">
      <formula>(O269="")</formula>
    </cfRule>
  </conditionalFormatting>
  <conditionalFormatting sqref="O270">
    <cfRule type="expression" dxfId="640" priority="1889">
      <formula>IF(L270="NO BET", TRUE, FALSE)</formula>
    </cfRule>
    <cfRule type="expression" priority="1891">
      <formula>(O270="")</formula>
    </cfRule>
  </conditionalFormatting>
  <conditionalFormatting sqref="O270">
    <cfRule type="expression" priority="1890">
      <formula>(O270="")</formula>
    </cfRule>
  </conditionalFormatting>
  <conditionalFormatting sqref="O269">
    <cfRule type="expression" dxfId="639" priority="1886">
      <formula>IF(L269="NO BET", TRUE, FALSE)</formula>
    </cfRule>
    <cfRule type="expression" priority="1888">
      <formula>(O269="")</formula>
    </cfRule>
  </conditionalFormatting>
  <conditionalFormatting sqref="O269">
    <cfRule type="expression" priority="1887">
      <formula>(O269="")</formula>
    </cfRule>
  </conditionalFormatting>
  <conditionalFormatting sqref="O247:O252">
    <cfRule type="expression" dxfId="638" priority="1884">
      <formula>AND(NOT(K247=O247),NOT(O247=""))</formula>
    </cfRule>
    <cfRule type="expression" dxfId="637" priority="1885">
      <formula>AND((K247=O247),NOT(O247=""))</formula>
    </cfRule>
  </conditionalFormatting>
  <conditionalFormatting sqref="O247">
    <cfRule type="expression" priority="1883">
      <formula>(O247="")</formula>
    </cfRule>
  </conditionalFormatting>
  <conditionalFormatting sqref="O248">
    <cfRule type="expression" dxfId="636" priority="1872">
      <formula>IF(L248="NO BET", TRUE, FALSE)</formula>
    </cfRule>
    <cfRule type="expression" priority="1882">
      <formula>(O248="")</formula>
    </cfRule>
  </conditionalFormatting>
  <conditionalFormatting sqref="O249">
    <cfRule type="expression" priority="1881">
      <formula>(O249="")</formula>
    </cfRule>
  </conditionalFormatting>
  <conditionalFormatting sqref="O250">
    <cfRule type="expression" priority="1880">
      <formula>(O250="")</formula>
    </cfRule>
  </conditionalFormatting>
  <conditionalFormatting sqref="O251">
    <cfRule type="expression" priority="1879">
      <formula>(O251="")</formula>
    </cfRule>
  </conditionalFormatting>
  <conditionalFormatting sqref="O252">
    <cfRule type="expression" priority="1878">
      <formula>(O252="")</formula>
    </cfRule>
  </conditionalFormatting>
  <conditionalFormatting sqref="O248">
    <cfRule type="expression" priority="1877">
      <formula>(O248="")</formula>
    </cfRule>
  </conditionalFormatting>
  <conditionalFormatting sqref="O249">
    <cfRule type="expression" priority="1876">
      <formula>(O249="")</formula>
    </cfRule>
  </conditionalFormatting>
  <conditionalFormatting sqref="O250">
    <cfRule type="expression" priority="1875">
      <formula>(O250="")</formula>
    </cfRule>
  </conditionalFormatting>
  <conditionalFormatting sqref="O251">
    <cfRule type="expression" priority="1874">
      <formula>(O251="")</formula>
    </cfRule>
  </conditionalFormatting>
  <conditionalFormatting sqref="O252">
    <cfRule type="expression" priority="1873">
      <formula>(O252="")</formula>
    </cfRule>
  </conditionalFormatting>
  <conditionalFormatting sqref="O247">
    <cfRule type="expression" dxfId="635" priority="1869">
      <formula>IF(L247="NO BET", TRUE, FALSE)</formula>
    </cfRule>
    <cfRule type="expression" priority="1871">
      <formula>(O247="")</formula>
    </cfRule>
  </conditionalFormatting>
  <conditionalFormatting sqref="O247">
    <cfRule type="expression" priority="1870">
      <formula>(O247="")</formula>
    </cfRule>
  </conditionalFormatting>
  <conditionalFormatting sqref="O249">
    <cfRule type="expression" priority="1868">
      <formula>(O249="")</formula>
    </cfRule>
  </conditionalFormatting>
  <conditionalFormatting sqref="O250">
    <cfRule type="expression" dxfId="634" priority="1865">
      <formula>IF(L250="NO BET", TRUE, FALSE)</formula>
    </cfRule>
    <cfRule type="expression" priority="1867">
      <formula>(O250="")</formula>
    </cfRule>
  </conditionalFormatting>
  <conditionalFormatting sqref="O250">
    <cfRule type="expression" priority="1866">
      <formula>(O250="")</formula>
    </cfRule>
  </conditionalFormatting>
  <conditionalFormatting sqref="O249">
    <cfRule type="expression" dxfId="633" priority="1862">
      <formula>IF(L249="NO BET", TRUE, FALSE)</formula>
    </cfRule>
    <cfRule type="expression" priority="1864">
      <formula>(O249="")</formula>
    </cfRule>
  </conditionalFormatting>
  <conditionalFormatting sqref="O249">
    <cfRule type="expression" priority="1863">
      <formula>(O249="")</formula>
    </cfRule>
  </conditionalFormatting>
  <conditionalFormatting sqref="O251">
    <cfRule type="expression" priority="1861">
      <formula>(O251="")</formula>
    </cfRule>
  </conditionalFormatting>
  <conditionalFormatting sqref="O252">
    <cfRule type="expression" dxfId="632" priority="1858">
      <formula>IF(L252="NO BET", TRUE, FALSE)</formula>
    </cfRule>
    <cfRule type="expression" priority="1860">
      <formula>(O252="")</formula>
    </cfRule>
  </conditionalFormatting>
  <conditionalFormatting sqref="O252">
    <cfRule type="expression" priority="1859">
      <formula>(O252="")</formula>
    </cfRule>
  </conditionalFormatting>
  <conditionalFormatting sqref="O251">
    <cfRule type="expression" dxfId="631" priority="1855">
      <formula>IF(L251="NO BET", TRUE, FALSE)</formula>
    </cfRule>
    <cfRule type="expression" priority="1857">
      <formula>(O251="")</formula>
    </cfRule>
  </conditionalFormatting>
  <conditionalFormatting sqref="O251">
    <cfRule type="expression" priority="1856">
      <formula>(O251="")</formula>
    </cfRule>
  </conditionalFormatting>
  <conditionalFormatting sqref="O253:O256">
    <cfRule type="expression" dxfId="630" priority="1853">
      <formula>AND(NOT(K253=O253),NOT(O253=""))</formula>
    </cfRule>
    <cfRule type="expression" dxfId="629" priority="1854">
      <formula>AND((K253=O253),NOT(O253=""))</formula>
    </cfRule>
  </conditionalFormatting>
  <conditionalFormatting sqref="O253">
    <cfRule type="expression" priority="1852">
      <formula>(O253="")</formula>
    </cfRule>
  </conditionalFormatting>
  <conditionalFormatting sqref="O254">
    <cfRule type="expression" dxfId="628" priority="1845">
      <formula>IF(L254="NO BET", TRUE, FALSE)</formula>
    </cfRule>
    <cfRule type="expression" priority="1851">
      <formula>(O254="")</formula>
    </cfRule>
  </conditionalFormatting>
  <conditionalFormatting sqref="O255">
    <cfRule type="expression" priority="1850">
      <formula>(O255="")</formula>
    </cfRule>
  </conditionalFormatting>
  <conditionalFormatting sqref="O256">
    <cfRule type="expression" priority="1849">
      <formula>(O256="")</formula>
    </cfRule>
  </conditionalFormatting>
  <conditionalFormatting sqref="O254">
    <cfRule type="expression" priority="1848">
      <formula>(O254="")</formula>
    </cfRule>
  </conditionalFormatting>
  <conditionalFormatting sqref="O255">
    <cfRule type="expression" priority="1847">
      <formula>(O255="")</formula>
    </cfRule>
  </conditionalFormatting>
  <conditionalFormatting sqref="O256">
    <cfRule type="expression" priority="1846">
      <formula>(O256="")</formula>
    </cfRule>
  </conditionalFormatting>
  <conditionalFormatting sqref="O253">
    <cfRule type="expression" dxfId="627" priority="1842">
      <formula>IF(L253="NO BET", TRUE, FALSE)</formula>
    </cfRule>
    <cfRule type="expression" priority="1844">
      <formula>(O253="")</formula>
    </cfRule>
  </conditionalFormatting>
  <conditionalFormatting sqref="O253">
    <cfRule type="expression" priority="1843">
      <formula>(O253="")</formula>
    </cfRule>
  </conditionalFormatting>
  <conditionalFormatting sqref="O255">
    <cfRule type="expression" priority="1841">
      <formula>(O255="")</formula>
    </cfRule>
  </conditionalFormatting>
  <conditionalFormatting sqref="O256">
    <cfRule type="expression" dxfId="626" priority="1838">
      <formula>IF(L256="NO BET", TRUE, FALSE)</formula>
    </cfRule>
    <cfRule type="expression" priority="1840">
      <formula>(O256="")</formula>
    </cfRule>
  </conditionalFormatting>
  <conditionalFormatting sqref="O256">
    <cfRule type="expression" priority="1839">
      <formula>(O256="")</formula>
    </cfRule>
  </conditionalFormatting>
  <conditionalFormatting sqref="O255">
    <cfRule type="expression" dxfId="625" priority="1835">
      <formula>IF(L255="NO BET", TRUE, FALSE)</formula>
    </cfRule>
    <cfRule type="expression" priority="1837">
      <formula>(O255="")</formula>
    </cfRule>
  </conditionalFormatting>
  <conditionalFormatting sqref="O255">
    <cfRule type="expression" priority="1836">
      <formula>(O255="")</formula>
    </cfRule>
  </conditionalFormatting>
  <conditionalFormatting sqref="O233:O238">
    <cfRule type="expression" dxfId="624" priority="1833">
      <formula>AND(NOT(K233=O233),NOT(O233=""))</formula>
    </cfRule>
    <cfRule type="expression" dxfId="623" priority="1834">
      <formula>AND((K233=O233),NOT(O233=""))</formula>
    </cfRule>
  </conditionalFormatting>
  <conditionalFormatting sqref="O233">
    <cfRule type="expression" priority="1832">
      <formula>(O233="")</formula>
    </cfRule>
  </conditionalFormatting>
  <conditionalFormatting sqref="O234">
    <cfRule type="expression" dxfId="622" priority="1821">
      <formula>IF(L234="NO BET", TRUE, FALSE)</formula>
    </cfRule>
    <cfRule type="expression" priority="1831">
      <formula>(O234="")</formula>
    </cfRule>
  </conditionalFormatting>
  <conditionalFormatting sqref="O235">
    <cfRule type="expression" priority="1830">
      <formula>(O235="")</formula>
    </cfRule>
  </conditionalFormatting>
  <conditionalFormatting sqref="O236">
    <cfRule type="expression" priority="1829">
      <formula>(O236="")</formula>
    </cfRule>
  </conditionalFormatting>
  <conditionalFormatting sqref="O237">
    <cfRule type="expression" priority="1828">
      <formula>(O237="")</formula>
    </cfRule>
  </conditionalFormatting>
  <conditionalFormatting sqref="O238">
    <cfRule type="expression" priority="1827">
      <formula>(O238="")</formula>
    </cfRule>
  </conditionalFormatting>
  <conditionalFormatting sqref="O234">
    <cfRule type="expression" priority="1826">
      <formula>(O234="")</formula>
    </cfRule>
  </conditionalFormatting>
  <conditionalFormatting sqref="O235">
    <cfRule type="expression" priority="1825">
      <formula>(O235="")</formula>
    </cfRule>
  </conditionalFormatting>
  <conditionalFormatting sqref="O236">
    <cfRule type="expression" priority="1824">
      <formula>(O236="")</formula>
    </cfRule>
  </conditionalFormatting>
  <conditionalFormatting sqref="O237">
    <cfRule type="expression" priority="1823">
      <formula>(O237="")</formula>
    </cfRule>
  </conditionalFormatting>
  <conditionalFormatting sqref="O238">
    <cfRule type="expression" priority="1822">
      <formula>(O238="")</formula>
    </cfRule>
  </conditionalFormatting>
  <conditionalFormatting sqref="O233">
    <cfRule type="expression" dxfId="621" priority="1818">
      <formula>IF(L233="NO BET", TRUE, FALSE)</formula>
    </cfRule>
    <cfRule type="expression" priority="1820">
      <formula>(O233="")</formula>
    </cfRule>
  </conditionalFormatting>
  <conditionalFormatting sqref="O233">
    <cfRule type="expression" priority="1819">
      <formula>(O233="")</formula>
    </cfRule>
  </conditionalFormatting>
  <conditionalFormatting sqref="O235">
    <cfRule type="expression" priority="1817">
      <formula>(O235="")</formula>
    </cfRule>
  </conditionalFormatting>
  <conditionalFormatting sqref="O236">
    <cfRule type="expression" dxfId="620" priority="1814">
      <formula>IF(L236="NO BET", TRUE, FALSE)</formula>
    </cfRule>
    <cfRule type="expression" priority="1816">
      <formula>(O236="")</formula>
    </cfRule>
  </conditionalFormatting>
  <conditionalFormatting sqref="O236">
    <cfRule type="expression" priority="1815">
      <formula>(O236="")</formula>
    </cfRule>
  </conditionalFormatting>
  <conditionalFormatting sqref="O235">
    <cfRule type="expression" dxfId="619" priority="1811">
      <formula>IF(L235="NO BET", TRUE, FALSE)</formula>
    </cfRule>
    <cfRule type="expression" priority="1813">
      <formula>(O235="")</formula>
    </cfRule>
  </conditionalFormatting>
  <conditionalFormatting sqref="O235">
    <cfRule type="expression" priority="1812">
      <formula>(O235="")</formula>
    </cfRule>
  </conditionalFormatting>
  <conditionalFormatting sqref="O237">
    <cfRule type="expression" priority="1810">
      <formula>(O237="")</formula>
    </cfRule>
  </conditionalFormatting>
  <conditionalFormatting sqref="O238">
    <cfRule type="expression" dxfId="618" priority="1807">
      <formula>IF(L238="NO BET", TRUE, FALSE)</formula>
    </cfRule>
    <cfRule type="expression" priority="1809">
      <formula>(O238="")</formula>
    </cfRule>
  </conditionalFormatting>
  <conditionalFormatting sqref="O238">
    <cfRule type="expression" priority="1808">
      <formula>(O238="")</formula>
    </cfRule>
  </conditionalFormatting>
  <conditionalFormatting sqref="O237">
    <cfRule type="expression" dxfId="617" priority="1804">
      <formula>IF(L237="NO BET", TRUE, FALSE)</formula>
    </cfRule>
    <cfRule type="expression" priority="1806">
      <formula>(O237="")</formula>
    </cfRule>
  </conditionalFormatting>
  <conditionalFormatting sqref="O237">
    <cfRule type="expression" priority="1805">
      <formula>(O237="")</formula>
    </cfRule>
  </conditionalFormatting>
  <conditionalFormatting sqref="O239:O242">
    <cfRule type="expression" dxfId="616" priority="1802">
      <formula>AND(NOT(K239=O239),NOT(O239=""))</formula>
    </cfRule>
    <cfRule type="expression" dxfId="615" priority="1803">
      <formula>AND((K239=O239),NOT(O239=""))</formula>
    </cfRule>
  </conditionalFormatting>
  <conditionalFormatting sqref="O239">
    <cfRule type="expression" priority="1801">
      <formula>(O239="")</formula>
    </cfRule>
  </conditionalFormatting>
  <conditionalFormatting sqref="O240">
    <cfRule type="expression" dxfId="614" priority="1794">
      <formula>IF(L240="NO BET", TRUE, FALSE)</formula>
    </cfRule>
    <cfRule type="expression" priority="1800">
      <formula>(O240="")</formula>
    </cfRule>
  </conditionalFormatting>
  <conditionalFormatting sqref="O241">
    <cfRule type="expression" priority="1799">
      <formula>(O241="")</formula>
    </cfRule>
  </conditionalFormatting>
  <conditionalFormatting sqref="O242">
    <cfRule type="expression" priority="1798">
      <formula>(O242="")</formula>
    </cfRule>
  </conditionalFormatting>
  <conditionalFormatting sqref="O240">
    <cfRule type="expression" priority="1797">
      <formula>(O240="")</formula>
    </cfRule>
  </conditionalFormatting>
  <conditionalFormatting sqref="O241">
    <cfRule type="expression" priority="1796">
      <formula>(O241="")</formula>
    </cfRule>
  </conditionalFormatting>
  <conditionalFormatting sqref="O242">
    <cfRule type="expression" priority="1795">
      <formula>(O242="")</formula>
    </cfRule>
  </conditionalFormatting>
  <conditionalFormatting sqref="O239">
    <cfRule type="expression" dxfId="613" priority="1791">
      <formula>IF(L239="NO BET", TRUE, FALSE)</formula>
    </cfRule>
    <cfRule type="expression" priority="1793">
      <formula>(O239="")</formula>
    </cfRule>
  </conditionalFormatting>
  <conditionalFormatting sqref="O239">
    <cfRule type="expression" priority="1792">
      <formula>(O239="")</formula>
    </cfRule>
  </conditionalFormatting>
  <conditionalFormatting sqref="O241">
    <cfRule type="expression" priority="1790">
      <formula>(O241="")</formula>
    </cfRule>
  </conditionalFormatting>
  <conditionalFormatting sqref="O242">
    <cfRule type="expression" dxfId="612" priority="1787">
      <formula>IF(L242="NO BET", TRUE, FALSE)</formula>
    </cfRule>
    <cfRule type="expression" priority="1789">
      <formula>(O242="")</formula>
    </cfRule>
  </conditionalFormatting>
  <conditionalFormatting sqref="O242">
    <cfRule type="expression" priority="1788">
      <formula>(O242="")</formula>
    </cfRule>
  </conditionalFormatting>
  <conditionalFormatting sqref="O241">
    <cfRule type="expression" dxfId="611" priority="1784">
      <formula>IF(L241="NO BET", TRUE, FALSE)</formula>
    </cfRule>
    <cfRule type="expression" priority="1786">
      <formula>(O241="")</formula>
    </cfRule>
  </conditionalFormatting>
  <conditionalFormatting sqref="O241">
    <cfRule type="expression" priority="1785">
      <formula>(O241="")</formula>
    </cfRule>
  </conditionalFormatting>
  <conditionalFormatting sqref="O219:O224">
    <cfRule type="expression" dxfId="610" priority="1782">
      <formula>AND(NOT(K219=O219),NOT(O219=""))</formula>
    </cfRule>
    <cfRule type="expression" dxfId="609" priority="1783">
      <formula>AND((K219=O219),NOT(O219=""))</formula>
    </cfRule>
  </conditionalFormatting>
  <conditionalFormatting sqref="O219">
    <cfRule type="expression" priority="1781">
      <formula>(O219="")</formula>
    </cfRule>
  </conditionalFormatting>
  <conditionalFormatting sqref="O220">
    <cfRule type="expression" dxfId="608" priority="1770">
      <formula>IF(L220="NO BET", TRUE, FALSE)</formula>
    </cfRule>
    <cfRule type="expression" priority="1780">
      <formula>(O220="")</formula>
    </cfRule>
  </conditionalFormatting>
  <conditionalFormatting sqref="O221">
    <cfRule type="expression" priority="1779">
      <formula>(O221="")</formula>
    </cfRule>
  </conditionalFormatting>
  <conditionalFormatting sqref="O222">
    <cfRule type="expression" priority="1778">
      <formula>(O222="")</formula>
    </cfRule>
  </conditionalFormatting>
  <conditionalFormatting sqref="O223">
    <cfRule type="expression" priority="1777">
      <formula>(O223="")</formula>
    </cfRule>
  </conditionalFormatting>
  <conditionalFormatting sqref="O224">
    <cfRule type="expression" priority="1776">
      <formula>(O224="")</formula>
    </cfRule>
  </conditionalFormatting>
  <conditionalFormatting sqref="O220">
    <cfRule type="expression" priority="1775">
      <formula>(O220="")</formula>
    </cfRule>
  </conditionalFormatting>
  <conditionalFormatting sqref="O221">
    <cfRule type="expression" priority="1774">
      <formula>(O221="")</formula>
    </cfRule>
  </conditionalFormatting>
  <conditionalFormatting sqref="O222">
    <cfRule type="expression" priority="1773">
      <formula>(O222="")</formula>
    </cfRule>
  </conditionalFormatting>
  <conditionalFormatting sqref="O223">
    <cfRule type="expression" priority="1772">
      <formula>(O223="")</formula>
    </cfRule>
  </conditionalFormatting>
  <conditionalFormatting sqref="O224">
    <cfRule type="expression" priority="1771">
      <formula>(O224="")</formula>
    </cfRule>
  </conditionalFormatting>
  <conditionalFormatting sqref="O219">
    <cfRule type="expression" dxfId="607" priority="1767">
      <formula>IF(L219="NO BET", TRUE, FALSE)</formula>
    </cfRule>
    <cfRule type="expression" priority="1769">
      <formula>(O219="")</formula>
    </cfRule>
  </conditionalFormatting>
  <conditionalFormatting sqref="O219">
    <cfRule type="expression" priority="1768">
      <formula>(O219="")</formula>
    </cfRule>
  </conditionalFormatting>
  <conditionalFormatting sqref="O221">
    <cfRule type="expression" priority="1766">
      <formula>(O221="")</formula>
    </cfRule>
  </conditionalFormatting>
  <conditionalFormatting sqref="O222">
    <cfRule type="expression" dxfId="606" priority="1763">
      <formula>IF(L222="NO BET", TRUE, FALSE)</formula>
    </cfRule>
    <cfRule type="expression" priority="1765">
      <formula>(O222="")</formula>
    </cfRule>
  </conditionalFormatting>
  <conditionalFormatting sqref="O222">
    <cfRule type="expression" priority="1764">
      <formula>(O222="")</formula>
    </cfRule>
  </conditionalFormatting>
  <conditionalFormatting sqref="O221">
    <cfRule type="expression" dxfId="605" priority="1760">
      <formula>IF(L221="NO BET", TRUE, FALSE)</formula>
    </cfRule>
    <cfRule type="expression" priority="1762">
      <formula>(O221="")</formula>
    </cfRule>
  </conditionalFormatting>
  <conditionalFormatting sqref="O221">
    <cfRule type="expression" priority="1761">
      <formula>(O221="")</formula>
    </cfRule>
  </conditionalFormatting>
  <conditionalFormatting sqref="O223">
    <cfRule type="expression" priority="1759">
      <formula>(O223="")</formula>
    </cfRule>
  </conditionalFormatting>
  <conditionalFormatting sqref="O224">
    <cfRule type="expression" dxfId="604" priority="1756">
      <formula>IF(L224="NO BET", TRUE, FALSE)</formula>
    </cfRule>
    <cfRule type="expression" priority="1758">
      <formula>(O224="")</formula>
    </cfRule>
  </conditionalFormatting>
  <conditionalFormatting sqref="O224">
    <cfRule type="expression" priority="1757">
      <formula>(O224="")</formula>
    </cfRule>
  </conditionalFormatting>
  <conditionalFormatting sqref="O223">
    <cfRule type="expression" dxfId="603" priority="1753">
      <formula>IF(L223="NO BET", TRUE, FALSE)</formula>
    </cfRule>
    <cfRule type="expression" priority="1755">
      <formula>(O223="")</formula>
    </cfRule>
  </conditionalFormatting>
  <conditionalFormatting sqref="O223">
    <cfRule type="expression" priority="1754">
      <formula>(O223="")</formula>
    </cfRule>
  </conditionalFormatting>
  <conditionalFormatting sqref="O225:O228">
    <cfRule type="expression" dxfId="602" priority="1751">
      <formula>AND(NOT(K225=O225),NOT(O225=""))</formula>
    </cfRule>
    <cfRule type="expression" dxfId="601" priority="1752">
      <formula>AND((K225=O225),NOT(O225=""))</formula>
    </cfRule>
  </conditionalFormatting>
  <conditionalFormatting sqref="O225">
    <cfRule type="expression" priority="1750">
      <formula>(O225="")</formula>
    </cfRule>
  </conditionalFormatting>
  <conditionalFormatting sqref="O226">
    <cfRule type="expression" dxfId="600" priority="1743">
      <formula>IF(L226="NO BET", TRUE, FALSE)</formula>
    </cfRule>
    <cfRule type="expression" priority="1749">
      <formula>(O226="")</formula>
    </cfRule>
  </conditionalFormatting>
  <conditionalFormatting sqref="O227">
    <cfRule type="expression" priority="1748">
      <formula>(O227="")</formula>
    </cfRule>
  </conditionalFormatting>
  <conditionalFormatting sqref="O228">
    <cfRule type="expression" priority="1747">
      <formula>(O228="")</formula>
    </cfRule>
  </conditionalFormatting>
  <conditionalFormatting sqref="O226">
    <cfRule type="expression" priority="1746">
      <formula>(O226="")</formula>
    </cfRule>
  </conditionalFormatting>
  <conditionalFormatting sqref="O227">
    <cfRule type="expression" priority="1745">
      <formula>(O227="")</formula>
    </cfRule>
  </conditionalFormatting>
  <conditionalFormatting sqref="O228">
    <cfRule type="expression" priority="1744">
      <formula>(O228="")</formula>
    </cfRule>
  </conditionalFormatting>
  <conditionalFormatting sqref="O225">
    <cfRule type="expression" dxfId="599" priority="1740">
      <formula>IF(L225="NO BET", TRUE, FALSE)</formula>
    </cfRule>
    <cfRule type="expression" priority="1742">
      <formula>(O225="")</formula>
    </cfRule>
  </conditionalFormatting>
  <conditionalFormatting sqref="O225">
    <cfRule type="expression" priority="1741">
      <formula>(O225="")</formula>
    </cfRule>
  </conditionalFormatting>
  <conditionalFormatting sqref="O227">
    <cfRule type="expression" priority="1739">
      <formula>(O227="")</formula>
    </cfRule>
  </conditionalFormatting>
  <conditionalFormatting sqref="O228">
    <cfRule type="expression" dxfId="598" priority="1736">
      <formula>IF(L228="NO BET", TRUE, FALSE)</formula>
    </cfRule>
    <cfRule type="expression" priority="1738">
      <formula>(O228="")</formula>
    </cfRule>
  </conditionalFormatting>
  <conditionalFormatting sqref="O228">
    <cfRule type="expression" priority="1737">
      <formula>(O228="")</formula>
    </cfRule>
  </conditionalFormatting>
  <conditionalFormatting sqref="O227">
    <cfRule type="expression" dxfId="597" priority="1733">
      <formula>IF(L227="NO BET", TRUE, FALSE)</formula>
    </cfRule>
    <cfRule type="expression" priority="1735">
      <formula>(O227="")</formula>
    </cfRule>
  </conditionalFormatting>
  <conditionalFormatting sqref="O227">
    <cfRule type="expression" priority="1734">
      <formula>(O227="")</formula>
    </cfRule>
  </conditionalFormatting>
  <conditionalFormatting sqref="O205:O210">
    <cfRule type="expression" dxfId="596" priority="1731">
      <formula>AND(NOT(K205=O205),NOT(O205=""))</formula>
    </cfRule>
    <cfRule type="expression" dxfId="595" priority="1732">
      <formula>AND((K205=O205),NOT(O205=""))</formula>
    </cfRule>
  </conditionalFormatting>
  <conditionalFormatting sqref="O205">
    <cfRule type="expression" priority="1730">
      <formula>(O205="")</formula>
    </cfRule>
  </conditionalFormatting>
  <conditionalFormatting sqref="O206">
    <cfRule type="expression" dxfId="594" priority="1719">
      <formula>IF(L206="NO BET", TRUE, FALSE)</formula>
    </cfRule>
    <cfRule type="expression" priority="1729">
      <formula>(O206="")</formula>
    </cfRule>
  </conditionalFormatting>
  <conditionalFormatting sqref="O207">
    <cfRule type="expression" priority="1728">
      <formula>(O207="")</formula>
    </cfRule>
  </conditionalFormatting>
  <conditionalFormatting sqref="O208">
    <cfRule type="expression" priority="1727">
      <formula>(O208="")</formula>
    </cfRule>
  </conditionalFormatting>
  <conditionalFormatting sqref="O209">
    <cfRule type="expression" priority="1726">
      <formula>(O209="")</formula>
    </cfRule>
  </conditionalFormatting>
  <conditionalFormatting sqref="O210">
    <cfRule type="expression" priority="1725">
      <formula>(O210="")</formula>
    </cfRule>
  </conditionalFormatting>
  <conditionalFormatting sqref="O206">
    <cfRule type="expression" priority="1724">
      <formula>(O206="")</formula>
    </cfRule>
  </conditionalFormatting>
  <conditionalFormatting sqref="O207">
    <cfRule type="expression" priority="1723">
      <formula>(O207="")</formula>
    </cfRule>
  </conditionalFormatting>
  <conditionalFormatting sqref="O208">
    <cfRule type="expression" priority="1722">
      <formula>(O208="")</formula>
    </cfRule>
  </conditionalFormatting>
  <conditionalFormatting sqref="O209">
    <cfRule type="expression" priority="1721">
      <formula>(O209="")</formula>
    </cfRule>
  </conditionalFormatting>
  <conditionalFormatting sqref="O210">
    <cfRule type="expression" priority="1720">
      <formula>(O210="")</formula>
    </cfRule>
  </conditionalFormatting>
  <conditionalFormatting sqref="O205">
    <cfRule type="expression" dxfId="593" priority="1716">
      <formula>IF(L205="NO BET", TRUE, FALSE)</formula>
    </cfRule>
    <cfRule type="expression" priority="1718">
      <formula>(O205="")</formula>
    </cfRule>
  </conditionalFormatting>
  <conditionalFormatting sqref="O205">
    <cfRule type="expression" priority="1717">
      <formula>(O205="")</formula>
    </cfRule>
  </conditionalFormatting>
  <conditionalFormatting sqref="O207">
    <cfRule type="expression" priority="1715">
      <formula>(O207="")</formula>
    </cfRule>
  </conditionalFormatting>
  <conditionalFormatting sqref="O208">
    <cfRule type="expression" dxfId="592" priority="1712">
      <formula>IF(L208="NO BET", TRUE, FALSE)</formula>
    </cfRule>
    <cfRule type="expression" priority="1714">
      <formula>(O208="")</formula>
    </cfRule>
  </conditionalFormatting>
  <conditionalFormatting sqref="O208">
    <cfRule type="expression" priority="1713">
      <formula>(O208="")</formula>
    </cfRule>
  </conditionalFormatting>
  <conditionalFormatting sqref="O207">
    <cfRule type="expression" dxfId="591" priority="1709">
      <formula>IF(L207="NO BET", TRUE, FALSE)</formula>
    </cfRule>
    <cfRule type="expression" priority="1711">
      <formula>(O207="")</formula>
    </cfRule>
  </conditionalFormatting>
  <conditionalFormatting sqref="O207">
    <cfRule type="expression" priority="1710">
      <formula>(O207="")</formula>
    </cfRule>
  </conditionalFormatting>
  <conditionalFormatting sqref="O209">
    <cfRule type="expression" priority="1708">
      <formula>(O209="")</formula>
    </cfRule>
  </conditionalFormatting>
  <conditionalFormatting sqref="O210">
    <cfRule type="expression" dxfId="590" priority="1705">
      <formula>IF(L210="NO BET", TRUE, FALSE)</formula>
    </cfRule>
    <cfRule type="expression" priority="1707">
      <formula>(O210="")</formula>
    </cfRule>
  </conditionalFormatting>
  <conditionalFormatting sqref="O210">
    <cfRule type="expression" priority="1706">
      <formula>(O210="")</formula>
    </cfRule>
  </conditionalFormatting>
  <conditionalFormatting sqref="O209">
    <cfRule type="expression" dxfId="589" priority="1702">
      <formula>IF(L209="NO BET", TRUE, FALSE)</formula>
    </cfRule>
    <cfRule type="expression" priority="1704">
      <formula>(O209="")</formula>
    </cfRule>
  </conditionalFormatting>
  <conditionalFormatting sqref="O209">
    <cfRule type="expression" priority="1703">
      <formula>(O209="")</formula>
    </cfRule>
  </conditionalFormatting>
  <conditionalFormatting sqref="O211:O214">
    <cfRule type="expression" dxfId="588" priority="1700">
      <formula>AND(NOT(K211=O211),NOT(O211=""))</formula>
    </cfRule>
    <cfRule type="expression" dxfId="587" priority="1701">
      <formula>AND((K211=O211),NOT(O211=""))</formula>
    </cfRule>
  </conditionalFormatting>
  <conditionalFormatting sqref="O211">
    <cfRule type="expression" priority="1699">
      <formula>(O211="")</formula>
    </cfRule>
  </conditionalFormatting>
  <conditionalFormatting sqref="O212">
    <cfRule type="expression" dxfId="586" priority="1692">
      <formula>IF(L212="NO BET", TRUE, FALSE)</formula>
    </cfRule>
    <cfRule type="expression" priority="1698">
      <formula>(O212="")</formula>
    </cfRule>
  </conditionalFormatting>
  <conditionalFormatting sqref="O213">
    <cfRule type="expression" priority="1697">
      <formula>(O213="")</formula>
    </cfRule>
  </conditionalFormatting>
  <conditionalFormatting sqref="O214">
    <cfRule type="expression" priority="1696">
      <formula>(O214="")</formula>
    </cfRule>
  </conditionalFormatting>
  <conditionalFormatting sqref="O212">
    <cfRule type="expression" priority="1695">
      <formula>(O212="")</formula>
    </cfRule>
  </conditionalFormatting>
  <conditionalFormatting sqref="O213">
    <cfRule type="expression" priority="1694">
      <formula>(O213="")</formula>
    </cfRule>
  </conditionalFormatting>
  <conditionalFormatting sqref="O214">
    <cfRule type="expression" priority="1693">
      <formula>(O214="")</formula>
    </cfRule>
  </conditionalFormatting>
  <conditionalFormatting sqref="O211">
    <cfRule type="expression" dxfId="585" priority="1689">
      <formula>IF(L211="NO BET", TRUE, FALSE)</formula>
    </cfRule>
    <cfRule type="expression" priority="1691">
      <formula>(O211="")</formula>
    </cfRule>
  </conditionalFormatting>
  <conditionalFormatting sqref="O211">
    <cfRule type="expression" priority="1690">
      <formula>(O211="")</formula>
    </cfRule>
  </conditionalFormatting>
  <conditionalFormatting sqref="O213">
    <cfRule type="expression" priority="1688">
      <formula>(O213="")</formula>
    </cfRule>
  </conditionalFormatting>
  <conditionalFormatting sqref="O214">
    <cfRule type="expression" dxfId="584" priority="1685">
      <formula>IF(L214="NO BET", TRUE, FALSE)</formula>
    </cfRule>
    <cfRule type="expression" priority="1687">
      <formula>(O214="")</formula>
    </cfRule>
  </conditionalFormatting>
  <conditionalFormatting sqref="O214">
    <cfRule type="expression" priority="1686">
      <formula>(O214="")</formula>
    </cfRule>
  </conditionalFormatting>
  <conditionalFormatting sqref="O213">
    <cfRule type="expression" dxfId="583" priority="1682">
      <formula>IF(L213="NO BET", TRUE, FALSE)</formula>
    </cfRule>
    <cfRule type="expression" priority="1684">
      <formula>(O213="")</formula>
    </cfRule>
  </conditionalFormatting>
  <conditionalFormatting sqref="O213">
    <cfRule type="expression" priority="1683">
      <formula>(O213="")</formula>
    </cfRule>
  </conditionalFormatting>
  <conditionalFormatting sqref="O191:O196">
    <cfRule type="expression" dxfId="582" priority="1680">
      <formula>AND(NOT(K191=O191),NOT(O191=""))</formula>
    </cfRule>
    <cfRule type="expression" dxfId="581" priority="1681">
      <formula>AND((K191=O191),NOT(O191=""))</formula>
    </cfRule>
  </conditionalFormatting>
  <conditionalFormatting sqref="O191">
    <cfRule type="expression" priority="1679">
      <formula>(O191="")</formula>
    </cfRule>
  </conditionalFormatting>
  <conditionalFormatting sqref="O192">
    <cfRule type="expression" dxfId="580" priority="1668">
      <formula>IF(L192="NO BET", TRUE, FALSE)</formula>
    </cfRule>
    <cfRule type="expression" priority="1678">
      <formula>(O192="")</formula>
    </cfRule>
  </conditionalFormatting>
  <conditionalFormatting sqref="O193">
    <cfRule type="expression" priority="1677">
      <formula>(O193="")</formula>
    </cfRule>
  </conditionalFormatting>
  <conditionalFormatting sqref="O194">
    <cfRule type="expression" priority="1676">
      <formula>(O194="")</formula>
    </cfRule>
  </conditionalFormatting>
  <conditionalFormatting sqref="O195">
    <cfRule type="expression" priority="1675">
      <formula>(O195="")</formula>
    </cfRule>
  </conditionalFormatting>
  <conditionalFormatting sqref="O196">
    <cfRule type="expression" priority="1674">
      <formula>(O196="")</formula>
    </cfRule>
  </conditionalFormatting>
  <conditionalFormatting sqref="O192">
    <cfRule type="expression" priority="1673">
      <formula>(O192="")</formula>
    </cfRule>
  </conditionalFormatting>
  <conditionalFormatting sqref="O193">
    <cfRule type="expression" priority="1672">
      <formula>(O193="")</formula>
    </cfRule>
  </conditionalFormatting>
  <conditionalFormatting sqref="O194">
    <cfRule type="expression" priority="1671">
      <formula>(O194="")</formula>
    </cfRule>
  </conditionalFormatting>
  <conditionalFormatting sqref="O195">
    <cfRule type="expression" priority="1670">
      <formula>(O195="")</formula>
    </cfRule>
  </conditionalFormatting>
  <conditionalFormatting sqref="O196">
    <cfRule type="expression" priority="1669">
      <formula>(O196="")</formula>
    </cfRule>
  </conditionalFormatting>
  <conditionalFormatting sqref="O191">
    <cfRule type="expression" dxfId="579" priority="1665">
      <formula>IF(L191="NO BET", TRUE, FALSE)</formula>
    </cfRule>
    <cfRule type="expression" priority="1667">
      <formula>(O191="")</formula>
    </cfRule>
  </conditionalFormatting>
  <conditionalFormatting sqref="O191">
    <cfRule type="expression" priority="1666">
      <formula>(O191="")</formula>
    </cfRule>
  </conditionalFormatting>
  <conditionalFormatting sqref="O193">
    <cfRule type="expression" priority="1664">
      <formula>(O193="")</formula>
    </cfRule>
  </conditionalFormatting>
  <conditionalFormatting sqref="O194">
    <cfRule type="expression" dxfId="578" priority="1661">
      <formula>IF(L194="NO BET", TRUE, FALSE)</formula>
    </cfRule>
    <cfRule type="expression" priority="1663">
      <formula>(O194="")</formula>
    </cfRule>
  </conditionalFormatting>
  <conditionalFormatting sqref="O194">
    <cfRule type="expression" priority="1662">
      <formula>(O194="")</formula>
    </cfRule>
  </conditionalFormatting>
  <conditionalFormatting sqref="O193">
    <cfRule type="expression" dxfId="577" priority="1658">
      <formula>IF(L193="NO BET", TRUE, FALSE)</formula>
    </cfRule>
    <cfRule type="expression" priority="1660">
      <formula>(O193="")</formula>
    </cfRule>
  </conditionalFormatting>
  <conditionalFormatting sqref="O193">
    <cfRule type="expression" priority="1659">
      <formula>(O193="")</formula>
    </cfRule>
  </conditionalFormatting>
  <conditionalFormatting sqref="O195">
    <cfRule type="expression" priority="1657">
      <formula>(O195="")</formula>
    </cfRule>
  </conditionalFormatting>
  <conditionalFormatting sqref="O196">
    <cfRule type="expression" dxfId="576" priority="1654">
      <formula>IF(L196="NO BET", TRUE, FALSE)</formula>
    </cfRule>
    <cfRule type="expression" priority="1656">
      <formula>(O196="")</formula>
    </cfRule>
  </conditionalFormatting>
  <conditionalFormatting sqref="O196">
    <cfRule type="expression" priority="1655">
      <formula>(O196="")</formula>
    </cfRule>
  </conditionalFormatting>
  <conditionalFormatting sqref="O195">
    <cfRule type="expression" dxfId="575" priority="1651">
      <formula>IF(L195="NO BET", TRUE, FALSE)</formula>
    </cfRule>
    <cfRule type="expression" priority="1653">
      <formula>(O195="")</formula>
    </cfRule>
  </conditionalFormatting>
  <conditionalFormatting sqref="O195">
    <cfRule type="expression" priority="1652">
      <formula>(O195="")</formula>
    </cfRule>
  </conditionalFormatting>
  <conditionalFormatting sqref="O197:O200">
    <cfRule type="expression" dxfId="574" priority="1649">
      <formula>AND(NOT(K197=O197),NOT(O197=""))</formula>
    </cfRule>
    <cfRule type="expression" dxfId="573" priority="1650">
      <formula>AND((K197=O197),NOT(O197=""))</formula>
    </cfRule>
  </conditionalFormatting>
  <conditionalFormatting sqref="O197">
    <cfRule type="expression" priority="1648">
      <formula>(O197="")</formula>
    </cfRule>
  </conditionalFormatting>
  <conditionalFormatting sqref="O198">
    <cfRule type="expression" dxfId="572" priority="1641">
      <formula>IF(L198="NO BET", TRUE, FALSE)</formula>
    </cfRule>
    <cfRule type="expression" priority="1647">
      <formula>(O198="")</formula>
    </cfRule>
  </conditionalFormatting>
  <conditionalFormatting sqref="O199">
    <cfRule type="expression" priority="1646">
      <formula>(O199="")</formula>
    </cfRule>
  </conditionalFormatting>
  <conditionalFormatting sqref="O200">
    <cfRule type="expression" priority="1645">
      <formula>(O200="")</formula>
    </cfRule>
  </conditionalFormatting>
  <conditionalFormatting sqref="O198">
    <cfRule type="expression" priority="1644">
      <formula>(O198="")</formula>
    </cfRule>
  </conditionalFormatting>
  <conditionalFormatting sqref="O199">
    <cfRule type="expression" priority="1643">
      <formula>(O199="")</formula>
    </cfRule>
  </conditionalFormatting>
  <conditionalFormatting sqref="O200">
    <cfRule type="expression" priority="1642">
      <formula>(O200="")</formula>
    </cfRule>
  </conditionalFormatting>
  <conditionalFormatting sqref="O197">
    <cfRule type="expression" dxfId="571" priority="1638">
      <formula>IF(L197="NO BET", TRUE, FALSE)</formula>
    </cfRule>
    <cfRule type="expression" priority="1640">
      <formula>(O197="")</formula>
    </cfRule>
  </conditionalFormatting>
  <conditionalFormatting sqref="O197">
    <cfRule type="expression" priority="1639">
      <formula>(O197="")</formula>
    </cfRule>
  </conditionalFormatting>
  <conditionalFormatting sqref="O199">
    <cfRule type="expression" priority="1637">
      <formula>(O199="")</formula>
    </cfRule>
  </conditionalFormatting>
  <conditionalFormatting sqref="O200">
    <cfRule type="expression" dxfId="570" priority="1634">
      <formula>IF(L200="NO BET", TRUE, FALSE)</formula>
    </cfRule>
    <cfRule type="expression" priority="1636">
      <formula>(O200="")</formula>
    </cfRule>
  </conditionalFormatting>
  <conditionalFormatting sqref="O200">
    <cfRule type="expression" priority="1635">
      <formula>(O200="")</formula>
    </cfRule>
  </conditionalFormatting>
  <conditionalFormatting sqref="O199">
    <cfRule type="expression" dxfId="569" priority="1631">
      <formula>IF(L199="NO BET", TRUE, FALSE)</formula>
    </cfRule>
    <cfRule type="expression" priority="1633">
      <formula>(O199="")</formula>
    </cfRule>
  </conditionalFormatting>
  <conditionalFormatting sqref="O199">
    <cfRule type="expression" priority="1632">
      <formula>(O199="")</formula>
    </cfRule>
  </conditionalFormatting>
  <conditionalFormatting sqref="O177:O182">
    <cfRule type="expression" dxfId="568" priority="1629">
      <formula>AND(NOT(K177=O177),NOT(O177=""))</formula>
    </cfRule>
    <cfRule type="expression" dxfId="567" priority="1630">
      <formula>AND((K177=O177),NOT(O177=""))</formula>
    </cfRule>
  </conditionalFormatting>
  <conditionalFormatting sqref="O177">
    <cfRule type="expression" priority="1628">
      <formula>(O177="")</formula>
    </cfRule>
  </conditionalFormatting>
  <conditionalFormatting sqref="O178">
    <cfRule type="expression" dxfId="566" priority="1617">
      <formula>IF(L178="NO BET", TRUE, FALSE)</formula>
    </cfRule>
    <cfRule type="expression" priority="1627">
      <formula>(O178="")</formula>
    </cfRule>
  </conditionalFormatting>
  <conditionalFormatting sqref="O179">
    <cfRule type="expression" priority="1626">
      <formula>(O179="")</formula>
    </cfRule>
  </conditionalFormatting>
  <conditionalFormatting sqref="O180">
    <cfRule type="expression" priority="1625">
      <formula>(O180="")</formula>
    </cfRule>
  </conditionalFormatting>
  <conditionalFormatting sqref="O181">
    <cfRule type="expression" priority="1624">
      <formula>(O181="")</formula>
    </cfRule>
  </conditionalFormatting>
  <conditionalFormatting sqref="O182">
    <cfRule type="expression" priority="1623">
      <formula>(O182="")</formula>
    </cfRule>
  </conditionalFormatting>
  <conditionalFormatting sqref="O178">
    <cfRule type="expression" priority="1622">
      <formula>(O178="")</formula>
    </cfRule>
  </conditionalFormatting>
  <conditionalFormatting sqref="O179">
    <cfRule type="expression" priority="1621">
      <formula>(O179="")</formula>
    </cfRule>
  </conditionalFormatting>
  <conditionalFormatting sqref="O180">
    <cfRule type="expression" priority="1620">
      <formula>(O180="")</formula>
    </cfRule>
  </conditionalFormatting>
  <conditionalFormatting sqref="O181">
    <cfRule type="expression" priority="1619">
      <formula>(O181="")</formula>
    </cfRule>
  </conditionalFormatting>
  <conditionalFormatting sqref="O182">
    <cfRule type="expression" priority="1618">
      <formula>(O182="")</formula>
    </cfRule>
  </conditionalFormatting>
  <conditionalFormatting sqref="O177">
    <cfRule type="expression" dxfId="565" priority="1614">
      <formula>IF(L177="NO BET", TRUE, FALSE)</formula>
    </cfRule>
    <cfRule type="expression" priority="1616">
      <formula>(O177="")</formula>
    </cfRule>
  </conditionalFormatting>
  <conditionalFormatting sqref="O177">
    <cfRule type="expression" priority="1615">
      <formula>(O177="")</formula>
    </cfRule>
  </conditionalFormatting>
  <conditionalFormatting sqref="O179">
    <cfRule type="expression" priority="1613">
      <formula>(O179="")</formula>
    </cfRule>
  </conditionalFormatting>
  <conditionalFormatting sqref="O180">
    <cfRule type="expression" dxfId="564" priority="1610">
      <formula>IF(L180="NO BET", TRUE, FALSE)</formula>
    </cfRule>
    <cfRule type="expression" priority="1612">
      <formula>(O180="")</formula>
    </cfRule>
  </conditionalFormatting>
  <conditionalFormatting sqref="O180">
    <cfRule type="expression" priority="1611">
      <formula>(O180="")</formula>
    </cfRule>
  </conditionalFormatting>
  <conditionalFormatting sqref="O179">
    <cfRule type="expression" dxfId="563" priority="1607">
      <formula>IF(L179="NO BET", TRUE, FALSE)</formula>
    </cfRule>
    <cfRule type="expression" priority="1609">
      <formula>(O179="")</formula>
    </cfRule>
  </conditionalFormatting>
  <conditionalFormatting sqref="O179">
    <cfRule type="expression" priority="1608">
      <formula>(O179="")</formula>
    </cfRule>
  </conditionalFormatting>
  <conditionalFormatting sqref="O181">
    <cfRule type="expression" priority="1606">
      <formula>(O181="")</formula>
    </cfRule>
  </conditionalFormatting>
  <conditionalFormatting sqref="O182">
    <cfRule type="expression" dxfId="562" priority="1603">
      <formula>IF(L182="NO BET", TRUE, FALSE)</formula>
    </cfRule>
    <cfRule type="expression" priority="1605">
      <formula>(O182="")</formula>
    </cfRule>
  </conditionalFormatting>
  <conditionalFormatting sqref="O182">
    <cfRule type="expression" priority="1604">
      <formula>(O182="")</formula>
    </cfRule>
  </conditionalFormatting>
  <conditionalFormatting sqref="O181">
    <cfRule type="expression" dxfId="561" priority="1600">
      <formula>IF(L181="NO BET", TRUE, FALSE)</formula>
    </cfRule>
    <cfRule type="expression" priority="1602">
      <formula>(O181="")</formula>
    </cfRule>
  </conditionalFormatting>
  <conditionalFormatting sqref="O181">
    <cfRule type="expression" priority="1601">
      <formula>(O181="")</formula>
    </cfRule>
  </conditionalFormatting>
  <conditionalFormatting sqref="O183:O186">
    <cfRule type="expression" dxfId="560" priority="1598">
      <formula>AND(NOT(K183=O183),NOT(O183=""))</formula>
    </cfRule>
    <cfRule type="expression" dxfId="559" priority="1599">
      <formula>AND((K183=O183),NOT(O183=""))</formula>
    </cfRule>
  </conditionalFormatting>
  <conditionalFormatting sqref="O183">
    <cfRule type="expression" priority="1597">
      <formula>(O183="")</formula>
    </cfRule>
  </conditionalFormatting>
  <conditionalFormatting sqref="O184">
    <cfRule type="expression" dxfId="558" priority="1590">
      <formula>IF(L184="NO BET", TRUE, FALSE)</formula>
    </cfRule>
    <cfRule type="expression" priority="1596">
      <formula>(O184="")</formula>
    </cfRule>
  </conditionalFormatting>
  <conditionalFormatting sqref="O185">
    <cfRule type="expression" priority="1595">
      <formula>(O185="")</formula>
    </cfRule>
  </conditionalFormatting>
  <conditionalFormatting sqref="O186">
    <cfRule type="expression" priority="1594">
      <formula>(O186="")</formula>
    </cfRule>
  </conditionalFormatting>
  <conditionalFormatting sqref="O184">
    <cfRule type="expression" priority="1593">
      <formula>(O184="")</formula>
    </cfRule>
  </conditionalFormatting>
  <conditionalFormatting sqref="O185">
    <cfRule type="expression" priority="1592">
      <formula>(O185="")</formula>
    </cfRule>
  </conditionalFormatting>
  <conditionalFormatting sqref="O186">
    <cfRule type="expression" priority="1591">
      <formula>(O186="")</formula>
    </cfRule>
  </conditionalFormatting>
  <conditionalFormatting sqref="O183">
    <cfRule type="expression" dxfId="557" priority="1587">
      <formula>IF(L183="NO BET", TRUE, FALSE)</formula>
    </cfRule>
    <cfRule type="expression" priority="1589">
      <formula>(O183="")</formula>
    </cfRule>
  </conditionalFormatting>
  <conditionalFormatting sqref="O183">
    <cfRule type="expression" priority="1588">
      <formula>(O183="")</formula>
    </cfRule>
  </conditionalFormatting>
  <conditionalFormatting sqref="O185">
    <cfRule type="expression" priority="1586">
      <formula>(O185="")</formula>
    </cfRule>
  </conditionalFormatting>
  <conditionalFormatting sqref="O186">
    <cfRule type="expression" dxfId="556" priority="1583">
      <formula>IF(L186="NO BET", TRUE, FALSE)</formula>
    </cfRule>
    <cfRule type="expression" priority="1585">
      <formula>(O186="")</formula>
    </cfRule>
  </conditionalFormatting>
  <conditionalFormatting sqref="O186">
    <cfRule type="expression" priority="1584">
      <formula>(O186="")</formula>
    </cfRule>
  </conditionalFormatting>
  <conditionalFormatting sqref="O185">
    <cfRule type="expression" dxfId="555" priority="1580">
      <formula>IF(L185="NO BET", TRUE, FALSE)</formula>
    </cfRule>
    <cfRule type="expression" priority="1582">
      <formula>(O185="")</formula>
    </cfRule>
  </conditionalFormatting>
  <conditionalFormatting sqref="O185">
    <cfRule type="expression" priority="1581">
      <formula>(O185="")</formula>
    </cfRule>
  </conditionalFormatting>
  <conditionalFormatting sqref="O163:O168">
    <cfRule type="expression" dxfId="554" priority="1578">
      <formula>AND(NOT(K163=O163),NOT(O163=""))</formula>
    </cfRule>
    <cfRule type="expression" dxfId="553" priority="1579">
      <formula>AND((K163=O163),NOT(O163=""))</formula>
    </cfRule>
  </conditionalFormatting>
  <conditionalFormatting sqref="O163">
    <cfRule type="expression" priority="1577">
      <formula>(O163="")</formula>
    </cfRule>
  </conditionalFormatting>
  <conditionalFormatting sqref="O164">
    <cfRule type="expression" dxfId="552" priority="1566">
      <formula>IF(L164="NO BET", TRUE, FALSE)</formula>
    </cfRule>
    <cfRule type="expression" priority="1576">
      <formula>(O164="")</formula>
    </cfRule>
  </conditionalFormatting>
  <conditionalFormatting sqref="O165">
    <cfRule type="expression" priority="1575">
      <formula>(O165="")</formula>
    </cfRule>
  </conditionalFormatting>
  <conditionalFormatting sqref="O166">
    <cfRule type="expression" priority="1574">
      <formula>(O166="")</formula>
    </cfRule>
  </conditionalFormatting>
  <conditionalFormatting sqref="O167">
    <cfRule type="expression" priority="1573">
      <formula>(O167="")</formula>
    </cfRule>
  </conditionalFormatting>
  <conditionalFormatting sqref="O168">
    <cfRule type="expression" priority="1572">
      <formula>(O168="")</formula>
    </cfRule>
  </conditionalFormatting>
  <conditionalFormatting sqref="O164">
    <cfRule type="expression" priority="1571">
      <formula>(O164="")</formula>
    </cfRule>
  </conditionalFormatting>
  <conditionalFormatting sqref="O165">
    <cfRule type="expression" priority="1570">
      <formula>(O165="")</formula>
    </cfRule>
  </conditionalFormatting>
  <conditionalFormatting sqref="O166">
    <cfRule type="expression" priority="1569">
      <formula>(O166="")</formula>
    </cfRule>
  </conditionalFormatting>
  <conditionalFormatting sqref="O167">
    <cfRule type="expression" priority="1568">
      <formula>(O167="")</formula>
    </cfRule>
  </conditionalFormatting>
  <conditionalFormatting sqref="O168">
    <cfRule type="expression" priority="1567">
      <formula>(O168="")</formula>
    </cfRule>
  </conditionalFormatting>
  <conditionalFormatting sqref="O163">
    <cfRule type="expression" dxfId="551" priority="1563">
      <formula>IF(L163="NO BET", TRUE, FALSE)</formula>
    </cfRule>
    <cfRule type="expression" priority="1565">
      <formula>(O163="")</formula>
    </cfRule>
  </conditionalFormatting>
  <conditionalFormatting sqref="O163">
    <cfRule type="expression" priority="1564">
      <formula>(O163="")</formula>
    </cfRule>
  </conditionalFormatting>
  <conditionalFormatting sqref="O165">
    <cfRule type="expression" priority="1562">
      <formula>(O165="")</formula>
    </cfRule>
  </conditionalFormatting>
  <conditionalFormatting sqref="O166">
    <cfRule type="expression" dxfId="550" priority="1559">
      <formula>IF(L166="NO BET", TRUE, FALSE)</formula>
    </cfRule>
    <cfRule type="expression" priority="1561">
      <formula>(O166="")</formula>
    </cfRule>
  </conditionalFormatting>
  <conditionalFormatting sqref="O166">
    <cfRule type="expression" priority="1560">
      <formula>(O166="")</formula>
    </cfRule>
  </conditionalFormatting>
  <conditionalFormatting sqref="O165">
    <cfRule type="expression" dxfId="549" priority="1556">
      <formula>IF(L165="NO BET", TRUE, FALSE)</formula>
    </cfRule>
    <cfRule type="expression" priority="1558">
      <formula>(O165="")</formula>
    </cfRule>
  </conditionalFormatting>
  <conditionalFormatting sqref="O165">
    <cfRule type="expression" priority="1557">
      <formula>(O165="")</formula>
    </cfRule>
  </conditionalFormatting>
  <conditionalFormatting sqref="O167">
    <cfRule type="expression" priority="1555">
      <formula>(O167="")</formula>
    </cfRule>
  </conditionalFormatting>
  <conditionalFormatting sqref="O168">
    <cfRule type="expression" dxfId="548" priority="1552">
      <formula>IF(L168="NO BET", TRUE, FALSE)</formula>
    </cfRule>
    <cfRule type="expression" priority="1554">
      <formula>(O168="")</formula>
    </cfRule>
  </conditionalFormatting>
  <conditionalFormatting sqref="O168">
    <cfRule type="expression" priority="1553">
      <formula>(O168="")</formula>
    </cfRule>
  </conditionalFormatting>
  <conditionalFormatting sqref="O167">
    <cfRule type="expression" dxfId="547" priority="1549">
      <formula>IF(L167="NO BET", TRUE, FALSE)</formula>
    </cfRule>
    <cfRule type="expression" priority="1551">
      <formula>(O167="")</formula>
    </cfRule>
  </conditionalFormatting>
  <conditionalFormatting sqref="O167">
    <cfRule type="expression" priority="1550">
      <formula>(O167="")</formula>
    </cfRule>
  </conditionalFormatting>
  <conditionalFormatting sqref="O169:O172">
    <cfRule type="expression" dxfId="546" priority="1547">
      <formula>AND(NOT(K169=O169),NOT(O169=""))</formula>
    </cfRule>
    <cfRule type="expression" dxfId="545" priority="1548">
      <formula>AND((K169=O169),NOT(O169=""))</formula>
    </cfRule>
  </conditionalFormatting>
  <conditionalFormatting sqref="O169">
    <cfRule type="expression" priority="1546">
      <formula>(O169="")</formula>
    </cfRule>
  </conditionalFormatting>
  <conditionalFormatting sqref="O170">
    <cfRule type="expression" dxfId="544" priority="1539">
      <formula>IF(L170="NO BET", TRUE, FALSE)</formula>
    </cfRule>
    <cfRule type="expression" priority="1545">
      <formula>(O170="")</formula>
    </cfRule>
  </conditionalFormatting>
  <conditionalFormatting sqref="O171">
    <cfRule type="expression" priority="1544">
      <formula>(O171="")</formula>
    </cfRule>
  </conditionalFormatting>
  <conditionalFormatting sqref="O172">
    <cfRule type="expression" priority="1543">
      <formula>(O172="")</formula>
    </cfRule>
  </conditionalFormatting>
  <conditionalFormatting sqref="O170">
    <cfRule type="expression" priority="1542">
      <formula>(O170="")</formula>
    </cfRule>
  </conditionalFormatting>
  <conditionalFormatting sqref="O171">
    <cfRule type="expression" priority="1541">
      <formula>(O171="")</formula>
    </cfRule>
  </conditionalFormatting>
  <conditionalFormatting sqref="O172">
    <cfRule type="expression" priority="1540">
      <formula>(O172="")</formula>
    </cfRule>
  </conditionalFormatting>
  <conditionalFormatting sqref="O169">
    <cfRule type="expression" dxfId="543" priority="1536">
      <formula>IF(L169="NO BET", TRUE, FALSE)</formula>
    </cfRule>
    <cfRule type="expression" priority="1538">
      <formula>(O169="")</formula>
    </cfRule>
  </conditionalFormatting>
  <conditionalFormatting sqref="O169">
    <cfRule type="expression" priority="1537">
      <formula>(O169="")</formula>
    </cfRule>
  </conditionalFormatting>
  <conditionalFormatting sqref="O171">
    <cfRule type="expression" priority="1535">
      <formula>(O171="")</formula>
    </cfRule>
  </conditionalFormatting>
  <conditionalFormatting sqref="O172">
    <cfRule type="expression" dxfId="542" priority="1532">
      <formula>IF(L172="NO BET", TRUE, FALSE)</formula>
    </cfRule>
    <cfRule type="expression" priority="1534">
      <formula>(O172="")</formula>
    </cfRule>
  </conditionalFormatting>
  <conditionalFormatting sqref="O172">
    <cfRule type="expression" priority="1533">
      <formula>(O172="")</formula>
    </cfRule>
  </conditionalFormatting>
  <conditionalFormatting sqref="O171">
    <cfRule type="expression" dxfId="541" priority="1529">
      <formula>IF(L171="NO BET", TRUE, FALSE)</formula>
    </cfRule>
    <cfRule type="expression" priority="1531">
      <formula>(O171="")</formula>
    </cfRule>
  </conditionalFormatting>
  <conditionalFormatting sqref="O171">
    <cfRule type="expression" priority="1530">
      <formula>(O171="")</formula>
    </cfRule>
  </conditionalFormatting>
  <conditionalFormatting sqref="Q461:Q470">
    <cfRule type="expression" dxfId="540" priority="1528">
      <formula>Q461=0</formula>
    </cfRule>
  </conditionalFormatting>
  <conditionalFormatting sqref="Q475:Q484">
    <cfRule type="expression" dxfId="539" priority="1527">
      <formula>Q475=0</formula>
    </cfRule>
  </conditionalFormatting>
  <conditionalFormatting sqref="Q489:Q498">
    <cfRule type="expression" dxfId="538" priority="1526">
      <formula>Q489=0</formula>
    </cfRule>
  </conditionalFormatting>
  <conditionalFormatting sqref="Q503:Q512">
    <cfRule type="expression" dxfId="537" priority="1525">
      <formula>Q503=0</formula>
    </cfRule>
  </conditionalFormatting>
  <conditionalFormatting sqref="Q517:Q526">
    <cfRule type="expression" dxfId="536" priority="1524">
      <formula>Q517=0</formula>
    </cfRule>
  </conditionalFormatting>
  <conditionalFormatting sqref="Q531:Q540">
    <cfRule type="expression" dxfId="535" priority="1523">
      <formula>Q531=0</formula>
    </cfRule>
  </conditionalFormatting>
  <conditionalFormatting sqref="Q545:Q554">
    <cfRule type="expression" dxfId="534" priority="1522">
      <formula>Q545=0</formula>
    </cfRule>
  </conditionalFormatting>
  <conditionalFormatting sqref="Q559:Q568">
    <cfRule type="expression" dxfId="533" priority="1521">
      <formula>Q559=0</formula>
    </cfRule>
  </conditionalFormatting>
  <conditionalFormatting sqref="Q573:Q582">
    <cfRule type="expression" dxfId="532" priority="1520">
      <formula>Q573=0</formula>
    </cfRule>
  </conditionalFormatting>
  <conditionalFormatting sqref="Q587:Q596">
    <cfRule type="expression" dxfId="531" priority="1519">
      <formula>Q587=0</formula>
    </cfRule>
  </conditionalFormatting>
  <conditionalFormatting sqref="Q431:Q440">
    <cfRule type="expression" dxfId="530" priority="1518">
      <formula>Q431=0</formula>
    </cfRule>
  </conditionalFormatting>
  <conditionalFormatting sqref="Q417:Q426">
    <cfRule type="expression" dxfId="529" priority="1517">
      <formula>Q417=0</formula>
    </cfRule>
  </conditionalFormatting>
  <conditionalFormatting sqref="Q403:Q412">
    <cfRule type="expression" dxfId="528" priority="1516">
      <formula>Q403=0</formula>
    </cfRule>
  </conditionalFormatting>
  <conditionalFormatting sqref="Q375:Q384">
    <cfRule type="expression" dxfId="527" priority="1514">
      <formula>Q375=0</formula>
    </cfRule>
  </conditionalFormatting>
  <conditionalFormatting sqref="Q361:Q370">
    <cfRule type="expression" dxfId="526" priority="1513">
      <formula>Q361=0</formula>
    </cfRule>
  </conditionalFormatting>
  <conditionalFormatting sqref="Q347:Q356">
    <cfRule type="expression" dxfId="525" priority="1512">
      <formula>Q347=0</formula>
    </cfRule>
  </conditionalFormatting>
  <conditionalFormatting sqref="Q333:Q342">
    <cfRule type="expression" dxfId="524" priority="1511">
      <formula>Q333=0</formula>
    </cfRule>
  </conditionalFormatting>
  <conditionalFormatting sqref="Q319:Q328">
    <cfRule type="expression" dxfId="523" priority="1510">
      <formula>Q319=0</formula>
    </cfRule>
  </conditionalFormatting>
  <conditionalFormatting sqref="Q275:Q284">
    <cfRule type="expression" dxfId="522" priority="1509">
      <formula>Q275=0</formula>
    </cfRule>
  </conditionalFormatting>
  <conditionalFormatting sqref="Q261:Q270">
    <cfRule type="expression" dxfId="521" priority="1508">
      <formula>Q261=0</formula>
    </cfRule>
  </conditionalFormatting>
  <conditionalFormatting sqref="Q247:Q256">
    <cfRule type="expression" dxfId="520" priority="1507">
      <formula>Q247=0</formula>
    </cfRule>
  </conditionalFormatting>
  <conditionalFormatting sqref="Q233:Q242">
    <cfRule type="expression" dxfId="519" priority="1506">
      <formula>Q233=0</formula>
    </cfRule>
  </conditionalFormatting>
  <conditionalFormatting sqref="Q219:Q228">
    <cfRule type="expression" dxfId="518" priority="1505">
      <formula>Q219=0</formula>
    </cfRule>
  </conditionalFormatting>
  <conditionalFormatting sqref="Q205:Q214">
    <cfRule type="expression" dxfId="517" priority="1504">
      <formula>Q205=0</formula>
    </cfRule>
  </conditionalFormatting>
  <conditionalFormatting sqref="Q191:Q200">
    <cfRule type="expression" dxfId="516" priority="1503">
      <formula>Q191=0</formula>
    </cfRule>
  </conditionalFormatting>
  <conditionalFormatting sqref="Q177:Q186">
    <cfRule type="expression" dxfId="515" priority="1502">
      <formula>Q177=0</formula>
    </cfRule>
  </conditionalFormatting>
  <conditionalFormatting sqref="Q163:Q172">
    <cfRule type="expression" dxfId="514" priority="1501">
      <formula>Q163=0</formula>
    </cfRule>
  </conditionalFormatting>
  <conditionalFormatting sqref="D163 D396:D398">
    <cfRule type="expression" priority="1499">
      <formula>_xlfn.IFS(K163="",TRUE)</formula>
    </cfRule>
    <cfRule type="expression" dxfId="513" priority="1500">
      <formula>_xlfn.IFS(K163="T1",TRUE)</formula>
    </cfRule>
  </conditionalFormatting>
  <conditionalFormatting sqref="E163 E396:E398">
    <cfRule type="expression" priority="1497">
      <formula>_xlfn.IFS(L163="",TRUE)</formula>
    </cfRule>
    <cfRule type="expression" dxfId="512" priority="1498">
      <formula>_xlfn.IFS(K163="T2",TRUE)</formula>
    </cfRule>
  </conditionalFormatting>
  <conditionalFormatting sqref="D164:D172">
    <cfRule type="expression" priority="1495">
      <formula>_xlfn.IFS(K164="",TRUE)</formula>
    </cfRule>
    <cfRule type="expression" dxfId="511" priority="1496">
      <formula>_xlfn.IFS(K164="T1",TRUE)</formula>
    </cfRule>
  </conditionalFormatting>
  <conditionalFormatting sqref="E164:E172">
    <cfRule type="expression" priority="1493">
      <formula>_xlfn.IFS(L164="",TRUE)</formula>
    </cfRule>
    <cfRule type="expression" dxfId="510" priority="1494">
      <formula>_xlfn.IFS(K164="T2",TRUE)</formula>
    </cfRule>
  </conditionalFormatting>
  <conditionalFormatting sqref="D177">
    <cfRule type="expression" priority="1491">
      <formula>_xlfn.IFS(K177="",TRUE)</formula>
    </cfRule>
    <cfRule type="expression" dxfId="509" priority="1492">
      <formula>_xlfn.IFS(K177="T1",TRUE)</formula>
    </cfRule>
  </conditionalFormatting>
  <conditionalFormatting sqref="E177">
    <cfRule type="expression" priority="1489">
      <formula>_xlfn.IFS(L177="",TRUE)</formula>
    </cfRule>
    <cfRule type="expression" dxfId="508" priority="1490">
      <formula>_xlfn.IFS(K177="T2",TRUE)</formula>
    </cfRule>
  </conditionalFormatting>
  <conditionalFormatting sqref="D178:D186">
    <cfRule type="expression" priority="1487">
      <formula>_xlfn.IFS(K178="",TRUE)</formula>
    </cfRule>
    <cfRule type="expression" dxfId="507" priority="1488">
      <formula>_xlfn.IFS(K178="T1",TRUE)</formula>
    </cfRule>
  </conditionalFormatting>
  <conditionalFormatting sqref="E178:E186">
    <cfRule type="expression" priority="1485">
      <formula>_xlfn.IFS(L178="",TRUE)</formula>
    </cfRule>
    <cfRule type="expression" dxfId="506" priority="1486">
      <formula>_xlfn.IFS(K178="T2",TRUE)</formula>
    </cfRule>
  </conditionalFormatting>
  <conditionalFormatting sqref="D191">
    <cfRule type="expression" priority="1483">
      <formula>_xlfn.IFS(K191="",TRUE)</formula>
    </cfRule>
    <cfRule type="expression" dxfId="505" priority="1484">
      <formula>_xlfn.IFS(K191="T1",TRUE)</formula>
    </cfRule>
  </conditionalFormatting>
  <conditionalFormatting sqref="E191">
    <cfRule type="expression" priority="1481">
      <formula>_xlfn.IFS(L191="",TRUE)</formula>
    </cfRule>
    <cfRule type="expression" dxfId="504" priority="1482">
      <formula>_xlfn.IFS(K191="T2",TRUE)</formula>
    </cfRule>
  </conditionalFormatting>
  <conditionalFormatting sqref="D192:D200">
    <cfRule type="expression" priority="1479">
      <formula>_xlfn.IFS(K192="",TRUE)</formula>
    </cfRule>
    <cfRule type="expression" dxfId="503" priority="1480">
      <formula>_xlfn.IFS(K192="T1",TRUE)</formula>
    </cfRule>
  </conditionalFormatting>
  <conditionalFormatting sqref="E192:E200">
    <cfRule type="expression" priority="1477">
      <formula>_xlfn.IFS(L192="",TRUE)</formula>
    </cfRule>
    <cfRule type="expression" dxfId="502" priority="1478">
      <formula>_xlfn.IFS(K192="T2",TRUE)</formula>
    </cfRule>
  </conditionalFormatting>
  <conditionalFormatting sqref="D205">
    <cfRule type="expression" priority="1475">
      <formula>_xlfn.IFS(K205="",TRUE)</formula>
    </cfRule>
    <cfRule type="expression" dxfId="501" priority="1476">
      <formula>_xlfn.IFS(K205="T1",TRUE)</formula>
    </cfRule>
  </conditionalFormatting>
  <conditionalFormatting sqref="E205">
    <cfRule type="expression" priority="1473">
      <formula>_xlfn.IFS(L205="",TRUE)</formula>
    </cfRule>
    <cfRule type="expression" dxfId="500" priority="1474">
      <formula>_xlfn.IFS(K205="T2",TRUE)</formula>
    </cfRule>
  </conditionalFormatting>
  <conditionalFormatting sqref="D206:D214">
    <cfRule type="expression" priority="1471">
      <formula>_xlfn.IFS(K206="",TRUE)</formula>
    </cfRule>
    <cfRule type="expression" dxfId="499" priority="1472">
      <formula>_xlfn.IFS(K206="T1",TRUE)</formula>
    </cfRule>
  </conditionalFormatting>
  <conditionalFormatting sqref="E206:E214">
    <cfRule type="expression" priority="1469">
      <formula>_xlfn.IFS(L206="",TRUE)</formula>
    </cfRule>
    <cfRule type="expression" dxfId="498" priority="1470">
      <formula>_xlfn.IFS(K206="T2",TRUE)</formula>
    </cfRule>
  </conditionalFormatting>
  <conditionalFormatting sqref="D219">
    <cfRule type="expression" priority="1467">
      <formula>_xlfn.IFS(K219="",TRUE)</formula>
    </cfRule>
    <cfRule type="expression" dxfId="497" priority="1468">
      <formula>_xlfn.IFS(K219="T1",TRUE)</formula>
    </cfRule>
  </conditionalFormatting>
  <conditionalFormatting sqref="E219">
    <cfRule type="expression" priority="1465">
      <formula>_xlfn.IFS(L219="",TRUE)</formula>
    </cfRule>
    <cfRule type="expression" dxfId="496" priority="1466">
      <formula>_xlfn.IFS(K219="T2",TRUE)</formula>
    </cfRule>
  </conditionalFormatting>
  <conditionalFormatting sqref="D220:D228">
    <cfRule type="expression" priority="1463">
      <formula>_xlfn.IFS(K220="",TRUE)</formula>
    </cfRule>
    <cfRule type="expression" dxfId="495" priority="1464">
      <formula>_xlfn.IFS(K220="T1",TRUE)</formula>
    </cfRule>
  </conditionalFormatting>
  <conditionalFormatting sqref="E220:E228">
    <cfRule type="expression" priority="1461">
      <formula>_xlfn.IFS(L220="",TRUE)</formula>
    </cfRule>
    <cfRule type="expression" dxfId="494" priority="1462">
      <formula>_xlfn.IFS(K220="T2",TRUE)</formula>
    </cfRule>
  </conditionalFormatting>
  <conditionalFormatting sqref="D233">
    <cfRule type="expression" priority="1459">
      <formula>_xlfn.IFS(K233="",TRUE)</formula>
    </cfRule>
    <cfRule type="expression" dxfId="493" priority="1460">
      <formula>_xlfn.IFS(K233="T1",TRUE)</formula>
    </cfRule>
  </conditionalFormatting>
  <conditionalFormatting sqref="E233">
    <cfRule type="expression" priority="1457">
      <formula>_xlfn.IFS(L233="",TRUE)</formula>
    </cfRule>
    <cfRule type="expression" dxfId="492" priority="1458">
      <formula>_xlfn.IFS(K233="T2",TRUE)</formula>
    </cfRule>
  </conditionalFormatting>
  <conditionalFormatting sqref="D234:D242">
    <cfRule type="expression" priority="1455">
      <formula>_xlfn.IFS(K234="",TRUE)</formula>
    </cfRule>
    <cfRule type="expression" dxfId="491" priority="1456">
      <formula>_xlfn.IFS(K234="T1",TRUE)</formula>
    </cfRule>
  </conditionalFormatting>
  <conditionalFormatting sqref="E234:E242">
    <cfRule type="expression" priority="1453">
      <formula>_xlfn.IFS(L234="",TRUE)</formula>
    </cfRule>
    <cfRule type="expression" dxfId="490" priority="1454">
      <formula>_xlfn.IFS(K234="T2",TRUE)</formula>
    </cfRule>
  </conditionalFormatting>
  <conditionalFormatting sqref="D247">
    <cfRule type="expression" priority="1451">
      <formula>_xlfn.IFS(K247="",TRUE)</formula>
    </cfRule>
    <cfRule type="expression" dxfId="489" priority="1452">
      <formula>_xlfn.IFS(K247="T1",TRUE)</formula>
    </cfRule>
  </conditionalFormatting>
  <conditionalFormatting sqref="E247">
    <cfRule type="expression" priority="1449">
      <formula>_xlfn.IFS(L247="",TRUE)</formula>
    </cfRule>
    <cfRule type="expression" dxfId="488" priority="1450">
      <formula>_xlfn.IFS(K247="T2",TRUE)</formula>
    </cfRule>
  </conditionalFormatting>
  <conditionalFormatting sqref="D248:D256">
    <cfRule type="expression" priority="1447">
      <formula>_xlfn.IFS(K248="",TRUE)</formula>
    </cfRule>
    <cfRule type="expression" dxfId="487" priority="1448">
      <formula>_xlfn.IFS(K248="T1",TRUE)</formula>
    </cfRule>
  </conditionalFormatting>
  <conditionalFormatting sqref="E248:E256">
    <cfRule type="expression" priority="1445">
      <formula>_xlfn.IFS(L248="",TRUE)</formula>
    </cfRule>
    <cfRule type="expression" dxfId="486" priority="1446">
      <formula>_xlfn.IFS(K248="T2",TRUE)</formula>
    </cfRule>
  </conditionalFormatting>
  <conditionalFormatting sqref="D261">
    <cfRule type="expression" priority="1443">
      <formula>_xlfn.IFS(K261="",TRUE)</formula>
    </cfRule>
    <cfRule type="expression" dxfId="485" priority="1444">
      <formula>_xlfn.IFS(K261="T1",TRUE)</formula>
    </cfRule>
  </conditionalFormatting>
  <conditionalFormatting sqref="E261">
    <cfRule type="expression" priority="1441">
      <formula>_xlfn.IFS(L261="",TRUE)</formula>
    </cfRule>
    <cfRule type="expression" dxfId="484" priority="1442">
      <formula>_xlfn.IFS(K261="T2",TRUE)</formula>
    </cfRule>
  </conditionalFormatting>
  <conditionalFormatting sqref="D262:D270">
    <cfRule type="expression" priority="1439">
      <formula>_xlfn.IFS(K262="",TRUE)</formula>
    </cfRule>
    <cfRule type="expression" dxfId="483" priority="1440">
      <formula>_xlfn.IFS(K262="T1",TRUE)</formula>
    </cfRule>
  </conditionalFormatting>
  <conditionalFormatting sqref="E262:E270">
    <cfRule type="expression" priority="1437">
      <formula>_xlfn.IFS(L262="",TRUE)</formula>
    </cfRule>
    <cfRule type="expression" dxfId="482" priority="1438">
      <formula>_xlfn.IFS(K262="T2",TRUE)</formula>
    </cfRule>
  </conditionalFormatting>
  <conditionalFormatting sqref="D275">
    <cfRule type="expression" priority="1435">
      <formula>_xlfn.IFS(K275="",TRUE)</formula>
    </cfRule>
    <cfRule type="expression" dxfId="481" priority="1436">
      <formula>_xlfn.IFS(K275="T1",TRUE)</formula>
    </cfRule>
  </conditionalFormatting>
  <conditionalFormatting sqref="E275">
    <cfRule type="expression" priority="1433">
      <formula>_xlfn.IFS(L275="",TRUE)</formula>
    </cfRule>
    <cfRule type="expression" dxfId="480" priority="1434">
      <formula>_xlfn.IFS(K275="T2",TRUE)</formula>
    </cfRule>
  </conditionalFormatting>
  <conditionalFormatting sqref="D276:D284">
    <cfRule type="expression" priority="1431">
      <formula>_xlfn.IFS(K276="",TRUE)</formula>
    </cfRule>
    <cfRule type="expression" dxfId="479" priority="1432">
      <formula>_xlfn.IFS(K276="T1",TRUE)</formula>
    </cfRule>
  </conditionalFormatting>
  <conditionalFormatting sqref="E276:E284">
    <cfRule type="expression" priority="1429">
      <formula>_xlfn.IFS(L276="",TRUE)</formula>
    </cfRule>
    <cfRule type="expression" dxfId="478" priority="1430">
      <formula>_xlfn.IFS(K276="T2",TRUE)</formula>
    </cfRule>
  </conditionalFormatting>
  <conditionalFormatting sqref="D319">
    <cfRule type="expression" priority="1427">
      <formula>_xlfn.IFS(K319="",TRUE)</formula>
    </cfRule>
    <cfRule type="expression" dxfId="477" priority="1428">
      <formula>_xlfn.IFS(K319="T1",TRUE)</formula>
    </cfRule>
  </conditionalFormatting>
  <conditionalFormatting sqref="E319">
    <cfRule type="expression" priority="1425">
      <formula>_xlfn.IFS(L319="",TRUE)</formula>
    </cfRule>
    <cfRule type="expression" dxfId="476" priority="1426">
      <formula>_xlfn.IFS(K319="T2",TRUE)</formula>
    </cfRule>
  </conditionalFormatting>
  <conditionalFormatting sqref="D320:D328">
    <cfRule type="expression" priority="1423">
      <formula>_xlfn.IFS(K320="",TRUE)</formula>
    </cfRule>
    <cfRule type="expression" dxfId="475" priority="1424">
      <formula>_xlfn.IFS(K320="T1",TRUE)</formula>
    </cfRule>
  </conditionalFormatting>
  <conditionalFormatting sqref="E320:E328">
    <cfRule type="expression" priority="1421">
      <formula>_xlfn.IFS(L320="",TRUE)</formula>
    </cfRule>
    <cfRule type="expression" dxfId="474" priority="1422">
      <formula>_xlfn.IFS(K320="T2",TRUE)</formula>
    </cfRule>
  </conditionalFormatting>
  <conditionalFormatting sqref="D333">
    <cfRule type="expression" priority="1419">
      <formula>_xlfn.IFS(K333="",TRUE)</formula>
    </cfRule>
    <cfRule type="expression" dxfId="473" priority="1420">
      <formula>_xlfn.IFS(K333="T1",TRUE)</formula>
    </cfRule>
  </conditionalFormatting>
  <conditionalFormatting sqref="E333">
    <cfRule type="expression" priority="1417">
      <formula>_xlfn.IFS(L333="",TRUE)</formula>
    </cfRule>
    <cfRule type="expression" dxfId="472" priority="1418">
      <formula>_xlfn.IFS(K333="T2",TRUE)</formula>
    </cfRule>
  </conditionalFormatting>
  <conditionalFormatting sqref="D334:D342">
    <cfRule type="expression" priority="1415">
      <formula>_xlfn.IFS(K334="",TRUE)</formula>
    </cfRule>
    <cfRule type="expression" dxfId="471" priority="1416">
      <formula>_xlfn.IFS(K334="T1",TRUE)</formula>
    </cfRule>
  </conditionalFormatting>
  <conditionalFormatting sqref="E334:E342">
    <cfRule type="expression" priority="1413">
      <formula>_xlfn.IFS(L334="",TRUE)</formula>
    </cfRule>
    <cfRule type="expression" dxfId="470" priority="1414">
      <formula>_xlfn.IFS(K334="T2",TRUE)</formula>
    </cfRule>
  </conditionalFormatting>
  <conditionalFormatting sqref="D347">
    <cfRule type="expression" priority="1411">
      <formula>_xlfn.IFS(K347="",TRUE)</formula>
    </cfRule>
    <cfRule type="expression" dxfId="469" priority="1412">
      <formula>_xlfn.IFS(K347="T1",TRUE)</formula>
    </cfRule>
  </conditionalFormatting>
  <conditionalFormatting sqref="E347">
    <cfRule type="expression" priority="1409">
      <formula>_xlfn.IFS(L347="",TRUE)</formula>
    </cfRule>
    <cfRule type="expression" dxfId="468" priority="1410">
      <formula>_xlfn.IFS(K347="T2",TRUE)</formula>
    </cfRule>
  </conditionalFormatting>
  <conditionalFormatting sqref="D348:D356">
    <cfRule type="expression" priority="1407">
      <formula>_xlfn.IFS(K348="",TRUE)</formula>
    </cfRule>
    <cfRule type="expression" dxfId="467" priority="1408">
      <formula>_xlfn.IFS(K348="T1",TRUE)</formula>
    </cfRule>
  </conditionalFormatting>
  <conditionalFormatting sqref="E348:E356">
    <cfRule type="expression" priority="1405">
      <formula>_xlfn.IFS(L348="",TRUE)</formula>
    </cfRule>
    <cfRule type="expression" dxfId="466" priority="1406">
      <formula>_xlfn.IFS(K348="T2",TRUE)</formula>
    </cfRule>
  </conditionalFormatting>
  <conditionalFormatting sqref="D361">
    <cfRule type="expression" priority="1403">
      <formula>_xlfn.IFS(K361="",TRUE)</formula>
    </cfRule>
    <cfRule type="expression" dxfId="465" priority="1404">
      <formula>_xlfn.IFS(K361="T1",TRUE)</formula>
    </cfRule>
  </conditionalFormatting>
  <conditionalFormatting sqref="E361">
    <cfRule type="expression" priority="1401">
      <formula>_xlfn.IFS(L361="",TRUE)</formula>
    </cfRule>
    <cfRule type="expression" dxfId="464" priority="1402">
      <formula>_xlfn.IFS(K361="T2",TRUE)</formula>
    </cfRule>
  </conditionalFormatting>
  <conditionalFormatting sqref="D362:D370">
    <cfRule type="expression" priority="1399">
      <formula>_xlfn.IFS(K362="",TRUE)</formula>
    </cfRule>
    <cfRule type="expression" dxfId="463" priority="1400">
      <formula>_xlfn.IFS(K362="T1",TRUE)</formula>
    </cfRule>
  </conditionalFormatting>
  <conditionalFormatting sqref="E362:E370">
    <cfRule type="expression" priority="1397">
      <formula>_xlfn.IFS(L362="",TRUE)</formula>
    </cfRule>
    <cfRule type="expression" dxfId="462" priority="1398">
      <formula>_xlfn.IFS(K362="T2",TRUE)</formula>
    </cfRule>
  </conditionalFormatting>
  <conditionalFormatting sqref="D375">
    <cfRule type="expression" priority="1395">
      <formula>_xlfn.IFS(K375="",TRUE)</formula>
    </cfRule>
    <cfRule type="expression" dxfId="461" priority="1396">
      <formula>_xlfn.IFS(K375="T1",TRUE)</formula>
    </cfRule>
  </conditionalFormatting>
  <conditionalFormatting sqref="E375">
    <cfRule type="expression" priority="1393">
      <formula>_xlfn.IFS(L375="",TRUE)</formula>
    </cfRule>
    <cfRule type="expression" dxfId="460" priority="1394">
      <formula>_xlfn.IFS(K375="T2",TRUE)</formula>
    </cfRule>
  </conditionalFormatting>
  <conditionalFormatting sqref="D376:D384">
    <cfRule type="expression" priority="1391">
      <formula>_xlfn.IFS(K376="",TRUE)</formula>
    </cfRule>
    <cfRule type="expression" dxfId="459" priority="1392">
      <formula>_xlfn.IFS(K376="T1",TRUE)</formula>
    </cfRule>
  </conditionalFormatting>
  <conditionalFormatting sqref="E376:E384">
    <cfRule type="expression" priority="1389">
      <formula>_xlfn.IFS(L376="",TRUE)</formula>
    </cfRule>
    <cfRule type="expression" dxfId="458" priority="1390">
      <formula>_xlfn.IFS(K376="T2",TRUE)</formula>
    </cfRule>
  </conditionalFormatting>
  <conditionalFormatting sqref="G389:G395">
    <cfRule type="expression" priority="1387">
      <formula>_xlfn.IFS(K389="",TRUE)</formula>
    </cfRule>
    <cfRule type="expression" dxfId="457" priority="1388">
      <formula>_xlfn.IFS(K389="T1",TRUE)</formula>
    </cfRule>
  </conditionalFormatting>
  <conditionalFormatting sqref="H389:H395">
    <cfRule type="expression" priority="1385">
      <formula>_xlfn.IFS(L389="",TRUE)</formula>
    </cfRule>
    <cfRule type="expression" dxfId="456" priority="1386">
      <formula>_xlfn.IFS(K389="T2",TRUE)</formula>
    </cfRule>
  </conditionalFormatting>
  <conditionalFormatting sqref="D403">
    <cfRule type="expression" priority="1379">
      <formula>_xlfn.IFS(K403="",TRUE)</formula>
    </cfRule>
    <cfRule type="expression" dxfId="455" priority="1380">
      <formula>_xlfn.IFS(K403="T1",TRUE)</formula>
    </cfRule>
  </conditionalFormatting>
  <conditionalFormatting sqref="E403">
    <cfRule type="expression" priority="1377">
      <formula>_xlfn.IFS(L403="",TRUE)</formula>
    </cfRule>
    <cfRule type="expression" dxfId="454" priority="1378">
      <formula>_xlfn.IFS(K403="T2",TRUE)</formula>
    </cfRule>
  </conditionalFormatting>
  <conditionalFormatting sqref="D404:D412">
    <cfRule type="expression" priority="1375">
      <formula>_xlfn.IFS(K404="",TRUE)</formula>
    </cfRule>
    <cfRule type="expression" dxfId="453" priority="1376">
      <formula>_xlfn.IFS(K404="T1",TRUE)</formula>
    </cfRule>
  </conditionalFormatting>
  <conditionalFormatting sqref="E404:E412">
    <cfRule type="expression" priority="1373">
      <formula>_xlfn.IFS(L404="",TRUE)</formula>
    </cfRule>
    <cfRule type="expression" dxfId="452" priority="1374">
      <formula>_xlfn.IFS(K404="T2",TRUE)</formula>
    </cfRule>
  </conditionalFormatting>
  <conditionalFormatting sqref="D417">
    <cfRule type="expression" priority="1371">
      <formula>_xlfn.IFS(K417="",TRUE)</formula>
    </cfRule>
    <cfRule type="expression" dxfId="451" priority="1372">
      <formula>_xlfn.IFS(K417="T1",TRUE)</formula>
    </cfRule>
  </conditionalFormatting>
  <conditionalFormatting sqref="E417">
    <cfRule type="expression" priority="1369">
      <formula>_xlfn.IFS(L417="",TRUE)</formula>
    </cfRule>
    <cfRule type="expression" dxfId="450" priority="1370">
      <formula>_xlfn.IFS(K417="T2",TRUE)</formula>
    </cfRule>
  </conditionalFormatting>
  <conditionalFormatting sqref="D418:D426">
    <cfRule type="expression" priority="1367">
      <formula>_xlfn.IFS(K418="",TRUE)</formula>
    </cfRule>
    <cfRule type="expression" dxfId="449" priority="1368">
      <formula>_xlfn.IFS(K418="T1",TRUE)</formula>
    </cfRule>
  </conditionalFormatting>
  <conditionalFormatting sqref="E418:E426">
    <cfRule type="expression" priority="1365">
      <formula>_xlfn.IFS(L418="",TRUE)</formula>
    </cfRule>
    <cfRule type="expression" dxfId="448" priority="1366">
      <formula>_xlfn.IFS(K418="T2",TRUE)</formula>
    </cfRule>
  </conditionalFormatting>
  <conditionalFormatting sqref="D431">
    <cfRule type="expression" priority="1363">
      <formula>_xlfn.IFS(K431="",TRUE)</formula>
    </cfRule>
    <cfRule type="expression" dxfId="447" priority="1364">
      <formula>_xlfn.IFS(K431="T1",TRUE)</formula>
    </cfRule>
  </conditionalFormatting>
  <conditionalFormatting sqref="E431">
    <cfRule type="expression" priority="1361">
      <formula>_xlfn.IFS(L431="",TRUE)</formula>
    </cfRule>
    <cfRule type="expression" dxfId="446" priority="1362">
      <formula>_xlfn.IFS(K431="T2",TRUE)</formula>
    </cfRule>
  </conditionalFormatting>
  <conditionalFormatting sqref="D432:D440">
    <cfRule type="expression" priority="1359">
      <formula>_xlfn.IFS(K432="",TRUE)</formula>
    </cfRule>
    <cfRule type="expression" dxfId="445" priority="1360">
      <formula>_xlfn.IFS(K432="T1",TRUE)</formula>
    </cfRule>
  </conditionalFormatting>
  <conditionalFormatting sqref="E432:E440">
    <cfRule type="expression" priority="1357">
      <formula>_xlfn.IFS(L432="",TRUE)</formula>
    </cfRule>
    <cfRule type="expression" dxfId="444" priority="1358">
      <formula>_xlfn.IFS(K432="T2",TRUE)</formula>
    </cfRule>
  </conditionalFormatting>
  <conditionalFormatting sqref="D475">
    <cfRule type="expression" priority="1355">
      <formula>_xlfn.IFS(K475="",TRUE)</formula>
    </cfRule>
    <cfRule type="expression" dxfId="443" priority="1356">
      <formula>_xlfn.IFS(K475="T1",TRUE)</formula>
    </cfRule>
  </conditionalFormatting>
  <conditionalFormatting sqref="E475">
    <cfRule type="expression" priority="1353">
      <formula>_xlfn.IFS(L475="",TRUE)</formula>
    </cfRule>
    <cfRule type="expression" dxfId="442" priority="1354">
      <formula>_xlfn.IFS(K475="T2",TRUE)</formula>
    </cfRule>
  </conditionalFormatting>
  <conditionalFormatting sqref="D476:D484">
    <cfRule type="expression" priority="1351">
      <formula>_xlfn.IFS(K476="",TRUE)</formula>
    </cfRule>
    <cfRule type="expression" dxfId="441" priority="1352">
      <formula>_xlfn.IFS(K476="T1",TRUE)</formula>
    </cfRule>
  </conditionalFormatting>
  <conditionalFormatting sqref="E476:E484">
    <cfRule type="expression" priority="1349">
      <formula>_xlfn.IFS(L476="",TRUE)</formula>
    </cfRule>
    <cfRule type="expression" dxfId="440" priority="1350">
      <formula>_xlfn.IFS(K476="T2",TRUE)</formula>
    </cfRule>
  </conditionalFormatting>
  <conditionalFormatting sqref="D489">
    <cfRule type="expression" priority="1347">
      <formula>_xlfn.IFS(K489="",TRUE)</formula>
    </cfRule>
    <cfRule type="expression" dxfId="439" priority="1348">
      <formula>_xlfn.IFS(K489="T1",TRUE)</formula>
    </cfRule>
  </conditionalFormatting>
  <conditionalFormatting sqref="E489">
    <cfRule type="expression" priority="1345">
      <formula>_xlfn.IFS(L489="",TRUE)</formula>
    </cfRule>
    <cfRule type="expression" dxfId="438" priority="1346">
      <formula>_xlfn.IFS(K489="T2",TRUE)</formula>
    </cfRule>
  </conditionalFormatting>
  <conditionalFormatting sqref="D490:D498">
    <cfRule type="expression" priority="1343">
      <formula>_xlfn.IFS(K490="",TRUE)</formula>
    </cfRule>
    <cfRule type="expression" dxfId="437" priority="1344">
      <formula>_xlfn.IFS(K490="T1",TRUE)</formula>
    </cfRule>
  </conditionalFormatting>
  <conditionalFormatting sqref="E490:E498">
    <cfRule type="expression" priority="1341">
      <formula>_xlfn.IFS(L490="",TRUE)</formula>
    </cfRule>
    <cfRule type="expression" dxfId="436" priority="1342">
      <formula>_xlfn.IFS(K490="T2",TRUE)</formula>
    </cfRule>
  </conditionalFormatting>
  <conditionalFormatting sqref="D503">
    <cfRule type="expression" priority="1339">
      <formula>_xlfn.IFS(K503="",TRUE)</formula>
    </cfRule>
    <cfRule type="expression" dxfId="435" priority="1340">
      <formula>_xlfn.IFS(K503="T1",TRUE)</formula>
    </cfRule>
  </conditionalFormatting>
  <conditionalFormatting sqref="E503">
    <cfRule type="expression" priority="1337">
      <formula>_xlfn.IFS(L503="",TRUE)</formula>
    </cfRule>
    <cfRule type="expression" dxfId="434" priority="1338">
      <formula>_xlfn.IFS(K503="T2",TRUE)</formula>
    </cfRule>
  </conditionalFormatting>
  <conditionalFormatting sqref="D504:D512">
    <cfRule type="expression" priority="1335">
      <formula>_xlfn.IFS(K504="",TRUE)</formula>
    </cfRule>
    <cfRule type="expression" dxfId="433" priority="1336">
      <formula>_xlfn.IFS(K504="T1",TRUE)</formula>
    </cfRule>
  </conditionalFormatting>
  <conditionalFormatting sqref="E504:E512">
    <cfRule type="expression" priority="1333">
      <formula>_xlfn.IFS(L504="",TRUE)</formula>
    </cfRule>
    <cfRule type="expression" dxfId="432" priority="1334">
      <formula>_xlfn.IFS(K504="T2",TRUE)</formula>
    </cfRule>
  </conditionalFormatting>
  <conditionalFormatting sqref="D517">
    <cfRule type="expression" priority="1331">
      <formula>_xlfn.IFS(K517="",TRUE)</formula>
    </cfRule>
    <cfRule type="expression" dxfId="431" priority="1332">
      <formula>_xlfn.IFS(K517="T1",TRUE)</formula>
    </cfRule>
  </conditionalFormatting>
  <conditionalFormatting sqref="E517">
    <cfRule type="expression" priority="1329">
      <formula>_xlfn.IFS(L517="",TRUE)</formula>
    </cfRule>
    <cfRule type="expression" dxfId="430" priority="1330">
      <formula>_xlfn.IFS(K517="T2",TRUE)</formula>
    </cfRule>
  </conditionalFormatting>
  <conditionalFormatting sqref="D518:D526">
    <cfRule type="expression" priority="1327">
      <formula>_xlfn.IFS(K518="",TRUE)</formula>
    </cfRule>
    <cfRule type="expression" dxfId="429" priority="1328">
      <formula>_xlfn.IFS(K518="T1",TRUE)</formula>
    </cfRule>
  </conditionalFormatting>
  <conditionalFormatting sqref="E518:E526">
    <cfRule type="expression" priority="1325">
      <formula>_xlfn.IFS(L518="",TRUE)</formula>
    </cfRule>
    <cfRule type="expression" dxfId="428" priority="1326">
      <formula>_xlfn.IFS(K518="T2",TRUE)</formula>
    </cfRule>
  </conditionalFormatting>
  <conditionalFormatting sqref="D531">
    <cfRule type="expression" priority="1323">
      <formula>_xlfn.IFS(K531="",TRUE)</formula>
    </cfRule>
    <cfRule type="expression" dxfId="427" priority="1324">
      <formula>_xlfn.IFS(K531="T1",TRUE)</formula>
    </cfRule>
  </conditionalFormatting>
  <conditionalFormatting sqref="E531">
    <cfRule type="expression" priority="1321">
      <formula>_xlfn.IFS(L531="",TRUE)</formula>
    </cfRule>
    <cfRule type="expression" dxfId="426" priority="1322">
      <formula>_xlfn.IFS(K531="T2",TRUE)</formula>
    </cfRule>
  </conditionalFormatting>
  <conditionalFormatting sqref="D532:D540">
    <cfRule type="expression" priority="1319">
      <formula>_xlfn.IFS(K532="",TRUE)</formula>
    </cfRule>
    <cfRule type="expression" dxfId="425" priority="1320">
      <formula>_xlfn.IFS(K532="T1",TRUE)</formula>
    </cfRule>
  </conditionalFormatting>
  <conditionalFormatting sqref="E532:E540">
    <cfRule type="expression" priority="1317">
      <formula>_xlfn.IFS(L532="",TRUE)</formula>
    </cfRule>
    <cfRule type="expression" dxfId="424" priority="1318">
      <formula>_xlfn.IFS(K532="T2",TRUE)</formula>
    </cfRule>
  </conditionalFormatting>
  <conditionalFormatting sqref="D545">
    <cfRule type="expression" priority="1315">
      <formula>_xlfn.IFS(K545="",TRUE)</formula>
    </cfRule>
    <cfRule type="expression" dxfId="423" priority="1316">
      <formula>_xlfn.IFS(K545="T1",TRUE)</formula>
    </cfRule>
  </conditionalFormatting>
  <conditionalFormatting sqref="E545">
    <cfRule type="expression" priority="1313">
      <formula>_xlfn.IFS(L545="",TRUE)</formula>
    </cfRule>
    <cfRule type="expression" dxfId="422" priority="1314">
      <formula>_xlfn.IFS(K545="T2",TRUE)</formula>
    </cfRule>
  </conditionalFormatting>
  <conditionalFormatting sqref="D546:D554">
    <cfRule type="expression" priority="1311">
      <formula>_xlfn.IFS(K546="",TRUE)</formula>
    </cfRule>
    <cfRule type="expression" dxfId="421" priority="1312">
      <formula>_xlfn.IFS(K546="T1",TRUE)</formula>
    </cfRule>
  </conditionalFormatting>
  <conditionalFormatting sqref="E546:E554">
    <cfRule type="expression" priority="1309">
      <formula>_xlfn.IFS(L546="",TRUE)</formula>
    </cfRule>
    <cfRule type="expression" dxfId="420" priority="1310">
      <formula>_xlfn.IFS(K546="T2",TRUE)</formula>
    </cfRule>
  </conditionalFormatting>
  <conditionalFormatting sqref="D559">
    <cfRule type="expression" priority="1307">
      <formula>_xlfn.IFS(K559="",TRUE)</formula>
    </cfRule>
    <cfRule type="expression" dxfId="419" priority="1308">
      <formula>_xlfn.IFS(K559="T1",TRUE)</formula>
    </cfRule>
  </conditionalFormatting>
  <conditionalFormatting sqref="E559">
    <cfRule type="expression" priority="1305">
      <formula>_xlfn.IFS(L559="",TRUE)</formula>
    </cfRule>
    <cfRule type="expression" dxfId="418" priority="1306">
      <formula>_xlfn.IFS(K559="T2",TRUE)</formula>
    </cfRule>
  </conditionalFormatting>
  <conditionalFormatting sqref="D560:D568">
    <cfRule type="expression" priority="1303">
      <formula>_xlfn.IFS(K560="",TRUE)</formula>
    </cfRule>
    <cfRule type="expression" dxfId="417" priority="1304">
      <formula>_xlfn.IFS(K560="T1",TRUE)</formula>
    </cfRule>
  </conditionalFormatting>
  <conditionalFormatting sqref="E560:E568">
    <cfRule type="expression" priority="1301">
      <formula>_xlfn.IFS(L560="",TRUE)</formula>
    </cfRule>
    <cfRule type="expression" dxfId="416" priority="1302">
      <formula>_xlfn.IFS(K560="T2",TRUE)</formula>
    </cfRule>
  </conditionalFormatting>
  <conditionalFormatting sqref="D573">
    <cfRule type="expression" priority="1299">
      <formula>_xlfn.IFS(K573="",TRUE)</formula>
    </cfRule>
    <cfRule type="expression" dxfId="415" priority="1300">
      <formula>_xlfn.IFS(K573="T1",TRUE)</formula>
    </cfRule>
  </conditionalFormatting>
  <conditionalFormatting sqref="E573">
    <cfRule type="expression" priority="1297">
      <formula>_xlfn.IFS(L573="",TRUE)</formula>
    </cfRule>
    <cfRule type="expression" dxfId="414" priority="1298">
      <formula>_xlfn.IFS(K573="T2",TRUE)</formula>
    </cfRule>
  </conditionalFormatting>
  <conditionalFormatting sqref="D574:D582">
    <cfRule type="expression" priority="1295">
      <formula>_xlfn.IFS(K574="",TRUE)</formula>
    </cfRule>
    <cfRule type="expression" dxfId="413" priority="1296">
      <formula>_xlfn.IFS(K574="T1",TRUE)</formula>
    </cfRule>
  </conditionalFormatting>
  <conditionalFormatting sqref="E574:E582">
    <cfRule type="expression" priority="1293">
      <formula>_xlfn.IFS(L574="",TRUE)</formula>
    </cfRule>
    <cfRule type="expression" dxfId="412" priority="1294">
      <formula>_xlfn.IFS(K574="T2",TRUE)</formula>
    </cfRule>
  </conditionalFormatting>
  <conditionalFormatting sqref="D587">
    <cfRule type="expression" priority="1291">
      <formula>_xlfn.IFS(K587="",TRUE)</formula>
    </cfRule>
    <cfRule type="expression" dxfId="411" priority="1292">
      <formula>_xlfn.IFS(K587="T1",TRUE)</formula>
    </cfRule>
  </conditionalFormatting>
  <conditionalFormatting sqref="E587">
    <cfRule type="expression" priority="1289">
      <formula>_xlfn.IFS(L587="",TRUE)</formula>
    </cfRule>
    <cfRule type="expression" dxfId="410" priority="1290">
      <formula>_xlfn.IFS(K587="T2",TRUE)</formula>
    </cfRule>
  </conditionalFormatting>
  <conditionalFormatting sqref="D588:D596">
    <cfRule type="expression" priority="1287">
      <formula>_xlfn.IFS(K588="",TRUE)</formula>
    </cfRule>
    <cfRule type="expression" dxfId="409" priority="1288">
      <formula>_xlfn.IFS(K588="T1",TRUE)</formula>
    </cfRule>
  </conditionalFormatting>
  <conditionalFormatting sqref="E588:E596">
    <cfRule type="expression" priority="1285">
      <formula>_xlfn.IFS(L588="",TRUE)</formula>
    </cfRule>
    <cfRule type="expression" dxfId="408" priority="1286">
      <formula>_xlfn.IFS(K588="T2",TRUE)</formula>
    </cfRule>
  </conditionalFormatting>
  <conditionalFormatting sqref="O617:O622">
    <cfRule type="expression" dxfId="407" priority="1283">
      <formula>AND(NOT(K617=O617),NOT(O617=""))</formula>
    </cfRule>
    <cfRule type="expression" dxfId="406" priority="1284">
      <formula>AND((K617=O617),NOT(O617=""))</formula>
    </cfRule>
  </conditionalFormatting>
  <conditionalFormatting sqref="O617">
    <cfRule type="expression" priority="1282">
      <formula>(O617="")</formula>
    </cfRule>
  </conditionalFormatting>
  <conditionalFormatting sqref="O618">
    <cfRule type="expression" dxfId="405" priority="1131">
      <formula>IF(L618="NO BET", TRUE, FALSE)</formula>
    </cfRule>
    <cfRule type="expression" priority="1281">
      <formula>(O618="")</formula>
    </cfRule>
  </conditionalFormatting>
  <conditionalFormatting sqref="O619">
    <cfRule type="expression" priority="1280">
      <formula>(O619="")</formula>
    </cfRule>
  </conditionalFormatting>
  <conditionalFormatting sqref="O620">
    <cfRule type="expression" priority="1279">
      <formula>(O620="")</formula>
    </cfRule>
  </conditionalFormatting>
  <conditionalFormatting sqref="O621">
    <cfRule type="expression" priority="1278">
      <formula>(O621="")</formula>
    </cfRule>
  </conditionalFormatting>
  <conditionalFormatting sqref="O622">
    <cfRule type="expression" priority="1277">
      <formula>(O622="")</formula>
    </cfRule>
  </conditionalFormatting>
  <conditionalFormatting sqref="O618">
    <cfRule type="expression" priority="1276">
      <formula>(O618="")</formula>
    </cfRule>
  </conditionalFormatting>
  <conditionalFormatting sqref="O619">
    <cfRule type="expression" priority="1275">
      <formula>(O619="")</formula>
    </cfRule>
  </conditionalFormatting>
  <conditionalFormatting sqref="O620">
    <cfRule type="expression" priority="1274">
      <formula>(O620="")</formula>
    </cfRule>
  </conditionalFormatting>
  <conditionalFormatting sqref="O621">
    <cfRule type="expression" priority="1273">
      <formula>(O621="")</formula>
    </cfRule>
  </conditionalFormatting>
  <conditionalFormatting sqref="O622">
    <cfRule type="expression" priority="1272">
      <formula>(O622="")</formula>
    </cfRule>
  </conditionalFormatting>
  <conditionalFormatting sqref="L631:L637">
    <cfRule type="cellIs" dxfId="404" priority="1268" operator="between">
      <formula>0</formula>
      <formula>-100</formula>
    </cfRule>
    <cfRule type="cellIs" dxfId="403" priority="1269" operator="between">
      <formula>2</formula>
      <formula>100</formula>
    </cfRule>
    <cfRule type="cellIs" dxfId="402" priority="1270" operator="between">
      <formula>1</formula>
      <formula>2</formula>
    </cfRule>
    <cfRule type="cellIs" dxfId="401" priority="1271" operator="between">
      <formula>0</formula>
      <formula>1</formula>
    </cfRule>
  </conditionalFormatting>
  <conditionalFormatting sqref="L639:L640">
    <cfRule type="cellIs" dxfId="400" priority="1260" operator="between">
      <formula>0</formula>
      <formula>-100</formula>
    </cfRule>
    <cfRule type="cellIs" dxfId="399" priority="1261" operator="between">
      <formula>2</formula>
      <formula>100</formula>
    </cfRule>
    <cfRule type="cellIs" dxfId="398" priority="1262" operator="between">
      <formula>1</formula>
      <formula>2</formula>
    </cfRule>
    <cfRule type="cellIs" dxfId="397" priority="1263" operator="between">
      <formula>0</formula>
      <formula>1</formula>
    </cfRule>
  </conditionalFormatting>
  <conditionalFormatting sqref="L638">
    <cfRule type="cellIs" dxfId="396" priority="1264" operator="between">
      <formula>0</formula>
      <formula>-100</formula>
    </cfRule>
    <cfRule type="cellIs" dxfId="395" priority="1265" operator="between">
      <formula>2</formula>
      <formula>100</formula>
    </cfRule>
    <cfRule type="cellIs" dxfId="394" priority="1266" operator="between">
      <formula>1</formula>
      <formula>2</formula>
    </cfRule>
    <cfRule type="cellIs" dxfId="393" priority="1267" operator="between">
      <formula>0</formula>
      <formula>1</formula>
    </cfRule>
  </conditionalFormatting>
  <conditionalFormatting sqref="L617:L623">
    <cfRule type="cellIs" dxfId="392" priority="1256" operator="between">
      <formula>0</formula>
      <formula>-100</formula>
    </cfRule>
    <cfRule type="cellIs" dxfId="391" priority="1257" operator="between">
      <formula>2</formula>
      <formula>100</formula>
    </cfRule>
    <cfRule type="cellIs" dxfId="390" priority="1258" operator="between">
      <formula>1</formula>
      <formula>2</formula>
    </cfRule>
    <cfRule type="cellIs" dxfId="389" priority="1259" operator="between">
      <formula>0</formula>
      <formula>1</formula>
    </cfRule>
  </conditionalFormatting>
  <conditionalFormatting sqref="L625:L626">
    <cfRule type="cellIs" dxfId="388" priority="1248" operator="between">
      <formula>0</formula>
      <formula>-100</formula>
    </cfRule>
    <cfRule type="cellIs" dxfId="387" priority="1249" operator="between">
      <formula>2</formula>
      <formula>100</formula>
    </cfRule>
    <cfRule type="cellIs" dxfId="386" priority="1250" operator="between">
      <formula>1</formula>
      <formula>2</formula>
    </cfRule>
    <cfRule type="cellIs" dxfId="385" priority="1251" operator="between">
      <formula>0</formula>
      <formula>1</formula>
    </cfRule>
  </conditionalFormatting>
  <conditionalFormatting sqref="L624">
    <cfRule type="cellIs" dxfId="384" priority="1252" operator="between">
      <formula>0</formula>
      <formula>-100</formula>
    </cfRule>
    <cfRule type="cellIs" dxfId="383" priority="1253" operator="between">
      <formula>2</formula>
      <formula>100</formula>
    </cfRule>
    <cfRule type="cellIs" dxfId="382" priority="1254" operator="between">
      <formula>1</formula>
      <formula>2</formula>
    </cfRule>
    <cfRule type="cellIs" dxfId="381" priority="1255" operator="between">
      <formula>0</formula>
      <formula>1</formula>
    </cfRule>
  </conditionalFormatting>
  <conditionalFormatting sqref="L645:L651">
    <cfRule type="cellIs" dxfId="380" priority="1244" operator="between">
      <formula>0</formula>
      <formula>-100</formula>
    </cfRule>
    <cfRule type="cellIs" dxfId="379" priority="1245" operator="between">
      <formula>2</formula>
      <formula>100</formula>
    </cfRule>
    <cfRule type="cellIs" dxfId="378" priority="1246" operator="between">
      <formula>1</formula>
      <formula>2</formula>
    </cfRule>
    <cfRule type="cellIs" dxfId="377" priority="1247" operator="between">
      <formula>0</formula>
      <formula>1</formula>
    </cfRule>
  </conditionalFormatting>
  <conditionalFormatting sqref="L653:L654">
    <cfRule type="cellIs" dxfId="376" priority="1236" operator="between">
      <formula>0</formula>
      <formula>-100</formula>
    </cfRule>
    <cfRule type="cellIs" dxfId="375" priority="1237" operator="between">
      <formula>2</formula>
      <formula>100</formula>
    </cfRule>
    <cfRule type="cellIs" dxfId="374" priority="1238" operator="between">
      <formula>1</formula>
      <formula>2</formula>
    </cfRule>
    <cfRule type="cellIs" dxfId="373" priority="1239" operator="between">
      <formula>0</formula>
      <formula>1</formula>
    </cfRule>
  </conditionalFormatting>
  <conditionalFormatting sqref="L652">
    <cfRule type="cellIs" dxfId="372" priority="1240" operator="between">
      <formula>0</formula>
      <formula>-100</formula>
    </cfRule>
    <cfRule type="cellIs" dxfId="371" priority="1241" operator="between">
      <formula>2</formula>
      <formula>100</formula>
    </cfRule>
    <cfRule type="cellIs" dxfId="370" priority="1242" operator="between">
      <formula>1</formula>
      <formula>2</formula>
    </cfRule>
    <cfRule type="cellIs" dxfId="369" priority="1243" operator="between">
      <formula>0</formula>
      <formula>1</formula>
    </cfRule>
  </conditionalFormatting>
  <conditionalFormatting sqref="L659:L665">
    <cfRule type="cellIs" dxfId="368" priority="1232" operator="between">
      <formula>0</formula>
      <formula>-100</formula>
    </cfRule>
    <cfRule type="cellIs" dxfId="367" priority="1233" operator="between">
      <formula>2</formula>
      <formula>100</formula>
    </cfRule>
    <cfRule type="cellIs" dxfId="366" priority="1234" operator="between">
      <formula>1</formula>
      <formula>2</formula>
    </cfRule>
    <cfRule type="cellIs" dxfId="365" priority="1235" operator="between">
      <formula>0</formula>
      <formula>1</formula>
    </cfRule>
  </conditionalFormatting>
  <conditionalFormatting sqref="L667:L668">
    <cfRule type="cellIs" dxfId="364" priority="1224" operator="between">
      <formula>0</formula>
      <formula>-100</formula>
    </cfRule>
    <cfRule type="cellIs" dxfId="363" priority="1225" operator="between">
      <formula>2</formula>
      <formula>100</formula>
    </cfRule>
    <cfRule type="cellIs" dxfId="362" priority="1226" operator="between">
      <formula>1</formula>
      <formula>2</formula>
    </cfRule>
    <cfRule type="cellIs" dxfId="361" priority="1227" operator="between">
      <formula>0</formula>
      <formula>1</formula>
    </cfRule>
  </conditionalFormatting>
  <conditionalFormatting sqref="L666">
    <cfRule type="cellIs" dxfId="360" priority="1228" operator="between">
      <formula>0</formula>
      <formula>-100</formula>
    </cfRule>
    <cfRule type="cellIs" dxfId="359" priority="1229" operator="between">
      <formula>2</formula>
      <formula>100</formula>
    </cfRule>
    <cfRule type="cellIs" dxfId="358" priority="1230" operator="between">
      <formula>1</formula>
      <formula>2</formula>
    </cfRule>
    <cfRule type="cellIs" dxfId="357" priority="1231" operator="between">
      <formula>0</formula>
      <formula>1</formula>
    </cfRule>
  </conditionalFormatting>
  <conditionalFormatting sqref="L687:L693">
    <cfRule type="cellIs" dxfId="356" priority="1220" operator="between">
      <formula>0</formula>
      <formula>-100</formula>
    </cfRule>
    <cfRule type="cellIs" dxfId="355" priority="1221" operator="between">
      <formula>2</formula>
      <formula>100</formula>
    </cfRule>
    <cfRule type="cellIs" dxfId="354" priority="1222" operator="between">
      <formula>1</formula>
      <formula>2</formula>
    </cfRule>
    <cfRule type="cellIs" dxfId="353" priority="1223" operator="between">
      <formula>0</formula>
      <formula>1</formula>
    </cfRule>
  </conditionalFormatting>
  <conditionalFormatting sqref="L695:L696">
    <cfRule type="cellIs" dxfId="352" priority="1212" operator="between">
      <formula>0</formula>
      <formula>-100</formula>
    </cfRule>
    <cfRule type="cellIs" dxfId="351" priority="1213" operator="between">
      <formula>2</formula>
      <formula>100</formula>
    </cfRule>
    <cfRule type="cellIs" dxfId="350" priority="1214" operator="between">
      <formula>1</formula>
      <formula>2</formula>
    </cfRule>
    <cfRule type="cellIs" dxfId="349" priority="1215" operator="between">
      <formula>0</formula>
      <formula>1</formula>
    </cfRule>
  </conditionalFormatting>
  <conditionalFormatting sqref="L694">
    <cfRule type="cellIs" dxfId="348" priority="1216" operator="between">
      <formula>0</formula>
      <formula>-100</formula>
    </cfRule>
    <cfRule type="cellIs" dxfId="347" priority="1217" operator="between">
      <formula>2</formula>
      <formula>100</formula>
    </cfRule>
    <cfRule type="cellIs" dxfId="346" priority="1218" operator="between">
      <formula>1</formula>
      <formula>2</formula>
    </cfRule>
    <cfRule type="cellIs" dxfId="345" priority="1219" operator="between">
      <formula>0</formula>
      <formula>1</formula>
    </cfRule>
  </conditionalFormatting>
  <conditionalFormatting sqref="L701:L707">
    <cfRule type="cellIs" dxfId="344" priority="1196" operator="between">
      <formula>0</formula>
      <formula>-100</formula>
    </cfRule>
    <cfRule type="cellIs" dxfId="343" priority="1197" operator="between">
      <formula>2</formula>
      <formula>100</formula>
    </cfRule>
    <cfRule type="cellIs" dxfId="342" priority="1198" operator="between">
      <formula>1</formula>
      <formula>2</formula>
    </cfRule>
    <cfRule type="cellIs" dxfId="341" priority="1199" operator="between">
      <formula>0</formula>
      <formula>1</formula>
    </cfRule>
  </conditionalFormatting>
  <conditionalFormatting sqref="L709:L710">
    <cfRule type="cellIs" dxfId="340" priority="1188" operator="between">
      <formula>0</formula>
      <formula>-100</formula>
    </cfRule>
    <cfRule type="cellIs" dxfId="339" priority="1189" operator="between">
      <formula>2</formula>
      <formula>100</formula>
    </cfRule>
    <cfRule type="cellIs" dxfId="338" priority="1190" operator="between">
      <formula>1</formula>
      <formula>2</formula>
    </cfRule>
    <cfRule type="cellIs" dxfId="337" priority="1191" operator="between">
      <formula>0</formula>
      <formula>1</formula>
    </cfRule>
  </conditionalFormatting>
  <conditionalFormatting sqref="L708">
    <cfRule type="cellIs" dxfId="336" priority="1192" operator="between">
      <formula>0</formula>
      <formula>-100</formula>
    </cfRule>
    <cfRule type="cellIs" dxfId="335" priority="1193" operator="between">
      <formula>2</formula>
      <formula>100</formula>
    </cfRule>
    <cfRule type="cellIs" dxfId="334" priority="1194" operator="between">
      <formula>1</formula>
      <formula>2</formula>
    </cfRule>
    <cfRule type="cellIs" dxfId="333" priority="1195" operator="between">
      <formula>0</formula>
      <formula>1</formula>
    </cfRule>
  </conditionalFormatting>
  <conditionalFormatting sqref="L715:L721">
    <cfRule type="cellIs" dxfId="332" priority="1184" operator="between">
      <formula>0</formula>
      <formula>-100</formula>
    </cfRule>
    <cfRule type="cellIs" dxfId="331" priority="1185" operator="between">
      <formula>2</formula>
      <formula>100</formula>
    </cfRule>
    <cfRule type="cellIs" dxfId="330" priority="1186" operator="between">
      <formula>1</formula>
      <formula>2</formula>
    </cfRule>
    <cfRule type="cellIs" dxfId="329" priority="1187" operator="between">
      <formula>0</formula>
      <formula>1</formula>
    </cfRule>
  </conditionalFormatting>
  <conditionalFormatting sqref="L723:L724">
    <cfRule type="cellIs" dxfId="328" priority="1176" operator="between">
      <formula>0</formula>
      <formula>-100</formula>
    </cfRule>
    <cfRule type="cellIs" dxfId="327" priority="1177" operator="between">
      <formula>2</formula>
      <formula>100</formula>
    </cfRule>
    <cfRule type="cellIs" dxfId="326" priority="1178" operator="between">
      <formula>1</formula>
      <formula>2</formula>
    </cfRule>
    <cfRule type="cellIs" dxfId="325" priority="1179" operator="between">
      <formula>0</formula>
      <formula>1</formula>
    </cfRule>
  </conditionalFormatting>
  <conditionalFormatting sqref="L722">
    <cfRule type="cellIs" dxfId="324" priority="1180" operator="between">
      <formula>0</formula>
      <formula>-100</formula>
    </cfRule>
    <cfRule type="cellIs" dxfId="323" priority="1181" operator="between">
      <formula>2</formula>
      <formula>100</formula>
    </cfRule>
    <cfRule type="cellIs" dxfId="322" priority="1182" operator="between">
      <formula>1</formula>
      <formula>2</formula>
    </cfRule>
    <cfRule type="cellIs" dxfId="321" priority="1183" operator="between">
      <formula>0</formula>
      <formula>1</formula>
    </cfRule>
  </conditionalFormatting>
  <conditionalFormatting sqref="L729:L735">
    <cfRule type="cellIs" dxfId="320" priority="1172" operator="between">
      <formula>0</formula>
      <formula>-100</formula>
    </cfRule>
    <cfRule type="cellIs" dxfId="319" priority="1173" operator="between">
      <formula>2</formula>
      <formula>100</formula>
    </cfRule>
    <cfRule type="cellIs" dxfId="318" priority="1174" operator="between">
      <formula>1</formula>
      <formula>2</formula>
    </cfRule>
    <cfRule type="cellIs" dxfId="317" priority="1175" operator="between">
      <formula>0</formula>
      <formula>1</formula>
    </cfRule>
  </conditionalFormatting>
  <conditionalFormatting sqref="L737:L738">
    <cfRule type="cellIs" dxfId="316" priority="1164" operator="between">
      <formula>0</formula>
      <formula>-100</formula>
    </cfRule>
    <cfRule type="cellIs" dxfId="315" priority="1165" operator="between">
      <formula>2</formula>
      <formula>100</formula>
    </cfRule>
    <cfRule type="cellIs" dxfId="314" priority="1166" operator="between">
      <formula>1</formula>
      <formula>2</formula>
    </cfRule>
    <cfRule type="cellIs" dxfId="313" priority="1167" operator="between">
      <formula>0</formula>
      <formula>1</formula>
    </cfRule>
  </conditionalFormatting>
  <conditionalFormatting sqref="L736">
    <cfRule type="cellIs" dxfId="312" priority="1168" operator="between">
      <formula>0</formula>
      <formula>-100</formula>
    </cfRule>
    <cfRule type="cellIs" dxfId="311" priority="1169" operator="between">
      <formula>2</formula>
      <formula>100</formula>
    </cfRule>
    <cfRule type="cellIs" dxfId="310" priority="1170" operator="between">
      <formula>1</formula>
      <formula>2</formula>
    </cfRule>
    <cfRule type="cellIs" dxfId="309" priority="1171" operator="between">
      <formula>0</formula>
      <formula>1</formula>
    </cfRule>
  </conditionalFormatting>
  <conditionalFormatting sqref="L743:L749">
    <cfRule type="cellIs" dxfId="308" priority="1160" operator="between">
      <formula>0</formula>
      <formula>-100</formula>
    </cfRule>
    <cfRule type="cellIs" dxfId="307" priority="1161" operator="between">
      <formula>2</formula>
      <formula>100</formula>
    </cfRule>
    <cfRule type="cellIs" dxfId="306" priority="1162" operator="between">
      <formula>1</formula>
      <formula>2</formula>
    </cfRule>
    <cfRule type="cellIs" dxfId="305" priority="1163" operator="between">
      <formula>0</formula>
      <formula>1</formula>
    </cfRule>
  </conditionalFormatting>
  <conditionalFormatting sqref="L751:L752">
    <cfRule type="cellIs" dxfId="304" priority="1152" operator="between">
      <formula>0</formula>
      <formula>-100</formula>
    </cfRule>
    <cfRule type="cellIs" dxfId="303" priority="1153" operator="between">
      <formula>2</formula>
      <formula>100</formula>
    </cfRule>
    <cfRule type="cellIs" dxfId="302" priority="1154" operator="between">
      <formula>1</formula>
      <formula>2</formula>
    </cfRule>
    <cfRule type="cellIs" dxfId="301" priority="1155" operator="between">
      <formula>0</formula>
      <formula>1</formula>
    </cfRule>
  </conditionalFormatting>
  <conditionalFormatting sqref="L750">
    <cfRule type="cellIs" dxfId="300" priority="1156" operator="between">
      <formula>0</formula>
      <formula>-100</formula>
    </cfRule>
    <cfRule type="cellIs" dxfId="299" priority="1157" operator="between">
      <formula>2</formula>
      <formula>100</formula>
    </cfRule>
    <cfRule type="cellIs" dxfId="298" priority="1158" operator="between">
      <formula>1</formula>
      <formula>2</formula>
    </cfRule>
    <cfRule type="cellIs" dxfId="297" priority="1159" operator="between">
      <formula>0</formula>
      <formula>1</formula>
    </cfRule>
  </conditionalFormatting>
  <conditionalFormatting sqref="S617:S626">
    <cfRule type="containsText" dxfId="296" priority="1150" operator="containsText" text="a">
      <formula>NOT(ISERROR(SEARCH("a",S617)))</formula>
    </cfRule>
    <cfRule type="containsText" dxfId="295" priority="1151" operator="containsText" text="r">
      <formula>NOT(ISERROR(SEARCH("r",S617)))</formula>
    </cfRule>
  </conditionalFormatting>
  <conditionalFormatting sqref="S631:S640">
    <cfRule type="containsText" dxfId="294" priority="1148" operator="containsText" text="a">
      <formula>NOT(ISERROR(SEARCH("a",S631)))</formula>
    </cfRule>
    <cfRule type="containsText" dxfId="293" priority="1149" operator="containsText" text="r">
      <formula>NOT(ISERROR(SEARCH("r",S631)))</formula>
    </cfRule>
  </conditionalFormatting>
  <conditionalFormatting sqref="S645:S654">
    <cfRule type="containsText" dxfId="292" priority="1146" operator="containsText" text="a">
      <formula>NOT(ISERROR(SEARCH("a",S645)))</formula>
    </cfRule>
    <cfRule type="containsText" dxfId="291" priority="1147" operator="containsText" text="r">
      <formula>NOT(ISERROR(SEARCH("r",S645)))</formula>
    </cfRule>
  </conditionalFormatting>
  <conditionalFormatting sqref="S659:S668">
    <cfRule type="containsText" dxfId="290" priority="1144" operator="containsText" text="a">
      <formula>NOT(ISERROR(SEARCH("a",S659)))</formula>
    </cfRule>
    <cfRule type="containsText" dxfId="289" priority="1145" operator="containsText" text="r">
      <formula>NOT(ISERROR(SEARCH("r",S659)))</formula>
    </cfRule>
  </conditionalFormatting>
  <conditionalFormatting sqref="S673:S682">
    <cfRule type="containsText" dxfId="288" priority="1142" operator="containsText" text="a">
      <formula>NOT(ISERROR(SEARCH("a",S673)))</formula>
    </cfRule>
    <cfRule type="containsText" dxfId="287" priority="1143" operator="containsText" text="r">
      <formula>NOT(ISERROR(SEARCH("r",S673)))</formula>
    </cfRule>
  </conditionalFormatting>
  <conditionalFormatting sqref="S701:S710">
    <cfRule type="containsText" dxfId="286" priority="1138" operator="containsText" text="a">
      <formula>NOT(ISERROR(SEARCH("a",S701)))</formula>
    </cfRule>
    <cfRule type="containsText" dxfId="285" priority="1139" operator="containsText" text="r">
      <formula>NOT(ISERROR(SEARCH("r",S701)))</formula>
    </cfRule>
  </conditionalFormatting>
  <conditionalFormatting sqref="S715:S724">
    <cfRule type="containsText" dxfId="284" priority="1136" operator="containsText" text="a">
      <formula>NOT(ISERROR(SEARCH("a",S715)))</formula>
    </cfRule>
    <cfRule type="containsText" dxfId="283" priority="1137" operator="containsText" text="r">
      <formula>NOT(ISERROR(SEARCH("r",S715)))</formula>
    </cfRule>
  </conditionalFormatting>
  <conditionalFormatting sqref="S729:S738">
    <cfRule type="containsText" dxfId="282" priority="1134" operator="containsText" text="a">
      <formula>NOT(ISERROR(SEARCH("a",S729)))</formula>
    </cfRule>
    <cfRule type="containsText" dxfId="281" priority="1135" operator="containsText" text="r">
      <formula>NOT(ISERROR(SEARCH("r",S729)))</formula>
    </cfRule>
  </conditionalFormatting>
  <conditionalFormatting sqref="S743:S752">
    <cfRule type="containsText" dxfId="280" priority="1132" operator="containsText" text="a">
      <formula>NOT(ISERROR(SEARCH("a",S743)))</formula>
    </cfRule>
    <cfRule type="containsText" dxfId="279" priority="1133" operator="containsText" text="r">
      <formula>NOT(ISERROR(SEARCH("r",S743)))</formula>
    </cfRule>
  </conditionalFormatting>
  <conditionalFormatting sqref="O617">
    <cfRule type="expression" dxfId="278" priority="1128">
      <formula>IF(L617="NO BET", TRUE, FALSE)</formula>
    </cfRule>
    <cfRule type="expression" priority="1130">
      <formula>(O617="")</formula>
    </cfRule>
  </conditionalFormatting>
  <conditionalFormatting sqref="O617">
    <cfRule type="expression" priority="1129">
      <formula>(O617="")</formula>
    </cfRule>
  </conditionalFormatting>
  <conditionalFormatting sqref="O619">
    <cfRule type="expression" priority="1127">
      <formula>(O619="")</formula>
    </cfRule>
  </conditionalFormatting>
  <conditionalFormatting sqref="O620">
    <cfRule type="expression" dxfId="277" priority="1124">
      <formula>IF(L620="NO BET", TRUE, FALSE)</formula>
    </cfRule>
    <cfRule type="expression" priority="1126">
      <formula>(O620="")</formula>
    </cfRule>
  </conditionalFormatting>
  <conditionalFormatting sqref="O620">
    <cfRule type="expression" priority="1125">
      <formula>(O620="")</formula>
    </cfRule>
  </conditionalFormatting>
  <conditionalFormatting sqref="O619">
    <cfRule type="expression" dxfId="276" priority="1121">
      <formula>IF(L619="NO BET", TRUE, FALSE)</formula>
    </cfRule>
    <cfRule type="expression" priority="1123">
      <formula>(O619="")</formula>
    </cfRule>
  </conditionalFormatting>
  <conditionalFormatting sqref="O619">
    <cfRule type="expression" priority="1122">
      <formula>(O619="")</formula>
    </cfRule>
  </conditionalFormatting>
  <conditionalFormatting sqref="O621">
    <cfRule type="expression" priority="1120">
      <formula>(O621="")</formula>
    </cfRule>
  </conditionalFormatting>
  <conditionalFormatting sqref="O622">
    <cfRule type="expression" dxfId="275" priority="1117">
      <formula>IF(L622="NO BET", TRUE, FALSE)</formula>
    </cfRule>
    <cfRule type="expression" priority="1119">
      <formula>(O622="")</formula>
    </cfRule>
  </conditionalFormatting>
  <conditionalFormatting sqref="O622">
    <cfRule type="expression" priority="1118">
      <formula>(O622="")</formula>
    </cfRule>
  </conditionalFormatting>
  <conditionalFormatting sqref="O621">
    <cfRule type="expression" dxfId="274" priority="1114">
      <formula>IF(L621="NO BET", TRUE, FALSE)</formula>
    </cfRule>
    <cfRule type="expression" priority="1116">
      <formula>(O621="")</formula>
    </cfRule>
  </conditionalFormatting>
  <conditionalFormatting sqref="O621">
    <cfRule type="expression" priority="1115">
      <formula>(O621="")</formula>
    </cfRule>
  </conditionalFormatting>
  <conditionalFormatting sqref="O623:O626">
    <cfRule type="expression" dxfId="273" priority="1112">
      <formula>AND(NOT(K623=O623),NOT(O623=""))</formula>
    </cfRule>
    <cfRule type="expression" dxfId="272" priority="1113">
      <formula>AND((K623=O623),NOT(O623=""))</formula>
    </cfRule>
  </conditionalFormatting>
  <conditionalFormatting sqref="O623">
    <cfRule type="expression" priority="1111">
      <formula>(O623="")</formula>
    </cfRule>
  </conditionalFormatting>
  <conditionalFormatting sqref="O624">
    <cfRule type="expression" dxfId="271" priority="1104">
      <formula>IF(L624="NO BET", TRUE, FALSE)</formula>
    </cfRule>
    <cfRule type="expression" priority="1110">
      <formula>(O624="")</formula>
    </cfRule>
  </conditionalFormatting>
  <conditionalFormatting sqref="O625">
    <cfRule type="expression" priority="1109">
      <formula>(O625="")</formula>
    </cfRule>
  </conditionalFormatting>
  <conditionalFormatting sqref="O626">
    <cfRule type="expression" priority="1108">
      <formula>(O626="")</formula>
    </cfRule>
  </conditionalFormatting>
  <conditionalFormatting sqref="O624">
    <cfRule type="expression" priority="1107">
      <formula>(O624="")</formula>
    </cfRule>
  </conditionalFormatting>
  <conditionalFormatting sqref="O625">
    <cfRule type="expression" priority="1106">
      <formula>(O625="")</formula>
    </cfRule>
  </conditionalFormatting>
  <conditionalFormatting sqref="O626">
    <cfRule type="expression" priority="1105">
      <formula>(O626="")</formula>
    </cfRule>
  </conditionalFormatting>
  <conditionalFormatting sqref="O623">
    <cfRule type="expression" dxfId="270" priority="1101">
      <formula>IF(L623="NO BET", TRUE, FALSE)</formula>
    </cfRule>
    <cfRule type="expression" priority="1103">
      <formula>(O623="")</formula>
    </cfRule>
  </conditionalFormatting>
  <conditionalFormatting sqref="O623">
    <cfRule type="expression" priority="1102">
      <formula>(O623="")</formula>
    </cfRule>
  </conditionalFormatting>
  <conditionalFormatting sqref="O625">
    <cfRule type="expression" priority="1100">
      <formula>(O625="")</formula>
    </cfRule>
  </conditionalFormatting>
  <conditionalFormatting sqref="O626">
    <cfRule type="expression" dxfId="269" priority="1097">
      <formula>IF(L626="NO BET", TRUE, FALSE)</formula>
    </cfRule>
    <cfRule type="expression" priority="1099">
      <formula>(O626="")</formula>
    </cfRule>
  </conditionalFormatting>
  <conditionalFormatting sqref="O626">
    <cfRule type="expression" priority="1098">
      <formula>(O626="")</formula>
    </cfRule>
  </conditionalFormatting>
  <conditionalFormatting sqref="O625">
    <cfRule type="expression" dxfId="268" priority="1094">
      <formula>IF(L625="NO BET", TRUE, FALSE)</formula>
    </cfRule>
    <cfRule type="expression" priority="1096">
      <formula>(O625="")</formula>
    </cfRule>
  </conditionalFormatting>
  <conditionalFormatting sqref="O625">
    <cfRule type="expression" priority="1095">
      <formula>(O625="")</formula>
    </cfRule>
  </conditionalFormatting>
  <conditionalFormatting sqref="O631:O636">
    <cfRule type="expression" dxfId="267" priority="1092">
      <formula>AND(NOT(K631=O631),NOT(O631=""))</formula>
    </cfRule>
    <cfRule type="expression" dxfId="266" priority="1093">
      <formula>AND((K631=O631),NOT(O631=""))</formula>
    </cfRule>
  </conditionalFormatting>
  <conditionalFormatting sqref="O631">
    <cfRule type="expression" priority="1091">
      <formula>(O631="")</formula>
    </cfRule>
  </conditionalFormatting>
  <conditionalFormatting sqref="O632">
    <cfRule type="expression" dxfId="265" priority="1080">
      <formula>IF(L632="NO BET", TRUE, FALSE)</formula>
    </cfRule>
    <cfRule type="expression" priority="1090">
      <formula>(O632="")</formula>
    </cfRule>
  </conditionalFormatting>
  <conditionalFormatting sqref="O633">
    <cfRule type="expression" priority="1089">
      <formula>(O633="")</formula>
    </cfRule>
  </conditionalFormatting>
  <conditionalFormatting sqref="O634">
    <cfRule type="expression" priority="1088">
      <formula>(O634="")</formula>
    </cfRule>
  </conditionalFormatting>
  <conditionalFormatting sqref="O635">
    <cfRule type="expression" priority="1087">
      <formula>(O635="")</formula>
    </cfRule>
  </conditionalFormatting>
  <conditionalFormatting sqref="O636">
    <cfRule type="expression" priority="1086">
      <formula>(O636="")</formula>
    </cfRule>
  </conditionalFormatting>
  <conditionalFormatting sqref="O632">
    <cfRule type="expression" priority="1085">
      <formula>(O632="")</formula>
    </cfRule>
  </conditionalFormatting>
  <conditionalFormatting sqref="O633">
    <cfRule type="expression" priority="1084">
      <formula>(O633="")</formula>
    </cfRule>
  </conditionalFormatting>
  <conditionalFormatting sqref="O634">
    <cfRule type="expression" priority="1083">
      <formula>(O634="")</formula>
    </cfRule>
  </conditionalFormatting>
  <conditionalFormatting sqref="O635">
    <cfRule type="expression" priority="1082">
      <formula>(O635="")</formula>
    </cfRule>
  </conditionalFormatting>
  <conditionalFormatting sqref="O636">
    <cfRule type="expression" priority="1081">
      <formula>(O636="")</formula>
    </cfRule>
  </conditionalFormatting>
  <conditionalFormatting sqref="O631">
    <cfRule type="expression" dxfId="264" priority="1077">
      <formula>IF(L631="NO BET", TRUE, FALSE)</formula>
    </cfRule>
    <cfRule type="expression" priority="1079">
      <formula>(O631="")</formula>
    </cfRule>
  </conditionalFormatting>
  <conditionalFormatting sqref="O631">
    <cfRule type="expression" priority="1078">
      <formula>(O631="")</formula>
    </cfRule>
  </conditionalFormatting>
  <conditionalFormatting sqref="O633">
    <cfRule type="expression" priority="1076">
      <formula>(O633="")</formula>
    </cfRule>
  </conditionalFormatting>
  <conditionalFormatting sqref="O634">
    <cfRule type="expression" dxfId="263" priority="1073">
      <formula>IF(L634="NO BET", TRUE, FALSE)</formula>
    </cfRule>
    <cfRule type="expression" priority="1075">
      <formula>(O634="")</formula>
    </cfRule>
  </conditionalFormatting>
  <conditionalFormatting sqref="O634">
    <cfRule type="expression" priority="1074">
      <formula>(O634="")</formula>
    </cfRule>
  </conditionalFormatting>
  <conditionalFormatting sqref="O633">
    <cfRule type="expression" dxfId="262" priority="1070">
      <formula>IF(L633="NO BET", TRUE, FALSE)</formula>
    </cfRule>
    <cfRule type="expression" priority="1072">
      <formula>(O633="")</formula>
    </cfRule>
  </conditionalFormatting>
  <conditionalFormatting sqref="O633">
    <cfRule type="expression" priority="1071">
      <formula>(O633="")</formula>
    </cfRule>
  </conditionalFormatting>
  <conditionalFormatting sqref="O635">
    <cfRule type="expression" priority="1069">
      <formula>(O635="")</formula>
    </cfRule>
  </conditionalFormatting>
  <conditionalFormatting sqref="O636">
    <cfRule type="expression" dxfId="261" priority="1066">
      <formula>IF(L636="NO BET", TRUE, FALSE)</formula>
    </cfRule>
    <cfRule type="expression" priority="1068">
      <formula>(O636="")</formula>
    </cfRule>
  </conditionalFormatting>
  <conditionalFormatting sqref="O636">
    <cfRule type="expression" priority="1067">
      <formula>(O636="")</formula>
    </cfRule>
  </conditionalFormatting>
  <conditionalFormatting sqref="O635">
    <cfRule type="expression" dxfId="260" priority="1063">
      <formula>IF(L635="NO BET", TRUE, FALSE)</formula>
    </cfRule>
    <cfRule type="expression" priority="1065">
      <formula>(O635="")</formula>
    </cfRule>
  </conditionalFormatting>
  <conditionalFormatting sqref="O635">
    <cfRule type="expression" priority="1064">
      <formula>(O635="")</formula>
    </cfRule>
  </conditionalFormatting>
  <conditionalFormatting sqref="O637:O640">
    <cfRule type="expression" dxfId="259" priority="1061">
      <formula>AND(NOT(K637=O637),NOT(O637=""))</formula>
    </cfRule>
    <cfRule type="expression" dxfId="258" priority="1062">
      <formula>AND((K637=O637),NOT(O637=""))</formula>
    </cfRule>
  </conditionalFormatting>
  <conditionalFormatting sqref="O637">
    <cfRule type="expression" priority="1060">
      <formula>(O637="")</formula>
    </cfRule>
  </conditionalFormatting>
  <conditionalFormatting sqref="O638">
    <cfRule type="expression" dxfId="257" priority="1053">
      <formula>IF(L638="NO BET", TRUE, FALSE)</formula>
    </cfRule>
    <cfRule type="expression" priority="1059">
      <formula>(O638="")</formula>
    </cfRule>
  </conditionalFormatting>
  <conditionalFormatting sqref="O639">
    <cfRule type="expression" priority="1058">
      <formula>(O639="")</formula>
    </cfRule>
  </conditionalFormatting>
  <conditionalFormatting sqref="O640">
    <cfRule type="expression" priority="1057">
      <formula>(O640="")</formula>
    </cfRule>
  </conditionalFormatting>
  <conditionalFormatting sqref="O638">
    <cfRule type="expression" priority="1056">
      <formula>(O638="")</formula>
    </cfRule>
  </conditionalFormatting>
  <conditionalFormatting sqref="O639">
    <cfRule type="expression" priority="1055">
      <formula>(O639="")</formula>
    </cfRule>
  </conditionalFormatting>
  <conditionalFormatting sqref="O640">
    <cfRule type="expression" priority="1054">
      <formula>(O640="")</formula>
    </cfRule>
  </conditionalFormatting>
  <conditionalFormatting sqref="O637">
    <cfRule type="expression" dxfId="256" priority="1050">
      <formula>IF(L637="NO BET", TRUE, FALSE)</formula>
    </cfRule>
    <cfRule type="expression" priority="1052">
      <formula>(O637="")</formula>
    </cfRule>
  </conditionalFormatting>
  <conditionalFormatting sqref="O637">
    <cfRule type="expression" priority="1051">
      <formula>(O637="")</formula>
    </cfRule>
  </conditionalFormatting>
  <conditionalFormatting sqref="O639">
    <cfRule type="expression" priority="1049">
      <formula>(O639="")</formula>
    </cfRule>
  </conditionalFormatting>
  <conditionalFormatting sqref="O640">
    <cfRule type="expression" dxfId="255" priority="1046">
      <formula>IF(L640="NO BET", TRUE, FALSE)</formula>
    </cfRule>
    <cfRule type="expression" priority="1048">
      <formula>(O640="")</formula>
    </cfRule>
  </conditionalFormatting>
  <conditionalFormatting sqref="O640">
    <cfRule type="expression" priority="1047">
      <formula>(O640="")</formula>
    </cfRule>
  </conditionalFormatting>
  <conditionalFormatting sqref="O639">
    <cfRule type="expression" dxfId="254" priority="1043">
      <formula>IF(L639="NO BET", TRUE, FALSE)</formula>
    </cfRule>
    <cfRule type="expression" priority="1045">
      <formula>(O639="")</formula>
    </cfRule>
  </conditionalFormatting>
  <conditionalFormatting sqref="O639">
    <cfRule type="expression" priority="1044">
      <formula>(O639="")</formula>
    </cfRule>
  </conditionalFormatting>
  <conditionalFormatting sqref="O645:O650">
    <cfRule type="expression" dxfId="253" priority="1041">
      <formula>AND(NOT(K645=O645),NOT(O645=""))</formula>
    </cfRule>
    <cfRule type="expression" dxfId="252" priority="1042">
      <formula>AND((K645=O645),NOT(O645=""))</formula>
    </cfRule>
  </conditionalFormatting>
  <conditionalFormatting sqref="O645">
    <cfRule type="expression" priority="1040">
      <formula>(O645="")</formula>
    </cfRule>
  </conditionalFormatting>
  <conditionalFormatting sqref="O646">
    <cfRule type="expression" dxfId="251" priority="1029">
      <formula>IF(L646="NO BET", TRUE, FALSE)</formula>
    </cfRule>
    <cfRule type="expression" priority="1039">
      <formula>(O646="")</formula>
    </cfRule>
  </conditionalFormatting>
  <conditionalFormatting sqref="O647">
    <cfRule type="expression" priority="1038">
      <formula>(O647="")</formula>
    </cfRule>
  </conditionalFormatting>
  <conditionalFormatting sqref="O648">
    <cfRule type="expression" priority="1037">
      <formula>(O648="")</formula>
    </cfRule>
  </conditionalFormatting>
  <conditionalFormatting sqref="O649">
    <cfRule type="expression" priority="1036">
      <formula>(O649="")</formula>
    </cfRule>
  </conditionalFormatting>
  <conditionalFormatting sqref="O650">
    <cfRule type="expression" priority="1035">
      <formula>(O650="")</formula>
    </cfRule>
  </conditionalFormatting>
  <conditionalFormatting sqref="O646">
    <cfRule type="expression" priority="1034">
      <formula>(O646="")</formula>
    </cfRule>
  </conditionalFormatting>
  <conditionalFormatting sqref="O647">
    <cfRule type="expression" priority="1033">
      <formula>(O647="")</formula>
    </cfRule>
  </conditionalFormatting>
  <conditionalFormatting sqref="O648">
    <cfRule type="expression" priority="1032">
      <formula>(O648="")</formula>
    </cfRule>
  </conditionalFormatting>
  <conditionalFormatting sqref="O649">
    <cfRule type="expression" priority="1031">
      <formula>(O649="")</formula>
    </cfRule>
  </conditionalFormatting>
  <conditionalFormatting sqref="O650">
    <cfRule type="expression" priority="1030">
      <formula>(O650="")</formula>
    </cfRule>
  </conditionalFormatting>
  <conditionalFormatting sqref="O645">
    <cfRule type="expression" dxfId="250" priority="1026">
      <formula>IF(L645="NO BET", TRUE, FALSE)</formula>
    </cfRule>
    <cfRule type="expression" priority="1028">
      <formula>(O645="")</formula>
    </cfRule>
  </conditionalFormatting>
  <conditionalFormatting sqref="O645">
    <cfRule type="expression" priority="1027">
      <formula>(O645="")</formula>
    </cfRule>
  </conditionalFormatting>
  <conditionalFormatting sqref="O647">
    <cfRule type="expression" priority="1025">
      <formula>(O647="")</formula>
    </cfRule>
  </conditionalFormatting>
  <conditionalFormatting sqref="O648">
    <cfRule type="expression" dxfId="249" priority="1022">
      <formula>IF(L648="NO BET", TRUE, FALSE)</formula>
    </cfRule>
    <cfRule type="expression" priority="1024">
      <formula>(O648="")</formula>
    </cfRule>
  </conditionalFormatting>
  <conditionalFormatting sqref="O648">
    <cfRule type="expression" priority="1023">
      <formula>(O648="")</formula>
    </cfRule>
  </conditionalFormatting>
  <conditionalFormatting sqref="O647">
    <cfRule type="expression" dxfId="248" priority="1019">
      <formula>IF(L647="NO BET", TRUE, FALSE)</formula>
    </cfRule>
    <cfRule type="expression" priority="1021">
      <formula>(O647="")</formula>
    </cfRule>
  </conditionalFormatting>
  <conditionalFormatting sqref="O647">
    <cfRule type="expression" priority="1020">
      <formula>(O647="")</formula>
    </cfRule>
  </conditionalFormatting>
  <conditionalFormatting sqref="O649">
    <cfRule type="expression" priority="1018">
      <formula>(O649="")</formula>
    </cfRule>
  </conditionalFormatting>
  <conditionalFormatting sqref="O650">
    <cfRule type="expression" dxfId="247" priority="1015">
      <formula>IF(L650="NO BET", TRUE, FALSE)</formula>
    </cfRule>
    <cfRule type="expression" priority="1017">
      <formula>(O650="")</formula>
    </cfRule>
  </conditionalFormatting>
  <conditionalFormatting sqref="O650">
    <cfRule type="expression" priority="1016">
      <formula>(O650="")</formula>
    </cfRule>
  </conditionalFormatting>
  <conditionalFormatting sqref="O649">
    <cfRule type="expression" dxfId="246" priority="1012">
      <formula>IF(L649="NO BET", TRUE, FALSE)</formula>
    </cfRule>
    <cfRule type="expression" priority="1014">
      <formula>(O649="")</formula>
    </cfRule>
  </conditionalFormatting>
  <conditionalFormatting sqref="O649">
    <cfRule type="expression" priority="1013">
      <formula>(O649="")</formula>
    </cfRule>
  </conditionalFormatting>
  <conditionalFormatting sqref="O651:O654">
    <cfRule type="expression" dxfId="245" priority="1010">
      <formula>AND(NOT(K651=O651),NOT(O651=""))</formula>
    </cfRule>
    <cfRule type="expression" dxfId="244" priority="1011">
      <formula>AND((K651=O651),NOT(O651=""))</formula>
    </cfRule>
  </conditionalFormatting>
  <conditionalFormatting sqref="O651">
    <cfRule type="expression" priority="1009">
      <formula>(O651="")</formula>
    </cfRule>
  </conditionalFormatting>
  <conditionalFormatting sqref="O652">
    <cfRule type="expression" dxfId="243" priority="1002">
      <formula>IF(L652="NO BET", TRUE, FALSE)</formula>
    </cfRule>
    <cfRule type="expression" priority="1008">
      <formula>(O652="")</formula>
    </cfRule>
  </conditionalFormatting>
  <conditionalFormatting sqref="O653">
    <cfRule type="expression" priority="1007">
      <formula>(O653="")</formula>
    </cfRule>
  </conditionalFormatting>
  <conditionalFormatting sqref="O654">
    <cfRule type="expression" priority="1006">
      <formula>(O654="")</formula>
    </cfRule>
  </conditionalFormatting>
  <conditionalFormatting sqref="O652">
    <cfRule type="expression" priority="1005">
      <formula>(O652="")</formula>
    </cfRule>
  </conditionalFormatting>
  <conditionalFormatting sqref="O653">
    <cfRule type="expression" priority="1004">
      <formula>(O653="")</formula>
    </cfRule>
  </conditionalFormatting>
  <conditionalFormatting sqref="O654">
    <cfRule type="expression" priority="1003">
      <formula>(O654="")</formula>
    </cfRule>
  </conditionalFormatting>
  <conditionalFormatting sqref="O651">
    <cfRule type="expression" dxfId="242" priority="999">
      <formula>IF(L651="NO BET", TRUE, FALSE)</formula>
    </cfRule>
    <cfRule type="expression" priority="1001">
      <formula>(O651="")</formula>
    </cfRule>
  </conditionalFormatting>
  <conditionalFormatting sqref="O651">
    <cfRule type="expression" priority="1000">
      <formula>(O651="")</formula>
    </cfRule>
  </conditionalFormatting>
  <conditionalFormatting sqref="O653">
    <cfRule type="expression" priority="998">
      <formula>(O653="")</formula>
    </cfRule>
  </conditionalFormatting>
  <conditionalFormatting sqref="O654">
    <cfRule type="expression" dxfId="241" priority="995">
      <formula>IF(L654="NO BET", TRUE, FALSE)</formula>
    </cfRule>
    <cfRule type="expression" priority="997">
      <formula>(O654="")</formula>
    </cfRule>
  </conditionalFormatting>
  <conditionalFormatting sqref="O654">
    <cfRule type="expression" priority="996">
      <formula>(O654="")</formula>
    </cfRule>
  </conditionalFormatting>
  <conditionalFormatting sqref="O653">
    <cfRule type="expression" dxfId="240" priority="992">
      <formula>IF(L653="NO BET", TRUE, FALSE)</formula>
    </cfRule>
    <cfRule type="expression" priority="994">
      <formula>(O653="")</formula>
    </cfRule>
  </conditionalFormatting>
  <conditionalFormatting sqref="O653">
    <cfRule type="expression" priority="993">
      <formula>(O653="")</formula>
    </cfRule>
  </conditionalFormatting>
  <conditionalFormatting sqref="O659:O664">
    <cfRule type="expression" dxfId="239" priority="990">
      <formula>AND(NOT(K659=O659),NOT(O659=""))</formula>
    </cfRule>
    <cfRule type="expression" dxfId="238" priority="991">
      <formula>AND((K659=O659),NOT(O659=""))</formula>
    </cfRule>
  </conditionalFormatting>
  <conditionalFormatting sqref="O659">
    <cfRule type="expression" priority="989">
      <formula>(O659="")</formula>
    </cfRule>
  </conditionalFormatting>
  <conditionalFormatting sqref="O660">
    <cfRule type="expression" dxfId="237" priority="978">
      <formula>IF(L660="NO BET", TRUE, FALSE)</formula>
    </cfRule>
    <cfRule type="expression" priority="988">
      <formula>(O660="")</formula>
    </cfRule>
  </conditionalFormatting>
  <conditionalFormatting sqref="O661">
    <cfRule type="expression" priority="987">
      <formula>(O661="")</formula>
    </cfRule>
  </conditionalFormatting>
  <conditionalFormatting sqref="O662">
    <cfRule type="expression" priority="986">
      <formula>(O662="")</formula>
    </cfRule>
  </conditionalFormatting>
  <conditionalFormatting sqref="O663">
    <cfRule type="expression" priority="985">
      <formula>(O663="")</formula>
    </cfRule>
  </conditionalFormatting>
  <conditionalFormatting sqref="O664">
    <cfRule type="expression" priority="984">
      <formula>(O664="")</formula>
    </cfRule>
  </conditionalFormatting>
  <conditionalFormatting sqref="O660">
    <cfRule type="expression" priority="983">
      <formula>(O660="")</formula>
    </cfRule>
  </conditionalFormatting>
  <conditionalFormatting sqref="O661">
    <cfRule type="expression" priority="982">
      <formula>(O661="")</formula>
    </cfRule>
  </conditionalFormatting>
  <conditionalFormatting sqref="O662">
    <cfRule type="expression" priority="981">
      <formula>(O662="")</formula>
    </cfRule>
  </conditionalFormatting>
  <conditionalFormatting sqref="O663">
    <cfRule type="expression" priority="980">
      <formula>(O663="")</formula>
    </cfRule>
  </conditionalFormatting>
  <conditionalFormatting sqref="O664">
    <cfRule type="expression" priority="979">
      <formula>(O664="")</formula>
    </cfRule>
  </conditionalFormatting>
  <conditionalFormatting sqref="O659">
    <cfRule type="expression" dxfId="236" priority="975">
      <formula>IF(L659="NO BET", TRUE, FALSE)</formula>
    </cfRule>
    <cfRule type="expression" priority="977">
      <formula>(O659="")</formula>
    </cfRule>
  </conditionalFormatting>
  <conditionalFormatting sqref="O659">
    <cfRule type="expression" priority="976">
      <formula>(O659="")</formula>
    </cfRule>
  </conditionalFormatting>
  <conditionalFormatting sqref="O661">
    <cfRule type="expression" priority="974">
      <formula>(O661="")</formula>
    </cfRule>
  </conditionalFormatting>
  <conditionalFormatting sqref="O662">
    <cfRule type="expression" dxfId="235" priority="971">
      <formula>IF(L662="NO BET", TRUE, FALSE)</formula>
    </cfRule>
    <cfRule type="expression" priority="973">
      <formula>(O662="")</formula>
    </cfRule>
  </conditionalFormatting>
  <conditionalFormatting sqref="O662">
    <cfRule type="expression" priority="972">
      <formula>(O662="")</formula>
    </cfRule>
  </conditionalFormatting>
  <conditionalFormatting sqref="O661">
    <cfRule type="expression" dxfId="234" priority="968">
      <formula>IF(L661="NO BET", TRUE, FALSE)</formula>
    </cfRule>
    <cfRule type="expression" priority="970">
      <formula>(O661="")</formula>
    </cfRule>
  </conditionalFormatting>
  <conditionalFormatting sqref="O661">
    <cfRule type="expression" priority="969">
      <formula>(O661="")</formula>
    </cfRule>
  </conditionalFormatting>
  <conditionalFormatting sqref="O663">
    <cfRule type="expression" priority="967">
      <formula>(O663="")</formula>
    </cfRule>
  </conditionalFormatting>
  <conditionalFormatting sqref="O664">
    <cfRule type="expression" dxfId="233" priority="964">
      <formula>IF(L664="NO BET", TRUE, FALSE)</formula>
    </cfRule>
    <cfRule type="expression" priority="966">
      <formula>(O664="")</formula>
    </cfRule>
  </conditionalFormatting>
  <conditionalFormatting sqref="O664">
    <cfRule type="expression" priority="965">
      <formula>(O664="")</formula>
    </cfRule>
  </conditionalFormatting>
  <conditionalFormatting sqref="O663">
    <cfRule type="expression" dxfId="232" priority="961">
      <formula>IF(L663="NO BET", TRUE, FALSE)</formula>
    </cfRule>
    <cfRule type="expression" priority="963">
      <formula>(O663="")</formula>
    </cfRule>
  </conditionalFormatting>
  <conditionalFormatting sqref="O663">
    <cfRule type="expression" priority="962">
      <formula>(O663="")</formula>
    </cfRule>
  </conditionalFormatting>
  <conditionalFormatting sqref="O665:O668">
    <cfRule type="expression" dxfId="231" priority="959">
      <formula>AND(NOT(K665=O665),NOT(O665=""))</formula>
    </cfRule>
    <cfRule type="expression" dxfId="230" priority="960">
      <formula>AND((K665=O665),NOT(O665=""))</formula>
    </cfRule>
  </conditionalFormatting>
  <conditionalFormatting sqref="O665">
    <cfRule type="expression" priority="958">
      <formula>(O665="")</formula>
    </cfRule>
  </conditionalFormatting>
  <conditionalFormatting sqref="O666">
    <cfRule type="expression" dxfId="229" priority="951">
      <formula>IF(L666="NO BET", TRUE, FALSE)</formula>
    </cfRule>
    <cfRule type="expression" priority="957">
      <formula>(O666="")</formula>
    </cfRule>
  </conditionalFormatting>
  <conditionalFormatting sqref="O667">
    <cfRule type="expression" priority="956">
      <formula>(O667="")</formula>
    </cfRule>
  </conditionalFormatting>
  <conditionalFormatting sqref="O668">
    <cfRule type="expression" priority="955">
      <formula>(O668="")</formula>
    </cfRule>
  </conditionalFormatting>
  <conditionalFormatting sqref="O666">
    <cfRule type="expression" priority="954">
      <formula>(O666="")</formula>
    </cfRule>
  </conditionalFormatting>
  <conditionalFormatting sqref="O667">
    <cfRule type="expression" priority="953">
      <formula>(O667="")</formula>
    </cfRule>
  </conditionalFormatting>
  <conditionalFormatting sqref="O668">
    <cfRule type="expression" priority="952">
      <formula>(O668="")</formula>
    </cfRule>
  </conditionalFormatting>
  <conditionalFormatting sqref="O665">
    <cfRule type="expression" dxfId="228" priority="948">
      <formula>IF(L665="NO BET", TRUE, FALSE)</formula>
    </cfRule>
    <cfRule type="expression" priority="950">
      <formula>(O665="")</formula>
    </cfRule>
  </conditionalFormatting>
  <conditionalFormatting sqref="O665">
    <cfRule type="expression" priority="949">
      <formula>(O665="")</formula>
    </cfRule>
  </conditionalFormatting>
  <conditionalFormatting sqref="O667">
    <cfRule type="expression" priority="947">
      <formula>(O667="")</formula>
    </cfRule>
  </conditionalFormatting>
  <conditionalFormatting sqref="O668">
    <cfRule type="expression" dxfId="227" priority="944">
      <formula>IF(L668="NO BET", TRUE, FALSE)</formula>
    </cfRule>
    <cfRule type="expression" priority="946">
      <formula>(O668="")</formula>
    </cfRule>
  </conditionalFormatting>
  <conditionalFormatting sqref="O668">
    <cfRule type="expression" priority="945">
      <formula>(O668="")</formula>
    </cfRule>
  </conditionalFormatting>
  <conditionalFormatting sqref="O667">
    <cfRule type="expression" dxfId="226" priority="941">
      <formula>IF(L667="NO BET", TRUE, FALSE)</formula>
    </cfRule>
    <cfRule type="expression" priority="943">
      <formula>(O667="")</formula>
    </cfRule>
  </conditionalFormatting>
  <conditionalFormatting sqref="O667">
    <cfRule type="expression" priority="942">
      <formula>(O667="")</formula>
    </cfRule>
  </conditionalFormatting>
  <conditionalFormatting sqref="O673">
    <cfRule type="expression" priority="938">
      <formula>(O673="")</formula>
    </cfRule>
  </conditionalFormatting>
  <conditionalFormatting sqref="O675">
    <cfRule type="expression" priority="936">
      <formula>(O675="")</formula>
    </cfRule>
  </conditionalFormatting>
  <conditionalFormatting sqref="O676">
    <cfRule type="expression" priority="935">
      <formula>(O676="")</formula>
    </cfRule>
  </conditionalFormatting>
  <conditionalFormatting sqref="O677">
    <cfRule type="expression" priority="934">
      <formula>(O677="")</formula>
    </cfRule>
  </conditionalFormatting>
  <conditionalFormatting sqref="O678">
    <cfRule type="expression" priority="933">
      <formula>(O678="")</formula>
    </cfRule>
  </conditionalFormatting>
  <conditionalFormatting sqref="O674">
    <cfRule type="expression" priority="932">
      <formula>(O674="")</formula>
    </cfRule>
  </conditionalFormatting>
  <conditionalFormatting sqref="O675">
    <cfRule type="expression" priority="931">
      <formula>(O675="")</formula>
    </cfRule>
  </conditionalFormatting>
  <conditionalFormatting sqref="O676">
    <cfRule type="expression" priority="930">
      <formula>(O676="")</formula>
    </cfRule>
  </conditionalFormatting>
  <conditionalFormatting sqref="O677">
    <cfRule type="expression" priority="929">
      <formula>(O677="")</formula>
    </cfRule>
  </conditionalFormatting>
  <conditionalFormatting sqref="O678">
    <cfRule type="expression" priority="928">
      <formula>(O678="")</formula>
    </cfRule>
  </conditionalFormatting>
  <conditionalFormatting sqref="O673">
    <cfRule type="expression" priority="925">
      <formula>(O673="")</formula>
    </cfRule>
  </conditionalFormatting>
  <conditionalFormatting sqref="O675">
    <cfRule type="expression" priority="923">
      <formula>(O675="")</formula>
    </cfRule>
  </conditionalFormatting>
  <conditionalFormatting sqref="O676">
    <cfRule type="expression" priority="921">
      <formula>(O676="")</formula>
    </cfRule>
  </conditionalFormatting>
  <conditionalFormatting sqref="O675">
    <cfRule type="expression" priority="918">
      <formula>(O675="")</formula>
    </cfRule>
  </conditionalFormatting>
  <conditionalFormatting sqref="O677">
    <cfRule type="expression" priority="916">
      <formula>(O677="")</formula>
    </cfRule>
  </conditionalFormatting>
  <conditionalFormatting sqref="O678">
    <cfRule type="expression" priority="914">
      <formula>(O678="")</formula>
    </cfRule>
  </conditionalFormatting>
  <conditionalFormatting sqref="O677">
    <cfRule type="expression" priority="911">
      <formula>(O677="")</formula>
    </cfRule>
  </conditionalFormatting>
  <conditionalFormatting sqref="O679">
    <cfRule type="expression" priority="907">
      <formula>(O679="")</formula>
    </cfRule>
  </conditionalFormatting>
  <conditionalFormatting sqref="O681">
    <cfRule type="expression" priority="905">
      <formula>(O681="")</formula>
    </cfRule>
  </conditionalFormatting>
  <conditionalFormatting sqref="O682">
    <cfRule type="expression" priority="904">
      <formula>(O682="")</formula>
    </cfRule>
  </conditionalFormatting>
  <conditionalFormatting sqref="O680">
    <cfRule type="expression" priority="903">
      <formula>(O680="")</formula>
    </cfRule>
  </conditionalFormatting>
  <conditionalFormatting sqref="O681">
    <cfRule type="expression" priority="902">
      <formula>(O681="")</formula>
    </cfRule>
  </conditionalFormatting>
  <conditionalFormatting sqref="O682">
    <cfRule type="expression" priority="901">
      <formula>(O682="")</formula>
    </cfRule>
  </conditionalFormatting>
  <conditionalFormatting sqref="O679">
    <cfRule type="expression" priority="898">
      <formula>(O679="")</formula>
    </cfRule>
  </conditionalFormatting>
  <conditionalFormatting sqref="O681">
    <cfRule type="expression" priority="896">
      <formula>(O681="")</formula>
    </cfRule>
  </conditionalFormatting>
  <conditionalFormatting sqref="O682">
    <cfRule type="expression" priority="894">
      <formula>(O682="")</formula>
    </cfRule>
  </conditionalFormatting>
  <conditionalFormatting sqref="O681">
    <cfRule type="expression" priority="891">
      <formula>(O681="")</formula>
    </cfRule>
  </conditionalFormatting>
  <conditionalFormatting sqref="O701:O706">
    <cfRule type="expression" dxfId="225" priority="837">
      <formula>AND(NOT(K701=O701),NOT(O701=""))</formula>
    </cfRule>
    <cfRule type="expression" dxfId="224" priority="838">
      <formula>AND((K701=O701),NOT(O701=""))</formula>
    </cfRule>
  </conditionalFormatting>
  <conditionalFormatting sqref="O701">
    <cfRule type="expression" priority="836">
      <formula>(O701="")</formula>
    </cfRule>
  </conditionalFormatting>
  <conditionalFormatting sqref="O702">
    <cfRule type="expression" dxfId="223" priority="825">
      <formula>IF(L702="NO BET", TRUE, FALSE)</formula>
    </cfRule>
    <cfRule type="expression" priority="835">
      <formula>(O702="")</formula>
    </cfRule>
  </conditionalFormatting>
  <conditionalFormatting sqref="O703">
    <cfRule type="expression" priority="834">
      <formula>(O703="")</formula>
    </cfRule>
  </conditionalFormatting>
  <conditionalFormatting sqref="O704">
    <cfRule type="expression" priority="833">
      <formula>(O704="")</formula>
    </cfRule>
  </conditionalFormatting>
  <conditionalFormatting sqref="O705">
    <cfRule type="expression" priority="832">
      <formula>(O705="")</formula>
    </cfRule>
  </conditionalFormatting>
  <conditionalFormatting sqref="O706">
    <cfRule type="expression" priority="831">
      <formula>(O706="")</formula>
    </cfRule>
  </conditionalFormatting>
  <conditionalFormatting sqref="O702">
    <cfRule type="expression" priority="830">
      <formula>(O702="")</formula>
    </cfRule>
  </conditionalFormatting>
  <conditionalFormatting sqref="O703">
    <cfRule type="expression" priority="829">
      <formula>(O703="")</formula>
    </cfRule>
  </conditionalFormatting>
  <conditionalFormatting sqref="O704">
    <cfRule type="expression" priority="828">
      <formula>(O704="")</formula>
    </cfRule>
  </conditionalFormatting>
  <conditionalFormatting sqref="O705">
    <cfRule type="expression" priority="827">
      <formula>(O705="")</formula>
    </cfRule>
  </conditionalFormatting>
  <conditionalFormatting sqref="O706">
    <cfRule type="expression" priority="826">
      <formula>(O706="")</formula>
    </cfRule>
  </conditionalFormatting>
  <conditionalFormatting sqref="O701">
    <cfRule type="expression" dxfId="222" priority="822">
      <formula>IF(L701="NO BET", TRUE, FALSE)</formula>
    </cfRule>
    <cfRule type="expression" priority="824">
      <formula>(O701="")</formula>
    </cfRule>
  </conditionalFormatting>
  <conditionalFormatting sqref="O701">
    <cfRule type="expression" priority="823">
      <formula>(O701="")</formula>
    </cfRule>
  </conditionalFormatting>
  <conditionalFormatting sqref="O703">
    <cfRule type="expression" priority="821">
      <formula>(O703="")</formula>
    </cfRule>
  </conditionalFormatting>
  <conditionalFormatting sqref="O704">
    <cfRule type="expression" dxfId="221" priority="818">
      <formula>IF(L704="NO BET", TRUE, FALSE)</formula>
    </cfRule>
    <cfRule type="expression" priority="820">
      <formula>(O704="")</formula>
    </cfRule>
  </conditionalFormatting>
  <conditionalFormatting sqref="O704">
    <cfRule type="expression" priority="819">
      <formula>(O704="")</formula>
    </cfRule>
  </conditionalFormatting>
  <conditionalFormatting sqref="O703">
    <cfRule type="expression" dxfId="220" priority="815">
      <formula>IF(L703="NO BET", TRUE, FALSE)</formula>
    </cfRule>
    <cfRule type="expression" priority="817">
      <formula>(O703="")</formula>
    </cfRule>
  </conditionalFormatting>
  <conditionalFormatting sqref="O703">
    <cfRule type="expression" priority="816">
      <formula>(O703="")</formula>
    </cfRule>
  </conditionalFormatting>
  <conditionalFormatting sqref="O705">
    <cfRule type="expression" priority="814">
      <formula>(O705="")</formula>
    </cfRule>
  </conditionalFormatting>
  <conditionalFormatting sqref="O706">
    <cfRule type="expression" dxfId="219" priority="811">
      <formula>IF(L706="NO BET", TRUE, FALSE)</formula>
    </cfRule>
    <cfRule type="expression" priority="813">
      <formula>(O706="")</formula>
    </cfRule>
  </conditionalFormatting>
  <conditionalFormatting sqref="O706">
    <cfRule type="expression" priority="812">
      <formula>(O706="")</formula>
    </cfRule>
  </conditionalFormatting>
  <conditionalFormatting sqref="O705">
    <cfRule type="expression" dxfId="218" priority="808">
      <formula>IF(L705="NO BET", TRUE, FALSE)</formula>
    </cfRule>
    <cfRule type="expression" priority="810">
      <formula>(O705="")</formula>
    </cfRule>
  </conditionalFormatting>
  <conditionalFormatting sqref="O705">
    <cfRule type="expression" priority="809">
      <formula>(O705="")</formula>
    </cfRule>
  </conditionalFormatting>
  <conditionalFormatting sqref="O707:O710">
    <cfRule type="expression" dxfId="217" priority="806">
      <formula>AND(NOT(K707=O707),NOT(O707=""))</formula>
    </cfRule>
    <cfRule type="expression" dxfId="216" priority="807">
      <formula>AND((K707=O707),NOT(O707=""))</formula>
    </cfRule>
  </conditionalFormatting>
  <conditionalFormatting sqref="O707">
    <cfRule type="expression" priority="805">
      <formula>(O707="")</formula>
    </cfRule>
  </conditionalFormatting>
  <conditionalFormatting sqref="O708">
    <cfRule type="expression" dxfId="215" priority="798">
      <formula>IF(L708="NO BET", TRUE, FALSE)</formula>
    </cfRule>
    <cfRule type="expression" priority="804">
      <formula>(O708="")</formula>
    </cfRule>
  </conditionalFormatting>
  <conditionalFormatting sqref="O709">
    <cfRule type="expression" priority="803">
      <formula>(O709="")</formula>
    </cfRule>
  </conditionalFormatting>
  <conditionalFormatting sqref="O710">
    <cfRule type="expression" priority="802">
      <formula>(O710="")</formula>
    </cfRule>
  </conditionalFormatting>
  <conditionalFormatting sqref="O708">
    <cfRule type="expression" priority="801">
      <formula>(O708="")</formula>
    </cfRule>
  </conditionalFormatting>
  <conditionalFormatting sqref="O709">
    <cfRule type="expression" priority="800">
      <formula>(O709="")</formula>
    </cfRule>
  </conditionalFormatting>
  <conditionalFormatting sqref="O710">
    <cfRule type="expression" priority="799">
      <formula>(O710="")</formula>
    </cfRule>
  </conditionalFormatting>
  <conditionalFormatting sqref="O707">
    <cfRule type="expression" dxfId="214" priority="795">
      <formula>IF(L707="NO BET", TRUE, FALSE)</formula>
    </cfRule>
    <cfRule type="expression" priority="797">
      <formula>(O707="")</formula>
    </cfRule>
  </conditionalFormatting>
  <conditionalFormatting sqref="O707">
    <cfRule type="expression" priority="796">
      <formula>(O707="")</formula>
    </cfRule>
  </conditionalFormatting>
  <conditionalFormatting sqref="O709">
    <cfRule type="expression" priority="794">
      <formula>(O709="")</formula>
    </cfRule>
  </conditionalFormatting>
  <conditionalFormatting sqref="O710">
    <cfRule type="expression" dxfId="213" priority="791">
      <formula>IF(L710="NO BET", TRUE, FALSE)</formula>
    </cfRule>
    <cfRule type="expression" priority="793">
      <formula>(O710="")</formula>
    </cfRule>
  </conditionalFormatting>
  <conditionalFormatting sqref="O710">
    <cfRule type="expression" priority="792">
      <formula>(O710="")</formula>
    </cfRule>
  </conditionalFormatting>
  <conditionalFormatting sqref="O709">
    <cfRule type="expression" dxfId="212" priority="788">
      <formula>IF(L709="NO BET", TRUE, FALSE)</formula>
    </cfRule>
    <cfRule type="expression" priority="790">
      <formula>(O709="")</formula>
    </cfRule>
  </conditionalFormatting>
  <conditionalFormatting sqref="O709">
    <cfRule type="expression" priority="789">
      <formula>(O709="")</formula>
    </cfRule>
  </conditionalFormatting>
  <conditionalFormatting sqref="O715:O720">
    <cfRule type="expression" dxfId="211" priority="786">
      <formula>AND(NOT(K715=O715),NOT(O715=""))</formula>
    </cfRule>
    <cfRule type="expression" dxfId="210" priority="787">
      <formula>AND((K715=O715),NOT(O715=""))</formula>
    </cfRule>
  </conditionalFormatting>
  <conditionalFormatting sqref="O715">
    <cfRule type="expression" priority="785">
      <formula>(O715="")</formula>
    </cfRule>
  </conditionalFormatting>
  <conditionalFormatting sqref="O716">
    <cfRule type="expression" dxfId="209" priority="774">
      <formula>IF(L716="NO BET", TRUE, FALSE)</formula>
    </cfRule>
    <cfRule type="expression" priority="784">
      <formula>(O716="")</formula>
    </cfRule>
  </conditionalFormatting>
  <conditionalFormatting sqref="O717">
    <cfRule type="expression" priority="783">
      <formula>(O717="")</formula>
    </cfRule>
  </conditionalFormatting>
  <conditionalFormatting sqref="O718">
    <cfRule type="expression" priority="782">
      <formula>(O718="")</formula>
    </cfRule>
  </conditionalFormatting>
  <conditionalFormatting sqref="O719">
    <cfRule type="expression" priority="781">
      <formula>(O719="")</formula>
    </cfRule>
  </conditionalFormatting>
  <conditionalFormatting sqref="O720">
    <cfRule type="expression" priority="780">
      <formula>(O720="")</formula>
    </cfRule>
  </conditionalFormatting>
  <conditionalFormatting sqref="O716">
    <cfRule type="expression" priority="779">
      <formula>(O716="")</formula>
    </cfRule>
  </conditionalFormatting>
  <conditionalFormatting sqref="O717">
    <cfRule type="expression" priority="778">
      <formula>(O717="")</formula>
    </cfRule>
  </conditionalFormatting>
  <conditionalFormatting sqref="O718">
    <cfRule type="expression" priority="777">
      <formula>(O718="")</formula>
    </cfRule>
  </conditionalFormatting>
  <conditionalFormatting sqref="O719">
    <cfRule type="expression" priority="776">
      <formula>(O719="")</formula>
    </cfRule>
  </conditionalFormatting>
  <conditionalFormatting sqref="O720">
    <cfRule type="expression" priority="775">
      <formula>(O720="")</formula>
    </cfRule>
  </conditionalFormatting>
  <conditionalFormatting sqref="O715">
    <cfRule type="expression" dxfId="208" priority="771">
      <formula>IF(L715="NO BET", TRUE, FALSE)</formula>
    </cfRule>
    <cfRule type="expression" priority="773">
      <formula>(O715="")</formula>
    </cfRule>
  </conditionalFormatting>
  <conditionalFormatting sqref="O715">
    <cfRule type="expression" priority="772">
      <formula>(O715="")</formula>
    </cfRule>
  </conditionalFormatting>
  <conditionalFormatting sqref="O717">
    <cfRule type="expression" priority="770">
      <formula>(O717="")</formula>
    </cfRule>
  </conditionalFormatting>
  <conditionalFormatting sqref="O718">
    <cfRule type="expression" dxfId="207" priority="767">
      <formula>IF(L718="NO BET", TRUE, FALSE)</formula>
    </cfRule>
    <cfRule type="expression" priority="769">
      <formula>(O718="")</formula>
    </cfRule>
  </conditionalFormatting>
  <conditionalFormatting sqref="O718">
    <cfRule type="expression" priority="768">
      <formula>(O718="")</formula>
    </cfRule>
  </conditionalFormatting>
  <conditionalFormatting sqref="O717">
    <cfRule type="expression" dxfId="206" priority="764">
      <formula>IF(L717="NO BET", TRUE, FALSE)</formula>
    </cfRule>
    <cfRule type="expression" priority="766">
      <formula>(O717="")</formula>
    </cfRule>
  </conditionalFormatting>
  <conditionalFormatting sqref="O717">
    <cfRule type="expression" priority="765">
      <formula>(O717="")</formula>
    </cfRule>
  </conditionalFormatting>
  <conditionalFormatting sqref="O719">
    <cfRule type="expression" priority="763">
      <formula>(O719="")</formula>
    </cfRule>
  </conditionalFormatting>
  <conditionalFormatting sqref="O720">
    <cfRule type="expression" dxfId="205" priority="760">
      <formula>IF(L720="NO BET", TRUE, FALSE)</formula>
    </cfRule>
    <cfRule type="expression" priority="762">
      <formula>(O720="")</formula>
    </cfRule>
  </conditionalFormatting>
  <conditionalFormatting sqref="O720">
    <cfRule type="expression" priority="761">
      <formula>(O720="")</formula>
    </cfRule>
  </conditionalFormatting>
  <conditionalFormatting sqref="O719">
    <cfRule type="expression" dxfId="204" priority="757">
      <formula>IF(L719="NO BET", TRUE, FALSE)</formula>
    </cfRule>
    <cfRule type="expression" priority="759">
      <formula>(O719="")</formula>
    </cfRule>
  </conditionalFormatting>
  <conditionalFormatting sqref="O719">
    <cfRule type="expression" priority="758">
      <formula>(O719="")</formula>
    </cfRule>
  </conditionalFormatting>
  <conditionalFormatting sqref="O721:O724">
    <cfRule type="expression" dxfId="203" priority="755">
      <formula>AND(NOT(K721=O721),NOT(O721=""))</formula>
    </cfRule>
    <cfRule type="expression" dxfId="202" priority="756">
      <formula>AND((K721=O721),NOT(O721=""))</formula>
    </cfRule>
  </conditionalFormatting>
  <conditionalFormatting sqref="O721">
    <cfRule type="expression" priority="754">
      <formula>(O721="")</formula>
    </cfRule>
  </conditionalFormatting>
  <conditionalFormatting sqref="O722">
    <cfRule type="expression" dxfId="201" priority="747">
      <formula>IF(L722="NO BET", TRUE, FALSE)</formula>
    </cfRule>
    <cfRule type="expression" priority="753">
      <formula>(O722="")</formula>
    </cfRule>
  </conditionalFormatting>
  <conditionalFormatting sqref="O723">
    <cfRule type="expression" priority="752">
      <formula>(O723="")</formula>
    </cfRule>
  </conditionalFormatting>
  <conditionalFormatting sqref="O724">
    <cfRule type="expression" priority="751">
      <formula>(O724="")</formula>
    </cfRule>
  </conditionalFormatting>
  <conditionalFormatting sqref="O722">
    <cfRule type="expression" priority="750">
      <formula>(O722="")</formula>
    </cfRule>
  </conditionalFormatting>
  <conditionalFormatting sqref="O723">
    <cfRule type="expression" priority="749">
      <formula>(O723="")</formula>
    </cfRule>
  </conditionalFormatting>
  <conditionalFormatting sqref="O724">
    <cfRule type="expression" priority="748">
      <formula>(O724="")</formula>
    </cfRule>
  </conditionalFormatting>
  <conditionalFormatting sqref="O721">
    <cfRule type="expression" dxfId="200" priority="744">
      <formula>IF(L721="NO BET", TRUE, FALSE)</formula>
    </cfRule>
    <cfRule type="expression" priority="746">
      <formula>(O721="")</formula>
    </cfRule>
  </conditionalFormatting>
  <conditionalFormatting sqref="O721">
    <cfRule type="expression" priority="745">
      <formula>(O721="")</formula>
    </cfRule>
  </conditionalFormatting>
  <conditionalFormatting sqref="O723">
    <cfRule type="expression" priority="743">
      <formula>(O723="")</formula>
    </cfRule>
  </conditionalFormatting>
  <conditionalFormatting sqref="O724">
    <cfRule type="expression" dxfId="199" priority="740">
      <formula>IF(L724="NO BET", TRUE, FALSE)</formula>
    </cfRule>
    <cfRule type="expression" priority="742">
      <formula>(O724="")</formula>
    </cfRule>
  </conditionalFormatting>
  <conditionalFormatting sqref="O724">
    <cfRule type="expression" priority="741">
      <formula>(O724="")</formula>
    </cfRule>
  </conditionalFormatting>
  <conditionalFormatting sqref="O723">
    <cfRule type="expression" dxfId="198" priority="737">
      <formula>IF(L723="NO BET", TRUE, FALSE)</formula>
    </cfRule>
    <cfRule type="expression" priority="739">
      <formula>(O723="")</formula>
    </cfRule>
  </conditionalFormatting>
  <conditionalFormatting sqref="O723">
    <cfRule type="expression" priority="738">
      <formula>(O723="")</formula>
    </cfRule>
  </conditionalFormatting>
  <conditionalFormatting sqref="O729:O734">
    <cfRule type="expression" dxfId="197" priority="735">
      <formula>AND(NOT(K729=O729),NOT(O729=""))</formula>
    </cfRule>
    <cfRule type="expression" dxfId="196" priority="736">
      <formula>AND((K729=O729),NOT(O729=""))</formula>
    </cfRule>
  </conditionalFormatting>
  <conditionalFormatting sqref="O729">
    <cfRule type="expression" priority="734">
      <formula>(O729="")</formula>
    </cfRule>
  </conditionalFormatting>
  <conditionalFormatting sqref="O730">
    <cfRule type="expression" dxfId="195" priority="723">
      <formula>IF(L730="NO BET", TRUE, FALSE)</formula>
    </cfRule>
    <cfRule type="expression" priority="733">
      <formula>(O730="")</formula>
    </cfRule>
  </conditionalFormatting>
  <conditionalFormatting sqref="O731">
    <cfRule type="expression" priority="732">
      <formula>(O731="")</formula>
    </cfRule>
  </conditionalFormatting>
  <conditionalFormatting sqref="O732">
    <cfRule type="expression" priority="731">
      <formula>(O732="")</formula>
    </cfRule>
  </conditionalFormatting>
  <conditionalFormatting sqref="O733">
    <cfRule type="expression" priority="730">
      <formula>(O733="")</formula>
    </cfRule>
  </conditionalFormatting>
  <conditionalFormatting sqref="O734">
    <cfRule type="expression" priority="729">
      <formula>(O734="")</formula>
    </cfRule>
  </conditionalFormatting>
  <conditionalFormatting sqref="O730">
    <cfRule type="expression" priority="728">
      <formula>(O730="")</formula>
    </cfRule>
  </conditionalFormatting>
  <conditionalFormatting sqref="O731">
    <cfRule type="expression" priority="727">
      <formula>(O731="")</formula>
    </cfRule>
  </conditionalFormatting>
  <conditionalFormatting sqref="O732">
    <cfRule type="expression" priority="726">
      <formula>(O732="")</formula>
    </cfRule>
  </conditionalFormatting>
  <conditionalFormatting sqref="O733">
    <cfRule type="expression" priority="725">
      <formula>(O733="")</formula>
    </cfRule>
  </conditionalFormatting>
  <conditionalFormatting sqref="O734">
    <cfRule type="expression" priority="724">
      <formula>(O734="")</formula>
    </cfRule>
  </conditionalFormatting>
  <conditionalFormatting sqref="O729">
    <cfRule type="expression" dxfId="194" priority="720">
      <formula>IF(L729="NO BET", TRUE, FALSE)</formula>
    </cfRule>
    <cfRule type="expression" priority="722">
      <formula>(O729="")</formula>
    </cfRule>
  </conditionalFormatting>
  <conditionalFormatting sqref="O729">
    <cfRule type="expression" priority="721">
      <formula>(O729="")</formula>
    </cfRule>
  </conditionalFormatting>
  <conditionalFormatting sqref="O731">
    <cfRule type="expression" priority="719">
      <formula>(O731="")</formula>
    </cfRule>
  </conditionalFormatting>
  <conditionalFormatting sqref="O732">
    <cfRule type="expression" dxfId="193" priority="716">
      <formula>IF(L732="NO BET", TRUE, FALSE)</formula>
    </cfRule>
    <cfRule type="expression" priority="718">
      <formula>(O732="")</formula>
    </cfRule>
  </conditionalFormatting>
  <conditionalFormatting sqref="O732">
    <cfRule type="expression" priority="717">
      <formula>(O732="")</formula>
    </cfRule>
  </conditionalFormatting>
  <conditionalFormatting sqref="O731">
    <cfRule type="expression" dxfId="192" priority="713">
      <formula>IF(L731="NO BET", TRUE, FALSE)</formula>
    </cfRule>
    <cfRule type="expression" priority="715">
      <formula>(O731="")</formula>
    </cfRule>
  </conditionalFormatting>
  <conditionalFormatting sqref="O731">
    <cfRule type="expression" priority="714">
      <formula>(O731="")</formula>
    </cfRule>
  </conditionalFormatting>
  <conditionalFormatting sqref="O733">
    <cfRule type="expression" priority="712">
      <formula>(O733="")</formula>
    </cfRule>
  </conditionalFormatting>
  <conditionalFormatting sqref="O734">
    <cfRule type="expression" dxfId="191" priority="709">
      <formula>IF(L734="NO BET", TRUE, FALSE)</formula>
    </cfRule>
    <cfRule type="expression" priority="711">
      <formula>(O734="")</formula>
    </cfRule>
  </conditionalFormatting>
  <conditionalFormatting sqref="O734">
    <cfRule type="expression" priority="710">
      <formula>(O734="")</formula>
    </cfRule>
  </conditionalFormatting>
  <conditionalFormatting sqref="O733">
    <cfRule type="expression" dxfId="190" priority="706">
      <formula>IF(L733="NO BET", TRUE, FALSE)</formula>
    </cfRule>
    <cfRule type="expression" priority="708">
      <formula>(O733="")</formula>
    </cfRule>
  </conditionalFormatting>
  <conditionalFormatting sqref="O733">
    <cfRule type="expression" priority="707">
      <formula>(O733="")</formula>
    </cfRule>
  </conditionalFormatting>
  <conditionalFormatting sqref="O735:O738">
    <cfRule type="expression" dxfId="189" priority="704">
      <formula>AND(NOT(K735=O735),NOT(O735=""))</formula>
    </cfRule>
    <cfRule type="expression" dxfId="188" priority="705">
      <formula>AND((K735=O735),NOT(O735=""))</formula>
    </cfRule>
  </conditionalFormatting>
  <conditionalFormatting sqref="O735">
    <cfRule type="expression" priority="703">
      <formula>(O735="")</formula>
    </cfRule>
  </conditionalFormatting>
  <conditionalFormatting sqref="O736">
    <cfRule type="expression" dxfId="187" priority="696">
      <formula>IF(L736="NO BET", TRUE, FALSE)</formula>
    </cfRule>
    <cfRule type="expression" priority="702">
      <formula>(O736="")</formula>
    </cfRule>
  </conditionalFormatting>
  <conditionalFormatting sqref="O737">
    <cfRule type="expression" priority="701">
      <formula>(O737="")</formula>
    </cfRule>
  </conditionalFormatting>
  <conditionalFormatting sqref="O738">
    <cfRule type="expression" priority="700">
      <formula>(O738="")</formula>
    </cfRule>
  </conditionalFormatting>
  <conditionalFormatting sqref="O736">
    <cfRule type="expression" priority="699">
      <formula>(O736="")</formula>
    </cfRule>
  </conditionalFormatting>
  <conditionalFormatting sqref="O737">
    <cfRule type="expression" priority="698">
      <formula>(O737="")</formula>
    </cfRule>
  </conditionalFormatting>
  <conditionalFormatting sqref="O738">
    <cfRule type="expression" priority="697">
      <formula>(O738="")</formula>
    </cfRule>
  </conditionalFormatting>
  <conditionalFormatting sqref="O735">
    <cfRule type="expression" dxfId="186" priority="693">
      <formula>IF(L735="NO BET", TRUE, FALSE)</formula>
    </cfRule>
    <cfRule type="expression" priority="695">
      <formula>(O735="")</formula>
    </cfRule>
  </conditionalFormatting>
  <conditionalFormatting sqref="O735">
    <cfRule type="expression" priority="694">
      <formula>(O735="")</formula>
    </cfRule>
  </conditionalFormatting>
  <conditionalFormatting sqref="O737">
    <cfRule type="expression" priority="692">
      <formula>(O737="")</formula>
    </cfRule>
  </conditionalFormatting>
  <conditionalFormatting sqref="O738">
    <cfRule type="expression" dxfId="185" priority="689">
      <formula>IF(L738="NO BET", TRUE, FALSE)</formula>
    </cfRule>
    <cfRule type="expression" priority="691">
      <formula>(O738="")</formula>
    </cfRule>
  </conditionalFormatting>
  <conditionalFormatting sqref="O738">
    <cfRule type="expression" priority="690">
      <formula>(O738="")</formula>
    </cfRule>
  </conditionalFormatting>
  <conditionalFormatting sqref="O737">
    <cfRule type="expression" dxfId="184" priority="686">
      <formula>IF(L737="NO BET", TRUE, FALSE)</formula>
    </cfRule>
    <cfRule type="expression" priority="688">
      <formula>(O737="")</formula>
    </cfRule>
  </conditionalFormatting>
  <conditionalFormatting sqref="O737">
    <cfRule type="expression" priority="687">
      <formula>(O737="")</formula>
    </cfRule>
  </conditionalFormatting>
  <conditionalFormatting sqref="O743:O748">
    <cfRule type="expression" dxfId="183" priority="684">
      <formula>AND(NOT(K743=O743),NOT(O743=""))</formula>
    </cfRule>
    <cfRule type="expression" dxfId="182" priority="685">
      <formula>AND((K743=O743),NOT(O743=""))</formula>
    </cfRule>
  </conditionalFormatting>
  <conditionalFormatting sqref="O743">
    <cfRule type="expression" priority="683">
      <formula>(O743="")</formula>
    </cfRule>
  </conditionalFormatting>
  <conditionalFormatting sqref="O744">
    <cfRule type="expression" dxfId="181" priority="672">
      <formula>IF(L744="NO BET", TRUE, FALSE)</formula>
    </cfRule>
    <cfRule type="expression" priority="682">
      <formula>(O744="")</formula>
    </cfRule>
  </conditionalFormatting>
  <conditionalFormatting sqref="O745">
    <cfRule type="expression" priority="681">
      <formula>(O745="")</formula>
    </cfRule>
  </conditionalFormatting>
  <conditionalFormatting sqref="O746">
    <cfRule type="expression" priority="680">
      <formula>(O746="")</formula>
    </cfRule>
  </conditionalFormatting>
  <conditionalFormatting sqref="O747">
    <cfRule type="expression" priority="679">
      <formula>(O747="")</formula>
    </cfRule>
  </conditionalFormatting>
  <conditionalFormatting sqref="O748">
    <cfRule type="expression" priority="678">
      <formula>(O748="")</formula>
    </cfRule>
  </conditionalFormatting>
  <conditionalFormatting sqref="O744">
    <cfRule type="expression" priority="677">
      <formula>(O744="")</formula>
    </cfRule>
  </conditionalFormatting>
  <conditionalFormatting sqref="O745">
    <cfRule type="expression" priority="676">
      <formula>(O745="")</formula>
    </cfRule>
  </conditionalFormatting>
  <conditionalFormatting sqref="O746">
    <cfRule type="expression" priority="675">
      <formula>(O746="")</formula>
    </cfRule>
  </conditionalFormatting>
  <conditionalFormatting sqref="O747">
    <cfRule type="expression" priority="674">
      <formula>(O747="")</formula>
    </cfRule>
  </conditionalFormatting>
  <conditionalFormatting sqref="O748">
    <cfRule type="expression" priority="673">
      <formula>(O748="")</formula>
    </cfRule>
  </conditionalFormatting>
  <conditionalFormatting sqref="O743">
    <cfRule type="expression" dxfId="180" priority="669">
      <formula>IF(L743="NO BET", TRUE, FALSE)</formula>
    </cfRule>
    <cfRule type="expression" priority="671">
      <formula>(O743="")</formula>
    </cfRule>
  </conditionalFormatting>
  <conditionalFormatting sqref="O743">
    <cfRule type="expression" priority="670">
      <formula>(O743="")</formula>
    </cfRule>
  </conditionalFormatting>
  <conditionalFormatting sqref="O745">
    <cfRule type="expression" priority="668">
      <formula>(O745="")</formula>
    </cfRule>
  </conditionalFormatting>
  <conditionalFormatting sqref="O746">
    <cfRule type="expression" dxfId="179" priority="665">
      <formula>IF(L746="NO BET", TRUE, FALSE)</formula>
    </cfRule>
    <cfRule type="expression" priority="667">
      <formula>(O746="")</formula>
    </cfRule>
  </conditionalFormatting>
  <conditionalFormatting sqref="O746">
    <cfRule type="expression" priority="666">
      <formula>(O746="")</formula>
    </cfRule>
  </conditionalFormatting>
  <conditionalFormatting sqref="O745">
    <cfRule type="expression" dxfId="178" priority="662">
      <formula>IF(L745="NO BET", TRUE, FALSE)</formula>
    </cfRule>
    <cfRule type="expression" priority="664">
      <formula>(O745="")</formula>
    </cfRule>
  </conditionalFormatting>
  <conditionalFormatting sqref="O745">
    <cfRule type="expression" priority="663">
      <formula>(O745="")</formula>
    </cfRule>
  </conditionalFormatting>
  <conditionalFormatting sqref="O747">
    <cfRule type="expression" priority="661">
      <formula>(O747="")</formula>
    </cfRule>
  </conditionalFormatting>
  <conditionalFormatting sqref="O748">
    <cfRule type="expression" dxfId="177" priority="658">
      <formula>IF(L748="NO BET", TRUE, FALSE)</formula>
    </cfRule>
    <cfRule type="expression" priority="660">
      <formula>(O748="")</formula>
    </cfRule>
  </conditionalFormatting>
  <conditionalFormatting sqref="O748">
    <cfRule type="expression" priority="659">
      <formula>(O748="")</formula>
    </cfRule>
  </conditionalFormatting>
  <conditionalFormatting sqref="O747">
    <cfRule type="expression" dxfId="176" priority="655">
      <formula>IF(L747="NO BET", TRUE, FALSE)</formula>
    </cfRule>
    <cfRule type="expression" priority="657">
      <formula>(O747="")</formula>
    </cfRule>
  </conditionalFormatting>
  <conditionalFormatting sqref="O747">
    <cfRule type="expression" priority="656">
      <formula>(O747="")</formula>
    </cfRule>
  </conditionalFormatting>
  <conditionalFormatting sqref="O749:O752">
    <cfRule type="expression" dxfId="175" priority="653">
      <formula>AND(NOT(K749=O749),NOT(O749=""))</formula>
    </cfRule>
    <cfRule type="expression" dxfId="174" priority="654">
      <formula>AND((K749=O749),NOT(O749=""))</formula>
    </cfRule>
  </conditionalFormatting>
  <conditionalFormatting sqref="O749">
    <cfRule type="expression" priority="652">
      <formula>(O749="")</formula>
    </cfRule>
  </conditionalFormatting>
  <conditionalFormatting sqref="O750">
    <cfRule type="expression" dxfId="173" priority="645">
      <formula>IF(L750="NO BET", TRUE, FALSE)</formula>
    </cfRule>
    <cfRule type="expression" priority="651">
      <formula>(O750="")</formula>
    </cfRule>
  </conditionalFormatting>
  <conditionalFormatting sqref="O751">
    <cfRule type="expression" priority="650">
      <formula>(O751="")</formula>
    </cfRule>
  </conditionalFormatting>
  <conditionalFormatting sqref="O752">
    <cfRule type="expression" priority="649">
      <formula>(O752="")</formula>
    </cfRule>
  </conditionalFormatting>
  <conditionalFormatting sqref="O750">
    <cfRule type="expression" priority="648">
      <formula>(O750="")</formula>
    </cfRule>
  </conditionalFormatting>
  <conditionalFormatting sqref="O751">
    <cfRule type="expression" priority="647">
      <formula>(O751="")</formula>
    </cfRule>
  </conditionalFormatting>
  <conditionalFormatting sqref="O752">
    <cfRule type="expression" priority="646">
      <formula>(O752="")</formula>
    </cfRule>
  </conditionalFormatting>
  <conditionalFormatting sqref="O749">
    <cfRule type="expression" dxfId="172" priority="642">
      <formula>IF(L749="NO BET", TRUE, FALSE)</formula>
    </cfRule>
    <cfRule type="expression" priority="644">
      <formula>(O749="")</formula>
    </cfRule>
  </conditionalFormatting>
  <conditionalFormatting sqref="O749">
    <cfRule type="expression" priority="643">
      <formula>(O749="")</formula>
    </cfRule>
  </conditionalFormatting>
  <conditionalFormatting sqref="O751">
    <cfRule type="expression" priority="641">
      <formula>(O751="")</formula>
    </cfRule>
  </conditionalFormatting>
  <conditionalFormatting sqref="O752">
    <cfRule type="expression" dxfId="171" priority="638">
      <formula>IF(L752="NO BET", TRUE, FALSE)</formula>
    </cfRule>
    <cfRule type="expression" priority="640">
      <formula>(O752="")</formula>
    </cfRule>
  </conditionalFormatting>
  <conditionalFormatting sqref="O752">
    <cfRule type="expression" priority="639">
      <formula>(O752="")</formula>
    </cfRule>
  </conditionalFormatting>
  <conditionalFormatting sqref="O751">
    <cfRule type="expression" dxfId="170" priority="635">
      <formula>IF(L751="NO BET", TRUE, FALSE)</formula>
    </cfRule>
    <cfRule type="expression" priority="637">
      <formula>(O751="")</formula>
    </cfRule>
  </conditionalFormatting>
  <conditionalFormatting sqref="O751">
    <cfRule type="expression" priority="636">
      <formula>(O751="")</formula>
    </cfRule>
  </conditionalFormatting>
  <conditionalFormatting sqref="Q617:Q626">
    <cfRule type="expression" dxfId="169" priority="634">
      <formula>Q617=0</formula>
    </cfRule>
  </conditionalFormatting>
  <conditionalFormatting sqref="Q631:Q640">
    <cfRule type="expression" dxfId="168" priority="633">
      <formula>Q631=0</formula>
    </cfRule>
  </conditionalFormatting>
  <conditionalFormatting sqref="Q645:Q654">
    <cfRule type="expression" dxfId="167" priority="632">
      <formula>Q645=0</formula>
    </cfRule>
  </conditionalFormatting>
  <conditionalFormatting sqref="Q659:Q668">
    <cfRule type="expression" dxfId="166" priority="631">
      <formula>Q659=0</formula>
    </cfRule>
  </conditionalFormatting>
  <conditionalFormatting sqref="Q673:Q682">
    <cfRule type="expression" dxfId="165" priority="630">
      <formula>Q673=0</formula>
    </cfRule>
  </conditionalFormatting>
  <conditionalFormatting sqref="Q701:Q710">
    <cfRule type="expression" dxfId="164" priority="628">
      <formula>Q701=0</formula>
    </cfRule>
  </conditionalFormatting>
  <conditionalFormatting sqref="Q715:Q724">
    <cfRule type="expression" dxfId="163" priority="627">
      <formula>Q715=0</formula>
    </cfRule>
  </conditionalFormatting>
  <conditionalFormatting sqref="Q729:Q738">
    <cfRule type="expression" dxfId="162" priority="626">
      <formula>Q729=0</formula>
    </cfRule>
  </conditionalFormatting>
  <conditionalFormatting sqref="Q743:Q752">
    <cfRule type="expression" dxfId="161" priority="625">
      <formula>Q743=0</formula>
    </cfRule>
  </conditionalFormatting>
  <conditionalFormatting sqref="D631">
    <cfRule type="expression" priority="623">
      <formula>_xlfn.IFS(K631="",TRUE)</formula>
    </cfRule>
    <cfRule type="expression" dxfId="160" priority="624">
      <formula>_xlfn.IFS(K631="T1",TRUE)</formula>
    </cfRule>
  </conditionalFormatting>
  <conditionalFormatting sqref="E631">
    <cfRule type="expression" priority="621">
      <formula>_xlfn.IFS(L631="",TRUE)</formula>
    </cfRule>
    <cfRule type="expression" dxfId="159" priority="622">
      <formula>_xlfn.IFS(K631="T2",TRUE)</formula>
    </cfRule>
  </conditionalFormatting>
  <conditionalFormatting sqref="D632:D637">
    <cfRule type="expression" priority="619">
      <formula>_xlfn.IFS(K632="",TRUE)</formula>
    </cfRule>
    <cfRule type="expression" dxfId="158" priority="620">
      <formula>_xlfn.IFS(K632="T1",TRUE)</formula>
    </cfRule>
  </conditionalFormatting>
  <conditionalFormatting sqref="E632:E637">
    <cfRule type="expression" priority="617">
      <formula>_xlfn.IFS(L632="",TRUE)</formula>
    </cfRule>
    <cfRule type="expression" dxfId="157" priority="618">
      <formula>_xlfn.IFS(K632="T2",TRUE)</formula>
    </cfRule>
  </conditionalFormatting>
  <conditionalFormatting sqref="D645">
    <cfRule type="expression" priority="615">
      <formula>_xlfn.IFS(K645="",TRUE)</formula>
    </cfRule>
    <cfRule type="expression" dxfId="156" priority="616">
      <formula>_xlfn.IFS(K645="T1",TRUE)</formula>
    </cfRule>
  </conditionalFormatting>
  <conditionalFormatting sqref="E645">
    <cfRule type="expression" priority="613">
      <formula>_xlfn.IFS(L645="",TRUE)</formula>
    </cfRule>
    <cfRule type="expression" dxfId="155" priority="614">
      <formula>_xlfn.IFS(K645="T2",TRUE)</formula>
    </cfRule>
  </conditionalFormatting>
  <conditionalFormatting sqref="D646:D654">
    <cfRule type="expression" priority="611">
      <formula>_xlfn.IFS(K646="",TRUE)</formula>
    </cfRule>
    <cfRule type="expression" dxfId="154" priority="612">
      <formula>_xlfn.IFS(K646="T1",TRUE)</formula>
    </cfRule>
  </conditionalFormatting>
  <conditionalFormatting sqref="E646:E654">
    <cfRule type="expression" priority="609">
      <formula>_xlfn.IFS(L646="",TRUE)</formula>
    </cfRule>
    <cfRule type="expression" dxfId="153" priority="610">
      <formula>_xlfn.IFS(K646="T2",TRUE)</formula>
    </cfRule>
  </conditionalFormatting>
  <conditionalFormatting sqref="D659">
    <cfRule type="expression" priority="607">
      <formula>_xlfn.IFS(K659="",TRUE)</formula>
    </cfRule>
    <cfRule type="expression" dxfId="152" priority="608">
      <formula>_xlfn.IFS(K659="T1",TRUE)</formula>
    </cfRule>
  </conditionalFormatting>
  <conditionalFormatting sqref="E659">
    <cfRule type="expression" priority="605">
      <formula>_xlfn.IFS(L659="",TRUE)</formula>
    </cfRule>
    <cfRule type="expression" dxfId="151" priority="606">
      <formula>_xlfn.IFS(K659="T2",TRUE)</formula>
    </cfRule>
  </conditionalFormatting>
  <conditionalFormatting sqref="D660:D668">
    <cfRule type="expression" priority="603">
      <formula>_xlfn.IFS(K660="",TRUE)</formula>
    </cfRule>
    <cfRule type="expression" dxfId="150" priority="604">
      <formula>_xlfn.IFS(K660="T1",TRUE)</formula>
    </cfRule>
  </conditionalFormatting>
  <conditionalFormatting sqref="E660:E668">
    <cfRule type="expression" priority="601">
      <formula>_xlfn.IFS(L660="",TRUE)</formula>
    </cfRule>
    <cfRule type="expression" dxfId="149" priority="602">
      <formula>_xlfn.IFS(K660="T2",TRUE)</formula>
    </cfRule>
  </conditionalFormatting>
  <conditionalFormatting sqref="D687">
    <cfRule type="expression" priority="599">
      <formula>_xlfn.IFS(K687="",TRUE)</formula>
    </cfRule>
    <cfRule type="expression" dxfId="148" priority="600">
      <formula>_xlfn.IFS(K687="T1",TRUE)</formula>
    </cfRule>
  </conditionalFormatting>
  <conditionalFormatting sqref="E687">
    <cfRule type="expression" priority="597">
      <formula>_xlfn.IFS(L687="",TRUE)</formula>
    </cfRule>
    <cfRule type="expression" dxfId="147" priority="598">
      <formula>_xlfn.IFS(K687="T2",TRUE)</formula>
    </cfRule>
  </conditionalFormatting>
  <conditionalFormatting sqref="D688:D696">
    <cfRule type="expression" priority="595">
      <formula>_xlfn.IFS(K688="",TRUE)</formula>
    </cfRule>
    <cfRule type="expression" dxfId="146" priority="596">
      <formula>_xlfn.IFS(K688="T1",TRUE)</formula>
    </cfRule>
  </conditionalFormatting>
  <conditionalFormatting sqref="E688:E696">
    <cfRule type="expression" priority="593">
      <formula>_xlfn.IFS(L688="",TRUE)</formula>
    </cfRule>
    <cfRule type="expression" dxfId="145" priority="594">
      <formula>_xlfn.IFS(K688="T2",TRUE)</formula>
    </cfRule>
  </conditionalFormatting>
  <conditionalFormatting sqref="D701">
    <cfRule type="expression" priority="583">
      <formula>_xlfn.IFS(K701="",TRUE)</formula>
    </cfRule>
    <cfRule type="expression" dxfId="144" priority="584">
      <formula>_xlfn.IFS(K701="T1",TRUE)</formula>
    </cfRule>
  </conditionalFormatting>
  <conditionalFormatting sqref="E701">
    <cfRule type="expression" priority="581">
      <formula>_xlfn.IFS(L701="",TRUE)</formula>
    </cfRule>
    <cfRule type="expression" dxfId="143" priority="582">
      <formula>_xlfn.IFS(K701="T2",TRUE)</formula>
    </cfRule>
  </conditionalFormatting>
  <conditionalFormatting sqref="D702:D710">
    <cfRule type="expression" priority="579">
      <formula>_xlfn.IFS(K702="",TRUE)</formula>
    </cfRule>
    <cfRule type="expression" dxfId="142" priority="580">
      <formula>_xlfn.IFS(K702="T1",TRUE)</formula>
    </cfRule>
  </conditionalFormatting>
  <conditionalFormatting sqref="E702:E710">
    <cfRule type="expression" priority="577">
      <formula>_xlfn.IFS(L702="",TRUE)</formula>
    </cfRule>
    <cfRule type="expression" dxfId="141" priority="578">
      <formula>_xlfn.IFS(K702="T2",TRUE)</formula>
    </cfRule>
  </conditionalFormatting>
  <conditionalFormatting sqref="D715">
    <cfRule type="expression" priority="575">
      <formula>_xlfn.IFS(K715="",TRUE)</formula>
    </cfRule>
    <cfRule type="expression" dxfId="140" priority="576">
      <formula>_xlfn.IFS(K715="T1",TRUE)</formula>
    </cfRule>
  </conditionalFormatting>
  <conditionalFormatting sqref="E715">
    <cfRule type="expression" priority="573">
      <formula>_xlfn.IFS(L715="",TRUE)</formula>
    </cfRule>
    <cfRule type="expression" dxfId="139" priority="574">
      <formula>_xlfn.IFS(K715="T2",TRUE)</formula>
    </cfRule>
  </conditionalFormatting>
  <conditionalFormatting sqref="D716:D724">
    <cfRule type="expression" priority="571">
      <formula>_xlfn.IFS(K716="",TRUE)</formula>
    </cfRule>
    <cfRule type="expression" dxfId="138" priority="572">
      <formula>_xlfn.IFS(K716="T1",TRUE)</formula>
    </cfRule>
  </conditionalFormatting>
  <conditionalFormatting sqref="E716:E724">
    <cfRule type="expression" priority="569">
      <formula>_xlfn.IFS(L716="",TRUE)</formula>
    </cfRule>
    <cfRule type="expression" dxfId="137" priority="570">
      <formula>_xlfn.IFS(K716="T2",TRUE)</formula>
    </cfRule>
  </conditionalFormatting>
  <conditionalFormatting sqref="D729">
    <cfRule type="expression" priority="567">
      <formula>_xlfn.IFS(K729="",TRUE)</formula>
    </cfRule>
    <cfRule type="expression" dxfId="136" priority="568">
      <formula>_xlfn.IFS(K729="T1",TRUE)</formula>
    </cfRule>
  </conditionalFormatting>
  <conditionalFormatting sqref="E729">
    <cfRule type="expression" priority="565">
      <formula>_xlfn.IFS(L729="",TRUE)</formula>
    </cfRule>
    <cfRule type="expression" dxfId="135" priority="566">
      <formula>_xlfn.IFS(K729="T2",TRUE)</formula>
    </cfRule>
  </conditionalFormatting>
  <conditionalFormatting sqref="D730:D738">
    <cfRule type="expression" priority="563">
      <formula>_xlfn.IFS(K730="",TRUE)</formula>
    </cfRule>
    <cfRule type="expression" dxfId="134" priority="564">
      <formula>_xlfn.IFS(K730="T1",TRUE)</formula>
    </cfRule>
  </conditionalFormatting>
  <conditionalFormatting sqref="E730:E738">
    <cfRule type="expression" priority="561">
      <formula>_xlfn.IFS(L730="",TRUE)</formula>
    </cfRule>
    <cfRule type="expression" dxfId="133" priority="562">
      <formula>_xlfn.IFS(K730="T2",TRUE)</formula>
    </cfRule>
  </conditionalFormatting>
  <conditionalFormatting sqref="D743">
    <cfRule type="expression" priority="559">
      <formula>_xlfn.IFS(K743="",TRUE)</formula>
    </cfRule>
    <cfRule type="expression" dxfId="132" priority="560">
      <formula>_xlfn.IFS(K743="T1",TRUE)</formula>
    </cfRule>
  </conditionalFormatting>
  <conditionalFormatting sqref="E743">
    <cfRule type="expression" priority="557">
      <formula>_xlfn.IFS(L743="",TRUE)</formula>
    </cfRule>
    <cfRule type="expression" dxfId="131" priority="558">
      <formula>_xlfn.IFS(K743="T2",TRUE)</formula>
    </cfRule>
  </conditionalFormatting>
  <conditionalFormatting sqref="D744:D752">
    <cfRule type="expression" priority="555">
      <formula>_xlfn.IFS(K744="",TRUE)</formula>
    </cfRule>
    <cfRule type="expression" dxfId="130" priority="556">
      <formula>_xlfn.IFS(K744="T1",TRUE)</formula>
    </cfRule>
  </conditionalFormatting>
  <conditionalFormatting sqref="E744:E752">
    <cfRule type="expression" priority="553">
      <formula>_xlfn.IFS(L744="",TRUE)</formula>
    </cfRule>
    <cfRule type="expression" dxfId="129" priority="554">
      <formula>_xlfn.IFS(K744="T2",TRUE)</formula>
    </cfRule>
  </conditionalFormatting>
  <conditionalFormatting sqref="D638:D640">
    <cfRule type="expression" priority="545">
      <formula>_xlfn.IFS(K638="",TRUE)</formula>
    </cfRule>
    <cfRule type="expression" dxfId="128" priority="546">
      <formula>_xlfn.IFS(K638="T1",TRUE)</formula>
    </cfRule>
  </conditionalFormatting>
  <conditionalFormatting sqref="E638:E640">
    <cfRule type="expression" priority="543">
      <formula>_xlfn.IFS(L638="",TRUE)</formula>
    </cfRule>
    <cfRule type="expression" dxfId="127" priority="544">
      <formula>_xlfn.IFS(K638="T2",TRUE)</formula>
    </cfRule>
  </conditionalFormatting>
  <conditionalFormatting sqref="O673:O682">
    <cfRule type="expression" dxfId="126" priority="5549">
      <formula>AND(NOT(K687=O673),NOT(O673=""))</formula>
    </cfRule>
    <cfRule type="expression" dxfId="125" priority="5550">
      <formula>AND((K687=O673),NOT(O673=""))</formula>
    </cfRule>
  </conditionalFormatting>
  <conditionalFormatting sqref="O673:O682">
    <cfRule type="expression" dxfId="124" priority="5551">
      <formula>IF(L687="NO BET", TRUE, FALSE)</formula>
    </cfRule>
    <cfRule type="expression" priority="5552">
      <formula>(O673="")</formula>
    </cfRule>
  </conditionalFormatting>
  <conditionalFormatting sqref="L673:L679">
    <cfRule type="cellIs" dxfId="123" priority="346" operator="between">
      <formula>0</formula>
      <formula>-100</formula>
    </cfRule>
    <cfRule type="cellIs" dxfId="122" priority="347" operator="between">
      <formula>2</formula>
      <formula>100</formula>
    </cfRule>
    <cfRule type="cellIs" dxfId="121" priority="348" operator="between">
      <formula>1</formula>
      <formula>2</formula>
    </cfRule>
    <cfRule type="cellIs" dxfId="120" priority="349" operator="between">
      <formula>0</formula>
      <formula>1</formula>
    </cfRule>
  </conditionalFormatting>
  <conditionalFormatting sqref="L681:L682">
    <cfRule type="cellIs" dxfId="119" priority="338" operator="between">
      <formula>0</formula>
      <formula>-100</formula>
    </cfRule>
    <cfRule type="cellIs" dxfId="118" priority="339" operator="between">
      <formula>2</formula>
      <formula>100</formula>
    </cfRule>
    <cfRule type="cellIs" dxfId="117" priority="340" operator="between">
      <formula>1</formula>
      <formula>2</formula>
    </cfRule>
    <cfRule type="cellIs" dxfId="116" priority="341" operator="between">
      <formula>0</formula>
      <formula>1</formula>
    </cfRule>
  </conditionalFormatting>
  <conditionalFormatting sqref="L680">
    <cfRule type="cellIs" dxfId="115" priority="342" operator="between">
      <formula>0</formula>
      <formula>-100</formula>
    </cfRule>
    <cfRule type="cellIs" dxfId="114" priority="343" operator="between">
      <formula>2</formula>
      <formula>100</formula>
    </cfRule>
    <cfRule type="cellIs" dxfId="113" priority="344" operator="between">
      <formula>1</formula>
      <formula>2</formula>
    </cfRule>
    <cfRule type="cellIs" dxfId="112" priority="345" operator="between">
      <formula>0</formula>
      <formula>1</formula>
    </cfRule>
  </conditionalFormatting>
  <conditionalFormatting sqref="D673">
    <cfRule type="expression" priority="336">
      <formula>_xlfn.IFS(K673="",TRUE)</formula>
    </cfRule>
    <cfRule type="expression" dxfId="111" priority="337">
      <formula>_xlfn.IFS(K673="T1",TRUE)</formula>
    </cfRule>
  </conditionalFormatting>
  <conditionalFormatting sqref="E673">
    <cfRule type="expression" priority="334">
      <formula>_xlfn.IFS(L673="",TRUE)</formula>
    </cfRule>
    <cfRule type="expression" dxfId="110" priority="335">
      <formula>_xlfn.IFS(K673="T2",TRUE)</formula>
    </cfRule>
  </conditionalFormatting>
  <conditionalFormatting sqref="D674:D682">
    <cfRule type="expression" priority="332">
      <formula>_xlfn.IFS(K674="",TRUE)</formula>
    </cfRule>
    <cfRule type="expression" dxfId="109" priority="333">
      <formula>_xlfn.IFS(K674="T1",TRUE)</formula>
    </cfRule>
  </conditionalFormatting>
  <conditionalFormatting sqref="E674:E682">
    <cfRule type="expression" priority="330">
      <formula>_xlfn.IFS(L674="",TRUE)</formula>
    </cfRule>
    <cfRule type="expression" dxfId="108" priority="331">
      <formula>_xlfn.IFS(K674="T2",TRUE)</formula>
    </cfRule>
  </conditionalFormatting>
  <conditionalFormatting sqref="S687:S696">
    <cfRule type="containsText" dxfId="107" priority="296" operator="containsText" text="a">
      <formula>NOT(ISERROR(SEARCH("a",S687)))</formula>
    </cfRule>
    <cfRule type="containsText" dxfId="106" priority="297" operator="containsText" text="r">
      <formula>NOT(ISERROR(SEARCH("r",S687)))</formula>
    </cfRule>
  </conditionalFormatting>
  <conditionalFormatting sqref="D389:D395">
    <cfRule type="expression" priority="294">
      <formula>_xlfn.IFS(H389="",TRUE)</formula>
    </cfRule>
    <cfRule type="expression" dxfId="105" priority="295">
      <formula>_xlfn.IFS(H389="T1",TRUE)</formula>
    </cfRule>
  </conditionalFormatting>
  <conditionalFormatting sqref="E389:E395">
    <cfRule type="expression" priority="292">
      <formula>_xlfn.IFS(I389="",TRUE)</formula>
    </cfRule>
    <cfRule type="expression" dxfId="104" priority="293">
      <formula>_xlfn.IFS(H389="T2",TRUE)</formula>
    </cfRule>
  </conditionalFormatting>
  <conditionalFormatting sqref="L389:L394">
    <cfRule type="cellIs" dxfId="103" priority="288" operator="between">
      <formula>0</formula>
      <formula>-100</formula>
    </cfRule>
    <cfRule type="cellIs" dxfId="102" priority="289" operator="between">
      <formula>2</formula>
      <formula>100</formula>
    </cfRule>
    <cfRule type="cellIs" dxfId="101" priority="290" operator="between">
      <formula>1</formula>
      <formula>2</formula>
    </cfRule>
    <cfRule type="cellIs" dxfId="100" priority="291" operator="between">
      <formula>0</formula>
      <formula>1</formula>
    </cfRule>
  </conditionalFormatting>
  <conditionalFormatting sqref="L395">
    <cfRule type="cellIs" dxfId="99" priority="284" operator="between">
      <formula>0</formula>
      <formula>-100</formula>
    </cfRule>
    <cfRule type="cellIs" dxfId="98" priority="285" operator="between">
      <formula>2</formula>
      <formula>100</formula>
    </cfRule>
    <cfRule type="cellIs" dxfId="97" priority="286" operator="between">
      <formula>1</formula>
      <formula>2</formula>
    </cfRule>
    <cfRule type="cellIs" dxfId="96" priority="287" operator="between">
      <formula>0</formula>
      <formula>1</formula>
    </cfRule>
  </conditionalFormatting>
  <conditionalFormatting sqref="O687:O692">
    <cfRule type="expression" dxfId="95" priority="251">
      <formula>AND(NOT(K687=O687),NOT(O687=""))</formula>
    </cfRule>
    <cfRule type="expression" dxfId="94" priority="252">
      <formula>AND((K687=O687),NOT(O687=""))</formula>
    </cfRule>
  </conditionalFormatting>
  <conditionalFormatting sqref="O687">
    <cfRule type="expression" priority="250">
      <formula>(O687="")</formula>
    </cfRule>
  </conditionalFormatting>
  <conditionalFormatting sqref="O688">
    <cfRule type="expression" dxfId="93" priority="239">
      <formula>IF(L688="NO BET", TRUE, FALSE)</formula>
    </cfRule>
    <cfRule type="expression" priority="249">
      <formula>(O688="")</formula>
    </cfRule>
  </conditionalFormatting>
  <conditionalFormatting sqref="O689">
    <cfRule type="expression" priority="248">
      <formula>(O689="")</formula>
    </cfRule>
  </conditionalFormatting>
  <conditionalFormatting sqref="O690">
    <cfRule type="expression" priority="247">
      <formula>(O690="")</formula>
    </cfRule>
  </conditionalFormatting>
  <conditionalFormatting sqref="O691">
    <cfRule type="expression" priority="246">
      <formula>(O691="")</formula>
    </cfRule>
  </conditionalFormatting>
  <conditionalFormatting sqref="O692">
    <cfRule type="expression" priority="245">
      <formula>(O692="")</formula>
    </cfRule>
  </conditionalFormatting>
  <conditionalFormatting sqref="O688">
    <cfRule type="expression" priority="244">
      <formula>(O688="")</formula>
    </cfRule>
  </conditionalFormatting>
  <conditionalFormatting sqref="O689">
    <cfRule type="expression" priority="243">
      <formula>(O689="")</formula>
    </cfRule>
  </conditionalFormatting>
  <conditionalFormatting sqref="O690">
    <cfRule type="expression" priority="242">
      <formula>(O690="")</formula>
    </cfRule>
  </conditionalFormatting>
  <conditionalFormatting sqref="O691">
    <cfRule type="expression" priority="241">
      <formula>(O691="")</formula>
    </cfRule>
  </conditionalFormatting>
  <conditionalFormatting sqref="O692">
    <cfRule type="expression" priority="240">
      <formula>(O692="")</formula>
    </cfRule>
  </conditionalFormatting>
  <conditionalFormatting sqref="O687">
    <cfRule type="expression" dxfId="92" priority="236">
      <formula>IF(L687="NO BET", TRUE, FALSE)</formula>
    </cfRule>
    <cfRule type="expression" priority="238">
      <formula>(O687="")</formula>
    </cfRule>
  </conditionalFormatting>
  <conditionalFormatting sqref="O687">
    <cfRule type="expression" priority="237">
      <formula>(O687="")</formula>
    </cfRule>
  </conditionalFormatting>
  <conditionalFormatting sqref="O689">
    <cfRule type="expression" priority="235">
      <formula>(O689="")</formula>
    </cfRule>
  </conditionalFormatting>
  <conditionalFormatting sqref="O690">
    <cfRule type="expression" dxfId="91" priority="232">
      <formula>IF(L690="NO BET", TRUE, FALSE)</formula>
    </cfRule>
    <cfRule type="expression" priority="234">
      <formula>(O690="")</formula>
    </cfRule>
  </conditionalFormatting>
  <conditionalFormatting sqref="O690">
    <cfRule type="expression" priority="233">
      <formula>(O690="")</formula>
    </cfRule>
  </conditionalFormatting>
  <conditionalFormatting sqref="O689">
    <cfRule type="expression" dxfId="90" priority="229">
      <formula>IF(L689="NO BET", TRUE, FALSE)</formula>
    </cfRule>
    <cfRule type="expression" priority="231">
      <formula>(O689="")</formula>
    </cfRule>
  </conditionalFormatting>
  <conditionalFormatting sqref="O689">
    <cfRule type="expression" priority="230">
      <formula>(O689="")</formula>
    </cfRule>
  </conditionalFormatting>
  <conditionalFormatting sqref="O691">
    <cfRule type="expression" priority="228">
      <formula>(O691="")</formula>
    </cfRule>
  </conditionalFormatting>
  <conditionalFormatting sqref="O692">
    <cfRule type="expression" dxfId="89" priority="225">
      <formula>IF(L692="NO BET", TRUE, FALSE)</formula>
    </cfRule>
    <cfRule type="expression" priority="227">
      <formula>(O692="")</formula>
    </cfRule>
  </conditionalFormatting>
  <conditionalFormatting sqref="O692">
    <cfRule type="expression" priority="226">
      <formula>(O692="")</formula>
    </cfRule>
  </conditionalFormatting>
  <conditionalFormatting sqref="O691">
    <cfRule type="expression" dxfId="88" priority="222">
      <formula>IF(L691="NO BET", TRUE, FALSE)</formula>
    </cfRule>
    <cfRule type="expression" priority="224">
      <formula>(O691="")</formula>
    </cfRule>
  </conditionalFormatting>
  <conditionalFormatting sqref="O691">
    <cfRule type="expression" priority="223">
      <formula>(O691="")</formula>
    </cfRule>
  </conditionalFormatting>
  <conditionalFormatting sqref="O693:O696">
    <cfRule type="expression" dxfId="87" priority="220">
      <formula>AND(NOT(K693=O693),NOT(O693=""))</formula>
    </cfRule>
    <cfRule type="expression" dxfId="86" priority="221">
      <formula>AND((K693=O693),NOT(O693=""))</formula>
    </cfRule>
  </conditionalFormatting>
  <conditionalFormatting sqref="O693">
    <cfRule type="expression" priority="219">
      <formula>(O693="")</formula>
    </cfRule>
  </conditionalFormatting>
  <conditionalFormatting sqref="O694">
    <cfRule type="expression" dxfId="85" priority="212">
      <formula>IF(L694="NO BET", TRUE, FALSE)</formula>
    </cfRule>
    <cfRule type="expression" priority="218">
      <formula>(O694="")</formula>
    </cfRule>
  </conditionalFormatting>
  <conditionalFormatting sqref="O695">
    <cfRule type="expression" priority="217">
      <formula>(O695="")</formula>
    </cfRule>
  </conditionalFormatting>
  <conditionalFormatting sqref="O696">
    <cfRule type="expression" priority="216">
      <formula>(O696="")</formula>
    </cfRule>
  </conditionalFormatting>
  <conditionalFormatting sqref="O694">
    <cfRule type="expression" priority="215">
      <formula>(O694="")</formula>
    </cfRule>
  </conditionalFormatting>
  <conditionalFormatting sqref="O695">
    <cfRule type="expression" priority="214">
      <formula>(O695="")</formula>
    </cfRule>
  </conditionalFormatting>
  <conditionalFormatting sqref="O696">
    <cfRule type="expression" priority="213">
      <formula>(O696="")</formula>
    </cfRule>
  </conditionalFormatting>
  <conditionalFormatting sqref="O693">
    <cfRule type="expression" dxfId="84" priority="209">
      <formula>IF(L693="NO BET", TRUE, FALSE)</formula>
    </cfRule>
    <cfRule type="expression" priority="211">
      <formula>(O693="")</formula>
    </cfRule>
  </conditionalFormatting>
  <conditionalFormatting sqref="O693">
    <cfRule type="expression" priority="210">
      <formula>(O693="")</formula>
    </cfRule>
  </conditionalFormatting>
  <conditionalFormatting sqref="O695">
    <cfRule type="expression" priority="208">
      <formula>(O695="")</formula>
    </cfRule>
  </conditionalFormatting>
  <conditionalFormatting sqref="O696">
    <cfRule type="expression" dxfId="83" priority="205">
      <formula>IF(L696="NO BET", TRUE, FALSE)</formula>
    </cfRule>
    <cfRule type="expression" priority="207">
      <formula>(O696="")</formula>
    </cfRule>
  </conditionalFormatting>
  <conditionalFormatting sqref="O696">
    <cfRule type="expression" priority="206">
      <formula>(O696="")</formula>
    </cfRule>
  </conditionalFormatting>
  <conditionalFormatting sqref="O695">
    <cfRule type="expression" dxfId="82" priority="202">
      <formula>IF(L695="NO BET", TRUE, FALSE)</formula>
    </cfRule>
    <cfRule type="expression" priority="204">
      <formula>(O695="")</formula>
    </cfRule>
  </conditionalFormatting>
  <conditionalFormatting sqref="O695">
    <cfRule type="expression" priority="203">
      <formula>(O695="")</formula>
    </cfRule>
  </conditionalFormatting>
  <conditionalFormatting sqref="Q687:Q696">
    <cfRule type="expression" dxfId="81" priority="201">
      <formula>Q687=0</formula>
    </cfRule>
  </conditionalFormatting>
  <conditionalFormatting sqref="O389:O394">
    <cfRule type="expression" dxfId="80" priority="199">
      <formula>AND(NOT(K389=O389),NOT(O389=""))</formula>
    </cfRule>
    <cfRule type="expression" dxfId="79" priority="200">
      <formula>AND((K389=O389),NOT(O389=""))</formula>
    </cfRule>
  </conditionalFormatting>
  <conditionalFormatting sqref="O389">
    <cfRule type="expression" priority="198">
      <formula>(O389="")</formula>
    </cfRule>
  </conditionalFormatting>
  <conditionalFormatting sqref="O390">
    <cfRule type="expression" dxfId="78" priority="187">
      <formula>IF(L390="NO BET", TRUE, FALSE)</formula>
    </cfRule>
    <cfRule type="expression" priority="197">
      <formula>(O390="")</formula>
    </cfRule>
  </conditionalFormatting>
  <conditionalFormatting sqref="O391">
    <cfRule type="expression" priority="196">
      <formula>(O391="")</formula>
    </cfRule>
  </conditionalFormatting>
  <conditionalFormatting sqref="O392">
    <cfRule type="expression" priority="195">
      <formula>(O392="")</formula>
    </cfRule>
  </conditionalFormatting>
  <conditionalFormatting sqref="O393">
    <cfRule type="expression" priority="194">
      <formula>(O393="")</formula>
    </cfRule>
  </conditionalFormatting>
  <conditionalFormatting sqref="O394">
    <cfRule type="expression" priority="193">
      <formula>(O394="")</formula>
    </cfRule>
  </conditionalFormatting>
  <conditionalFormatting sqref="O390">
    <cfRule type="expression" priority="192">
      <formula>(O390="")</formula>
    </cfRule>
  </conditionalFormatting>
  <conditionalFormatting sqref="O391">
    <cfRule type="expression" priority="191">
      <formula>(O391="")</formula>
    </cfRule>
  </conditionalFormatting>
  <conditionalFormatting sqref="O392">
    <cfRule type="expression" priority="190">
      <formula>(O392="")</formula>
    </cfRule>
  </conditionalFormatting>
  <conditionalFormatting sqref="O393">
    <cfRule type="expression" priority="189">
      <formula>(O393="")</formula>
    </cfRule>
  </conditionalFormatting>
  <conditionalFormatting sqref="O394">
    <cfRule type="expression" priority="188">
      <formula>(O394="")</formula>
    </cfRule>
  </conditionalFormatting>
  <conditionalFormatting sqref="O389">
    <cfRule type="expression" dxfId="77" priority="184">
      <formula>IF(L389="NO BET", TRUE, FALSE)</formula>
    </cfRule>
    <cfRule type="expression" priority="186">
      <formula>(O389="")</formula>
    </cfRule>
  </conditionalFormatting>
  <conditionalFormatting sqref="O389">
    <cfRule type="expression" priority="185">
      <formula>(O389="")</formula>
    </cfRule>
  </conditionalFormatting>
  <conditionalFormatting sqref="O391">
    <cfRule type="expression" priority="183">
      <formula>(O391="")</formula>
    </cfRule>
  </conditionalFormatting>
  <conditionalFormatting sqref="O392">
    <cfRule type="expression" dxfId="76" priority="180">
      <formula>IF(L392="NO BET", TRUE, FALSE)</formula>
    </cfRule>
    <cfRule type="expression" priority="182">
      <formula>(O392="")</formula>
    </cfRule>
  </conditionalFormatting>
  <conditionalFormatting sqref="O392">
    <cfRule type="expression" priority="181">
      <formula>(O392="")</formula>
    </cfRule>
  </conditionalFormatting>
  <conditionalFormatting sqref="O391">
    <cfRule type="expression" dxfId="75" priority="177">
      <formula>IF(L391="NO BET", TRUE, FALSE)</formula>
    </cfRule>
    <cfRule type="expression" priority="179">
      <formula>(O391="")</formula>
    </cfRule>
  </conditionalFormatting>
  <conditionalFormatting sqref="O391">
    <cfRule type="expression" priority="178">
      <formula>(O391="")</formula>
    </cfRule>
  </conditionalFormatting>
  <conditionalFormatting sqref="O393">
    <cfRule type="expression" priority="176">
      <formula>(O393="")</formula>
    </cfRule>
  </conditionalFormatting>
  <conditionalFormatting sqref="O394">
    <cfRule type="expression" dxfId="74" priority="173">
      <formula>IF(L394="NO BET", TRUE, FALSE)</formula>
    </cfRule>
    <cfRule type="expression" priority="175">
      <formula>(O394="")</formula>
    </cfRule>
  </conditionalFormatting>
  <conditionalFormatting sqref="O394">
    <cfRule type="expression" priority="174">
      <formula>(O394="")</formula>
    </cfRule>
  </conditionalFormatting>
  <conditionalFormatting sqref="O393">
    <cfRule type="expression" dxfId="73" priority="170">
      <formula>IF(L393="NO BET", TRUE, FALSE)</formula>
    </cfRule>
    <cfRule type="expression" priority="172">
      <formula>(O393="")</formula>
    </cfRule>
  </conditionalFormatting>
  <conditionalFormatting sqref="O393">
    <cfRule type="expression" priority="171">
      <formula>(O393="")</formula>
    </cfRule>
  </conditionalFormatting>
  <conditionalFormatting sqref="O395:O398">
    <cfRule type="expression" dxfId="72" priority="168">
      <formula>AND(NOT(K395=O395),NOT(O395=""))</formula>
    </cfRule>
    <cfRule type="expression" dxfId="71" priority="169">
      <formula>AND((K395=O395),NOT(O395=""))</formula>
    </cfRule>
  </conditionalFormatting>
  <conditionalFormatting sqref="O395">
    <cfRule type="expression" priority="167">
      <formula>(O395="")</formula>
    </cfRule>
  </conditionalFormatting>
  <conditionalFormatting sqref="O396">
    <cfRule type="expression" dxfId="70" priority="160">
      <formula>IF(L396="NO BET", TRUE, FALSE)</formula>
    </cfRule>
    <cfRule type="expression" priority="166">
      <formula>(O396="")</formula>
    </cfRule>
  </conditionalFormatting>
  <conditionalFormatting sqref="O397">
    <cfRule type="expression" priority="165">
      <formula>(O397="")</formula>
    </cfRule>
  </conditionalFormatting>
  <conditionalFormatting sqref="O398">
    <cfRule type="expression" priority="164">
      <formula>(O398="")</formula>
    </cfRule>
  </conditionalFormatting>
  <conditionalFormatting sqref="O396">
    <cfRule type="expression" priority="163">
      <formula>(O396="")</formula>
    </cfRule>
  </conditionalFormatting>
  <conditionalFormatting sqref="O397">
    <cfRule type="expression" priority="162">
      <formula>(O397="")</formula>
    </cfRule>
  </conditionalFormatting>
  <conditionalFormatting sqref="O398">
    <cfRule type="expression" priority="161">
      <formula>(O398="")</formula>
    </cfRule>
  </conditionalFormatting>
  <conditionalFormatting sqref="O395">
    <cfRule type="expression" dxfId="69" priority="157">
      <formula>IF(L395="NO BET", TRUE, FALSE)</formula>
    </cfRule>
    <cfRule type="expression" priority="159">
      <formula>(O395="")</formula>
    </cfRule>
  </conditionalFormatting>
  <conditionalFormatting sqref="O395">
    <cfRule type="expression" priority="158">
      <formula>(O395="")</formula>
    </cfRule>
  </conditionalFormatting>
  <conditionalFormatting sqref="O397">
    <cfRule type="expression" priority="156">
      <formula>(O397="")</formula>
    </cfRule>
  </conditionalFormatting>
  <conditionalFormatting sqref="O398">
    <cfRule type="expression" dxfId="68" priority="153">
      <formula>IF(L398="NO BET", TRUE, FALSE)</formula>
    </cfRule>
    <cfRule type="expression" priority="155">
      <formula>(O398="")</formula>
    </cfRule>
  </conditionalFormatting>
  <conditionalFormatting sqref="O398">
    <cfRule type="expression" priority="154">
      <formula>(O398="")</formula>
    </cfRule>
  </conditionalFormatting>
  <conditionalFormatting sqref="O397">
    <cfRule type="expression" dxfId="67" priority="150">
      <formula>IF(L397="NO BET", TRUE, FALSE)</formula>
    </cfRule>
    <cfRule type="expression" priority="152">
      <formula>(O397="")</formula>
    </cfRule>
  </conditionalFormatting>
  <conditionalFormatting sqref="O397">
    <cfRule type="expression" priority="151">
      <formula>(O397="")</formula>
    </cfRule>
  </conditionalFormatting>
  <conditionalFormatting sqref="Q389:Q398">
    <cfRule type="expression" dxfId="66" priority="149">
      <formula>Q389=0</formula>
    </cfRule>
  </conditionalFormatting>
  <conditionalFormatting sqref="L149:L155">
    <cfRule type="cellIs" dxfId="65" priority="145" operator="between">
      <formula>0</formula>
      <formula>-100</formula>
    </cfRule>
    <cfRule type="cellIs" dxfId="64" priority="146" operator="between">
      <formula>2</formula>
      <formula>100</formula>
    </cfRule>
    <cfRule type="cellIs" dxfId="63" priority="147" operator="between">
      <formula>1</formula>
      <formula>2</formula>
    </cfRule>
    <cfRule type="cellIs" dxfId="62" priority="148" operator="between">
      <formula>0</formula>
      <formula>1</formula>
    </cfRule>
  </conditionalFormatting>
  <conditionalFormatting sqref="L157:L158">
    <cfRule type="cellIs" dxfId="61" priority="137" operator="between">
      <formula>0</formula>
      <formula>-100</formula>
    </cfRule>
    <cfRule type="cellIs" dxfId="60" priority="138" operator="between">
      <formula>2</formula>
      <formula>100</formula>
    </cfRule>
    <cfRule type="cellIs" dxfId="59" priority="139" operator="between">
      <formula>1</formula>
      <formula>2</formula>
    </cfRule>
    <cfRule type="cellIs" dxfId="58" priority="140" operator="between">
      <formula>0</formula>
      <formula>1</formula>
    </cfRule>
  </conditionalFormatting>
  <conditionalFormatting sqref="L156">
    <cfRule type="cellIs" dxfId="57" priority="141" operator="between">
      <formula>0</formula>
      <formula>-100</formula>
    </cfRule>
    <cfRule type="cellIs" dxfId="56" priority="142" operator="between">
      <formula>2</formula>
      <formula>100</formula>
    </cfRule>
    <cfRule type="cellIs" dxfId="55" priority="143" operator="between">
      <formula>1</formula>
      <formula>2</formula>
    </cfRule>
    <cfRule type="cellIs" dxfId="54" priority="144" operator="between">
      <formula>0</formula>
      <formula>1</formula>
    </cfRule>
  </conditionalFormatting>
  <conditionalFormatting sqref="S149:S158">
    <cfRule type="containsText" dxfId="53" priority="135" operator="containsText" text="a">
      <formula>NOT(ISERROR(SEARCH("a",S149)))</formula>
    </cfRule>
    <cfRule type="containsText" dxfId="52" priority="136" operator="containsText" text="r">
      <formula>NOT(ISERROR(SEARCH("r",S149)))</formula>
    </cfRule>
  </conditionalFormatting>
  <conditionalFormatting sqref="O149:O154">
    <cfRule type="expression" dxfId="51" priority="133">
      <formula>AND(NOT(K149=O149),NOT(O149=""))</formula>
    </cfRule>
    <cfRule type="expression" dxfId="50" priority="134">
      <formula>AND((K149=O149),NOT(O149=""))</formula>
    </cfRule>
  </conditionalFormatting>
  <conditionalFormatting sqref="O149">
    <cfRule type="expression" priority="132">
      <formula>(O149="")</formula>
    </cfRule>
  </conditionalFormatting>
  <conditionalFormatting sqref="O150">
    <cfRule type="expression" dxfId="49" priority="121">
      <formula>IF(L150="NO BET", TRUE, FALSE)</formula>
    </cfRule>
    <cfRule type="expression" priority="131">
      <formula>(O150="")</formula>
    </cfRule>
  </conditionalFormatting>
  <conditionalFormatting sqref="O151">
    <cfRule type="expression" priority="130">
      <formula>(O151="")</formula>
    </cfRule>
  </conditionalFormatting>
  <conditionalFormatting sqref="O152">
    <cfRule type="expression" priority="129">
      <formula>(O152="")</formula>
    </cfRule>
  </conditionalFormatting>
  <conditionalFormatting sqref="O153">
    <cfRule type="expression" priority="128">
      <formula>(O153="")</formula>
    </cfRule>
  </conditionalFormatting>
  <conditionalFormatting sqref="O154">
    <cfRule type="expression" priority="127">
      <formula>(O154="")</formula>
    </cfRule>
  </conditionalFormatting>
  <conditionalFormatting sqref="O150">
    <cfRule type="expression" priority="126">
      <formula>(O150="")</formula>
    </cfRule>
  </conditionalFormatting>
  <conditionalFormatting sqref="O151">
    <cfRule type="expression" priority="125">
      <formula>(O151="")</formula>
    </cfRule>
  </conditionalFormatting>
  <conditionalFormatting sqref="O152">
    <cfRule type="expression" priority="124">
      <formula>(O152="")</formula>
    </cfRule>
  </conditionalFormatting>
  <conditionalFormatting sqref="O153">
    <cfRule type="expression" priority="123">
      <formula>(O153="")</formula>
    </cfRule>
  </conditionalFormatting>
  <conditionalFormatting sqref="O154">
    <cfRule type="expression" priority="122">
      <formula>(O154="")</formula>
    </cfRule>
  </conditionalFormatting>
  <conditionalFormatting sqref="O149">
    <cfRule type="expression" dxfId="48" priority="118">
      <formula>IF(L149="NO BET", TRUE, FALSE)</formula>
    </cfRule>
    <cfRule type="expression" priority="120">
      <formula>(O149="")</formula>
    </cfRule>
  </conditionalFormatting>
  <conditionalFormatting sqref="O149">
    <cfRule type="expression" priority="119">
      <formula>(O149="")</formula>
    </cfRule>
  </conditionalFormatting>
  <conditionalFormatting sqref="O151">
    <cfRule type="expression" priority="117">
      <formula>(O151="")</formula>
    </cfRule>
  </conditionalFormatting>
  <conditionalFormatting sqref="O152">
    <cfRule type="expression" dxfId="47" priority="114">
      <formula>IF(L152="NO BET", TRUE, FALSE)</formula>
    </cfRule>
    <cfRule type="expression" priority="116">
      <formula>(O152="")</formula>
    </cfRule>
  </conditionalFormatting>
  <conditionalFormatting sqref="O152">
    <cfRule type="expression" priority="115">
      <formula>(O152="")</formula>
    </cfRule>
  </conditionalFormatting>
  <conditionalFormatting sqref="O151">
    <cfRule type="expression" dxfId="46" priority="111">
      <formula>IF(L151="NO BET", TRUE, FALSE)</formula>
    </cfRule>
    <cfRule type="expression" priority="113">
      <formula>(O151="")</formula>
    </cfRule>
  </conditionalFormatting>
  <conditionalFormatting sqref="O151">
    <cfRule type="expression" priority="112">
      <formula>(O151="")</formula>
    </cfRule>
  </conditionalFormatting>
  <conditionalFormatting sqref="O153">
    <cfRule type="expression" priority="110">
      <formula>(O153="")</formula>
    </cfRule>
  </conditionalFormatting>
  <conditionalFormatting sqref="O154">
    <cfRule type="expression" dxfId="45" priority="107">
      <formula>IF(L154="NO BET", TRUE, FALSE)</formula>
    </cfRule>
    <cfRule type="expression" priority="109">
      <formula>(O154="")</formula>
    </cfRule>
  </conditionalFormatting>
  <conditionalFormatting sqref="O154">
    <cfRule type="expression" priority="108">
      <formula>(O154="")</formula>
    </cfRule>
  </conditionalFormatting>
  <conditionalFormatting sqref="O153">
    <cfRule type="expression" dxfId="44" priority="104">
      <formula>IF(L153="NO BET", TRUE, FALSE)</formula>
    </cfRule>
    <cfRule type="expression" priority="106">
      <formula>(O153="")</formula>
    </cfRule>
  </conditionalFormatting>
  <conditionalFormatting sqref="O153">
    <cfRule type="expression" priority="105">
      <formula>(O153="")</formula>
    </cfRule>
  </conditionalFormatting>
  <conditionalFormatting sqref="O155:O158">
    <cfRule type="expression" dxfId="43" priority="102">
      <formula>AND(NOT(K155=O155),NOT(O155=""))</formula>
    </cfRule>
    <cfRule type="expression" dxfId="42" priority="103">
      <formula>AND((K155=O155),NOT(O155=""))</formula>
    </cfRule>
  </conditionalFormatting>
  <conditionalFormatting sqref="O155">
    <cfRule type="expression" priority="101">
      <formula>(O155="")</formula>
    </cfRule>
  </conditionalFormatting>
  <conditionalFormatting sqref="O156">
    <cfRule type="expression" dxfId="41" priority="94">
      <formula>IF(L156="NO BET", TRUE, FALSE)</formula>
    </cfRule>
    <cfRule type="expression" priority="100">
      <formula>(O156="")</formula>
    </cfRule>
  </conditionalFormatting>
  <conditionalFormatting sqref="O157">
    <cfRule type="expression" priority="99">
      <formula>(O157="")</formula>
    </cfRule>
  </conditionalFormatting>
  <conditionalFormatting sqref="O158">
    <cfRule type="expression" priority="98">
      <formula>(O158="")</formula>
    </cfRule>
  </conditionalFormatting>
  <conditionalFormatting sqref="O156">
    <cfRule type="expression" priority="97">
      <formula>(O156="")</formula>
    </cfRule>
  </conditionalFormatting>
  <conditionalFormatting sqref="O157">
    <cfRule type="expression" priority="96">
      <formula>(O157="")</formula>
    </cfRule>
  </conditionalFormatting>
  <conditionalFormatting sqref="O158">
    <cfRule type="expression" priority="95">
      <formula>(O158="")</formula>
    </cfRule>
  </conditionalFormatting>
  <conditionalFormatting sqref="O155">
    <cfRule type="expression" dxfId="40" priority="91">
      <formula>IF(L155="NO BET", TRUE, FALSE)</formula>
    </cfRule>
    <cfRule type="expression" priority="93">
      <formula>(O155="")</formula>
    </cfRule>
  </conditionalFormatting>
  <conditionalFormatting sqref="O155">
    <cfRule type="expression" priority="92">
      <formula>(O155="")</formula>
    </cfRule>
  </conditionalFormatting>
  <conditionalFormatting sqref="O157">
    <cfRule type="expression" priority="90">
      <formula>(O157="")</formula>
    </cfRule>
  </conditionalFormatting>
  <conditionalFormatting sqref="O158">
    <cfRule type="expression" dxfId="39" priority="87">
      <formula>IF(L158="NO BET", TRUE, FALSE)</formula>
    </cfRule>
    <cfRule type="expression" priority="89">
      <formula>(O158="")</formula>
    </cfRule>
  </conditionalFormatting>
  <conditionalFormatting sqref="O158">
    <cfRule type="expression" priority="88">
      <formula>(O158="")</formula>
    </cfRule>
  </conditionalFormatting>
  <conditionalFormatting sqref="O157">
    <cfRule type="expression" dxfId="38" priority="84">
      <formula>IF(L157="NO BET", TRUE, FALSE)</formula>
    </cfRule>
    <cfRule type="expression" priority="86">
      <formula>(O157="")</formula>
    </cfRule>
  </conditionalFormatting>
  <conditionalFormatting sqref="O157">
    <cfRule type="expression" priority="85">
      <formula>(O157="")</formula>
    </cfRule>
  </conditionalFormatting>
  <conditionalFormatting sqref="Q149:Q158">
    <cfRule type="expression" dxfId="37" priority="83">
      <formula>Q149=0</formula>
    </cfRule>
  </conditionalFormatting>
  <conditionalFormatting sqref="D149">
    <cfRule type="expression" priority="81">
      <formula>_xlfn.IFS(K149="",TRUE)</formula>
    </cfRule>
    <cfRule type="expression" dxfId="36" priority="82">
      <formula>_xlfn.IFS(K149="T1",TRUE)</formula>
    </cfRule>
  </conditionalFormatting>
  <conditionalFormatting sqref="E149">
    <cfRule type="expression" priority="79">
      <formula>_xlfn.IFS(L149="",TRUE)</formula>
    </cfRule>
    <cfRule type="expression" dxfId="35" priority="80">
      <formula>_xlfn.IFS(K149="T2",TRUE)</formula>
    </cfRule>
  </conditionalFormatting>
  <conditionalFormatting sqref="D150:D158">
    <cfRule type="expression" priority="77">
      <formula>_xlfn.IFS(K150="",TRUE)</formula>
    </cfRule>
    <cfRule type="expression" dxfId="34" priority="78">
      <formula>_xlfn.IFS(K150="T1",TRUE)</formula>
    </cfRule>
  </conditionalFormatting>
  <conditionalFormatting sqref="E150:E158">
    <cfRule type="expression" priority="75">
      <formula>_xlfn.IFS(L150="",TRUE)</formula>
    </cfRule>
    <cfRule type="expression" dxfId="33" priority="76">
      <formula>_xlfn.IFS(K150="T2",TRUE)</formula>
    </cfRule>
  </conditionalFormatting>
  <conditionalFormatting sqref="L305:L311">
    <cfRule type="cellIs" dxfId="32" priority="71" operator="between">
      <formula>0</formula>
      <formula>-100</formula>
    </cfRule>
    <cfRule type="cellIs" dxfId="31" priority="72" operator="between">
      <formula>2</formula>
      <formula>100</formula>
    </cfRule>
    <cfRule type="cellIs" dxfId="30" priority="73" operator="between">
      <formula>1</formula>
      <formula>2</formula>
    </cfRule>
    <cfRule type="cellIs" dxfId="29" priority="74" operator="between">
      <formula>0</formula>
      <formula>1</formula>
    </cfRule>
  </conditionalFormatting>
  <conditionalFormatting sqref="L313:L314">
    <cfRule type="cellIs" dxfId="28" priority="63" operator="between">
      <formula>0</formula>
      <formula>-100</formula>
    </cfRule>
    <cfRule type="cellIs" dxfId="27" priority="64" operator="between">
      <formula>2</formula>
      <formula>100</formula>
    </cfRule>
    <cfRule type="cellIs" dxfId="26" priority="65" operator="between">
      <formula>1</formula>
      <formula>2</formula>
    </cfRule>
    <cfRule type="cellIs" dxfId="25" priority="66" operator="between">
      <formula>0</formula>
      <formula>1</formula>
    </cfRule>
  </conditionalFormatting>
  <conditionalFormatting sqref="L312">
    <cfRule type="cellIs" dxfId="24" priority="67" operator="between">
      <formula>0</formula>
      <formula>-100</formula>
    </cfRule>
    <cfRule type="cellIs" dxfId="23" priority="68" operator="between">
      <formula>2</formula>
      <formula>100</formula>
    </cfRule>
    <cfRule type="cellIs" dxfId="22" priority="69" operator="between">
      <formula>1</formula>
      <formula>2</formula>
    </cfRule>
    <cfRule type="cellIs" dxfId="21" priority="70" operator="between">
      <formula>0</formula>
      <formula>1</formula>
    </cfRule>
  </conditionalFormatting>
  <conditionalFormatting sqref="S305:S314">
    <cfRule type="containsText" dxfId="20" priority="61" operator="containsText" text="a">
      <formula>NOT(ISERROR(SEARCH("a",S305)))</formula>
    </cfRule>
    <cfRule type="containsText" dxfId="19" priority="62" operator="containsText" text="r">
      <formula>NOT(ISERROR(SEARCH("r",S305)))</formula>
    </cfRule>
  </conditionalFormatting>
  <conditionalFormatting sqref="O305:O310">
    <cfRule type="expression" dxfId="18" priority="59">
      <formula>AND(NOT(K305=O305),NOT(O305=""))</formula>
    </cfRule>
    <cfRule type="expression" dxfId="17" priority="60">
      <formula>AND((K305=O305),NOT(O305=""))</formula>
    </cfRule>
  </conditionalFormatting>
  <conditionalFormatting sqref="O305">
    <cfRule type="expression" priority="58">
      <formula>(O305="")</formula>
    </cfRule>
  </conditionalFormatting>
  <conditionalFormatting sqref="O306">
    <cfRule type="expression" dxfId="16" priority="47">
      <formula>IF(L306="NO BET", TRUE, FALSE)</formula>
    </cfRule>
    <cfRule type="expression" priority="57">
      <formula>(O306="")</formula>
    </cfRule>
  </conditionalFormatting>
  <conditionalFormatting sqref="O307">
    <cfRule type="expression" priority="56">
      <formula>(O307="")</formula>
    </cfRule>
  </conditionalFormatting>
  <conditionalFormatting sqref="O308">
    <cfRule type="expression" priority="55">
      <formula>(O308="")</formula>
    </cfRule>
  </conditionalFormatting>
  <conditionalFormatting sqref="O309">
    <cfRule type="expression" priority="54">
      <formula>(O309="")</formula>
    </cfRule>
  </conditionalFormatting>
  <conditionalFormatting sqref="O310">
    <cfRule type="expression" priority="53">
      <formula>(O310="")</formula>
    </cfRule>
  </conditionalFormatting>
  <conditionalFormatting sqref="O306">
    <cfRule type="expression" priority="52">
      <formula>(O306="")</formula>
    </cfRule>
  </conditionalFormatting>
  <conditionalFormatting sqref="O307">
    <cfRule type="expression" priority="51">
      <formula>(O307="")</formula>
    </cfRule>
  </conditionalFormatting>
  <conditionalFormatting sqref="O308">
    <cfRule type="expression" priority="50">
      <formula>(O308="")</formula>
    </cfRule>
  </conditionalFormatting>
  <conditionalFormatting sqref="O309">
    <cfRule type="expression" priority="49">
      <formula>(O309="")</formula>
    </cfRule>
  </conditionalFormatting>
  <conditionalFormatting sqref="O310">
    <cfRule type="expression" priority="48">
      <formula>(O310="")</formula>
    </cfRule>
  </conditionalFormatting>
  <conditionalFormatting sqref="O305">
    <cfRule type="expression" dxfId="15" priority="44">
      <formula>IF(L305="NO BET", TRUE, FALSE)</formula>
    </cfRule>
    <cfRule type="expression" priority="46">
      <formula>(O305="")</formula>
    </cfRule>
  </conditionalFormatting>
  <conditionalFormatting sqref="O305">
    <cfRule type="expression" priority="45">
      <formula>(O305="")</formula>
    </cfRule>
  </conditionalFormatting>
  <conditionalFormatting sqref="O307">
    <cfRule type="expression" priority="43">
      <formula>(O307="")</formula>
    </cfRule>
  </conditionalFormatting>
  <conditionalFormatting sqref="O308">
    <cfRule type="expression" dxfId="14" priority="40">
      <formula>IF(L308="NO BET", TRUE, FALSE)</formula>
    </cfRule>
    <cfRule type="expression" priority="42">
      <formula>(O308="")</formula>
    </cfRule>
  </conditionalFormatting>
  <conditionalFormatting sqref="O308">
    <cfRule type="expression" priority="41">
      <formula>(O308="")</formula>
    </cfRule>
  </conditionalFormatting>
  <conditionalFormatting sqref="O307">
    <cfRule type="expression" dxfId="13" priority="37">
      <formula>IF(L307="NO BET", TRUE, FALSE)</formula>
    </cfRule>
    <cfRule type="expression" priority="39">
      <formula>(O307="")</formula>
    </cfRule>
  </conditionalFormatting>
  <conditionalFormatting sqref="O307">
    <cfRule type="expression" priority="38">
      <formula>(O307="")</formula>
    </cfRule>
  </conditionalFormatting>
  <conditionalFormatting sqref="O309">
    <cfRule type="expression" priority="36">
      <formula>(O309="")</formula>
    </cfRule>
  </conditionalFormatting>
  <conditionalFormatting sqref="O310">
    <cfRule type="expression" dxfId="12" priority="33">
      <formula>IF(L310="NO BET", TRUE, FALSE)</formula>
    </cfRule>
    <cfRule type="expression" priority="35">
      <formula>(O310="")</formula>
    </cfRule>
  </conditionalFormatting>
  <conditionalFormatting sqref="O310">
    <cfRule type="expression" priority="34">
      <formula>(O310="")</formula>
    </cfRule>
  </conditionalFormatting>
  <conditionalFormatting sqref="O309">
    <cfRule type="expression" dxfId="11" priority="30">
      <formula>IF(L309="NO BET", TRUE, FALSE)</formula>
    </cfRule>
    <cfRule type="expression" priority="32">
      <formula>(O309="")</formula>
    </cfRule>
  </conditionalFormatting>
  <conditionalFormatting sqref="O309">
    <cfRule type="expression" priority="31">
      <formula>(O309="")</formula>
    </cfRule>
  </conditionalFormatting>
  <conditionalFormatting sqref="O311:O314">
    <cfRule type="expression" dxfId="10" priority="28">
      <formula>AND(NOT(K311=O311),NOT(O311=""))</formula>
    </cfRule>
    <cfRule type="expression" dxfId="9" priority="29">
      <formula>AND((K311=O311),NOT(O311=""))</formula>
    </cfRule>
  </conditionalFormatting>
  <conditionalFormatting sqref="O311">
    <cfRule type="expression" priority="27">
      <formula>(O311="")</formula>
    </cfRule>
  </conditionalFormatting>
  <conditionalFormatting sqref="O312">
    <cfRule type="expression" dxfId="8" priority="20">
      <formula>IF(L312="NO BET", TRUE, FALSE)</formula>
    </cfRule>
    <cfRule type="expression" priority="26">
      <formula>(O312="")</formula>
    </cfRule>
  </conditionalFormatting>
  <conditionalFormatting sqref="O313">
    <cfRule type="expression" priority="25">
      <formula>(O313="")</formula>
    </cfRule>
  </conditionalFormatting>
  <conditionalFormatting sqref="O314">
    <cfRule type="expression" priority="24">
      <formula>(O314="")</formula>
    </cfRule>
  </conditionalFormatting>
  <conditionalFormatting sqref="O312">
    <cfRule type="expression" priority="23">
      <formula>(O312="")</formula>
    </cfRule>
  </conditionalFormatting>
  <conditionalFormatting sqref="O313">
    <cfRule type="expression" priority="22">
      <formula>(O313="")</formula>
    </cfRule>
  </conditionalFormatting>
  <conditionalFormatting sqref="O314">
    <cfRule type="expression" priority="21">
      <formula>(O314="")</formula>
    </cfRule>
  </conditionalFormatting>
  <conditionalFormatting sqref="O311">
    <cfRule type="expression" dxfId="7" priority="17">
      <formula>IF(L311="NO BET", TRUE, FALSE)</formula>
    </cfRule>
    <cfRule type="expression" priority="19">
      <formula>(O311="")</formula>
    </cfRule>
  </conditionalFormatting>
  <conditionalFormatting sqref="O311">
    <cfRule type="expression" priority="18">
      <formula>(O311="")</formula>
    </cfRule>
  </conditionalFormatting>
  <conditionalFormatting sqref="O313">
    <cfRule type="expression" priority="16">
      <formula>(O313="")</formula>
    </cfRule>
  </conditionalFormatting>
  <conditionalFormatting sqref="O314">
    <cfRule type="expression" dxfId="6" priority="13">
      <formula>IF(L314="NO BET", TRUE, FALSE)</formula>
    </cfRule>
    <cfRule type="expression" priority="15">
      <formula>(O314="")</formula>
    </cfRule>
  </conditionalFormatting>
  <conditionalFormatting sqref="O314">
    <cfRule type="expression" priority="14">
      <formula>(O314="")</formula>
    </cfRule>
  </conditionalFormatting>
  <conditionalFormatting sqref="O313">
    <cfRule type="expression" dxfId="5" priority="10">
      <formula>IF(L313="NO BET", TRUE, FALSE)</formula>
    </cfRule>
    <cfRule type="expression" priority="12">
      <formula>(O313="")</formula>
    </cfRule>
  </conditionalFormatting>
  <conditionalFormatting sqref="O313">
    <cfRule type="expression" priority="11">
      <formula>(O313="")</formula>
    </cfRule>
  </conditionalFormatting>
  <conditionalFormatting sqref="Q305:Q314">
    <cfRule type="expression" dxfId="4" priority="9">
      <formula>Q305=0</formula>
    </cfRule>
  </conditionalFormatting>
  <conditionalFormatting sqref="D305">
    <cfRule type="expression" priority="7">
      <formula>_xlfn.IFS(K305="",TRUE)</formula>
    </cfRule>
    <cfRule type="expression" dxfId="3" priority="8">
      <formula>_xlfn.IFS(K305="T1",TRUE)</formula>
    </cfRule>
  </conditionalFormatting>
  <conditionalFormatting sqref="E305">
    <cfRule type="expression" priority="5">
      <formula>_xlfn.IFS(L305="",TRUE)</formula>
    </cfRule>
    <cfRule type="expression" dxfId="2" priority="6">
      <formula>_xlfn.IFS(K305="T2",TRUE)</formula>
    </cfRule>
  </conditionalFormatting>
  <conditionalFormatting sqref="D306:D314">
    <cfRule type="expression" priority="3">
      <formula>_xlfn.IFS(K306="",TRUE)</formula>
    </cfRule>
    <cfRule type="expression" dxfId="1" priority="4">
      <formula>_xlfn.IFS(K306="T1",TRUE)</formula>
    </cfRule>
  </conditionalFormatting>
  <conditionalFormatting sqref="E306:E314">
    <cfRule type="expression" priority="1">
      <formula>_xlfn.IFS(L306="",TRUE)</formula>
    </cfRule>
    <cfRule type="expression" dxfId="0" priority="2">
      <formula>_xlfn.IFS(K306="T2",TRUE)</formula>
    </cfRule>
  </conditionalFormatting>
  <pageMargins left="0.7" right="0.7" top="0.78740157499999996" bottom="0.78740157499999996" header="0.3" footer="0.3"/>
  <pageSetup paperSize="9" orientation="portrait" horizontalDpi="4294967293" r:id="rId1"/>
  <ignoredErrors>
    <ignoredError sqref="G149:H14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haltfläche 1">
              <controlPr defaultSize="0" print="0" autoFill="0" autoPict="0" macro="[0]!jumpToLeague_Click" altText="League of Legends">
                <anchor moveWithCells="1" sizeWithCells="1">
                  <from>
                    <xdr:col>2</xdr:col>
                    <xdr:colOff>466725</xdr:colOff>
                    <xdr:row>0</xdr:row>
                    <xdr:rowOff>161925</xdr:rowOff>
                  </from>
                  <to>
                    <xdr:col>3</xdr:col>
                    <xdr:colOff>1323975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haltfläche 2">
              <controlPr defaultSize="0" print="0" autoFill="0" autoPict="0" macro="[0]!jumpToLeague_Click" altText="League of Legends">
                <anchor moveWithCells="1" sizeWithCells="1">
                  <from>
                    <xdr:col>2</xdr:col>
                    <xdr:colOff>466725</xdr:colOff>
                    <xdr:row>3</xdr:row>
                    <xdr:rowOff>104775</xdr:rowOff>
                  </from>
                  <to>
                    <xdr:col>3</xdr:col>
                    <xdr:colOff>1323975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haltfläche 3">
              <controlPr defaultSize="0" print="0" autoFill="0" autoPict="0" macro="[0]!jumpToLeague_Click" altText="League of Legends">
                <anchor moveWithCells="1" sizeWithCells="1">
                  <from>
                    <xdr:col>2</xdr:col>
                    <xdr:colOff>466725</xdr:colOff>
                    <xdr:row>6</xdr:row>
                    <xdr:rowOff>9525</xdr:rowOff>
                  </from>
                  <to>
                    <xdr:col>3</xdr:col>
                    <xdr:colOff>1323975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umpToLeague_LCK_Click" altText="League of Legends">
                <anchor moveWithCells="1" sizeWithCells="1">
                  <from>
                    <xdr:col>1</xdr:col>
                    <xdr:colOff>104775</xdr:colOff>
                    <xdr:row>49</xdr:row>
                    <xdr:rowOff>123825</xdr:rowOff>
                  </from>
                  <to>
                    <xdr:col>2</xdr:col>
                    <xdr:colOff>647700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umpToLeague_EULCS_Click" altText="League of Legends">
                <anchor moveWithCells="1" sizeWithCells="1">
                  <from>
                    <xdr:col>1</xdr:col>
                    <xdr:colOff>104775</xdr:colOff>
                    <xdr:row>51</xdr:row>
                    <xdr:rowOff>114300</xdr:rowOff>
                  </from>
                  <to>
                    <xdr:col>2</xdr:col>
                    <xdr:colOff>647700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umpToLeague_NALCS_Click" altText="League of Legends">
                <anchor moveWithCells="1" sizeWithCells="1">
                  <from>
                    <xdr:col>1</xdr:col>
                    <xdr:colOff>104775</xdr:colOff>
                    <xdr:row>53</xdr:row>
                    <xdr:rowOff>114300</xdr:rowOff>
                  </from>
                  <to>
                    <xdr:col>2</xdr:col>
                    <xdr:colOff>647700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umptToLeague_LCK_Week1_Click" altText="League of Legends">
                <anchor moveWithCells="1" sizeWithCells="1">
                  <from>
                    <xdr:col>1</xdr:col>
                    <xdr:colOff>142875</xdr:colOff>
                    <xdr:row>74</xdr:row>
                    <xdr:rowOff>104775</xdr:rowOff>
                  </from>
                  <to>
                    <xdr:col>3</xdr:col>
                    <xdr:colOff>266700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umptToLeague_LCK_Week2_Click" altText="League of Legends">
                <anchor moveWithCells="1" sizeWithCells="1">
                  <from>
                    <xdr:col>1</xdr:col>
                    <xdr:colOff>142875</xdr:colOff>
                    <xdr:row>76</xdr:row>
                    <xdr:rowOff>104775</xdr:rowOff>
                  </from>
                  <to>
                    <xdr:col>3</xdr:col>
                    <xdr:colOff>266700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umptToLeague_LCK_Week3_Click" altText="League of Legends">
                <anchor moveWithCells="1" sizeWithCells="1">
                  <from>
                    <xdr:col>1</xdr:col>
                    <xdr:colOff>142875</xdr:colOff>
                    <xdr:row>78</xdr:row>
                    <xdr:rowOff>104775</xdr:rowOff>
                  </from>
                  <to>
                    <xdr:col>3</xdr:col>
                    <xdr:colOff>266700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haltfläche 10">
              <controlPr defaultSize="0" print="0" autoFill="0" autoPict="0" macro="[0]!jumptToLeague_LCK_Week4_Click" altText="League of Legends">
                <anchor moveWithCells="1" sizeWithCells="1">
                  <from>
                    <xdr:col>3</xdr:col>
                    <xdr:colOff>371475</xdr:colOff>
                    <xdr:row>74</xdr:row>
                    <xdr:rowOff>104775</xdr:rowOff>
                  </from>
                  <to>
                    <xdr:col>5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haltfläche 11">
              <controlPr defaultSize="0" print="0" autoFill="0" autoPict="0" macro="[0]!jumptToLeague_LCK_Week5_Click" altText="League of Legends">
                <anchor moveWithCells="1" sizeWithCells="1">
                  <from>
                    <xdr:col>3</xdr:col>
                    <xdr:colOff>371475</xdr:colOff>
                    <xdr:row>76</xdr:row>
                    <xdr:rowOff>104775</xdr:rowOff>
                  </from>
                  <to>
                    <xdr:col>5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haltfläche 12">
              <controlPr defaultSize="0" print="0" autoFill="0" autoPict="0" macro="[0]!jumptToLeague_LCK_Week6_Click" altText="League of Legends">
                <anchor moveWithCells="1" sizeWithCells="1">
                  <from>
                    <xdr:col>3</xdr:col>
                    <xdr:colOff>371475</xdr:colOff>
                    <xdr:row>78</xdr:row>
                    <xdr:rowOff>104775</xdr:rowOff>
                  </from>
                  <to>
                    <xdr:col>5</xdr:col>
                    <xdr:colOff>228600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haltfläche 13">
              <controlPr defaultSize="0" print="0" autoFill="0" autoPict="0" macro="[0]!jumptToLeague_LCK_Week7_Click" altText="League of Legends">
                <anchor moveWithCells="1" sizeWithCells="1">
                  <from>
                    <xdr:col>5</xdr:col>
                    <xdr:colOff>352425</xdr:colOff>
                    <xdr:row>74</xdr:row>
                    <xdr:rowOff>104775</xdr:rowOff>
                  </from>
                  <to>
                    <xdr:col>8</xdr:col>
                    <xdr:colOff>266700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haltfläche 14">
              <controlPr defaultSize="0" print="0" autoFill="0" autoPict="0" macro="[0]!jumptToLeague_LCK_Week8_Click" altText="League of Legends">
                <anchor moveWithCells="1" sizeWithCells="1">
                  <from>
                    <xdr:col>5</xdr:col>
                    <xdr:colOff>352425</xdr:colOff>
                    <xdr:row>76</xdr:row>
                    <xdr:rowOff>104775</xdr:rowOff>
                  </from>
                  <to>
                    <xdr:col>8</xdr:col>
                    <xdr:colOff>266700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haltfläche 15">
              <controlPr defaultSize="0" print="0" autoFill="0" autoPict="0" macro="[0]!jumptToLeague_LCK_Week9_Click" altText="League of Legends">
                <anchor moveWithCells="1" sizeWithCells="1">
                  <from>
                    <xdr:col>5</xdr:col>
                    <xdr:colOff>352425</xdr:colOff>
                    <xdr:row>78</xdr:row>
                    <xdr:rowOff>104775</xdr:rowOff>
                  </from>
                  <to>
                    <xdr:col>8</xdr:col>
                    <xdr:colOff>266700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haltfläche 16">
              <controlPr defaultSize="0" print="0" autoFill="0" autoPict="0" macro="[0]!jumptToLeague_LCK_Week10_Click" altText="League of Legends">
                <anchor moveWithCells="1" sizeWithCells="1">
                  <from>
                    <xdr:col>8</xdr:col>
                    <xdr:colOff>371475</xdr:colOff>
                    <xdr:row>74</xdr:row>
                    <xdr:rowOff>104775</xdr:rowOff>
                  </from>
                  <to>
                    <xdr:col>10</xdr:col>
                    <xdr:colOff>276225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haltfläche 17">
              <controlPr defaultSize="0" print="0" autoFill="0" autoPict="0" macro="[0]!jumpToLeague_Click" altText="League of Legends">
                <anchor moveWithCells="1" sizeWithCells="1">
                  <from>
                    <xdr:col>9</xdr:col>
                    <xdr:colOff>104775</xdr:colOff>
                    <xdr:row>78</xdr:row>
                    <xdr:rowOff>104775</xdr:rowOff>
                  </from>
                  <to>
                    <xdr:col>10</xdr:col>
                    <xdr:colOff>276225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umptToLeague_EULCS_Week1_Click" altText="League of Legends">
                <anchor moveWithCells="1" sizeWithCells="1">
                  <from>
                    <xdr:col>1</xdr:col>
                    <xdr:colOff>142875</xdr:colOff>
                    <xdr:row>89</xdr:row>
                    <xdr:rowOff>104775</xdr:rowOff>
                  </from>
                  <to>
                    <xdr:col>3</xdr:col>
                    <xdr:colOff>266700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umptToLeague_EULCS_Week2_Click" altText="League of Legends">
                <anchor moveWithCells="1" sizeWithCells="1">
                  <from>
                    <xdr:col>1</xdr:col>
                    <xdr:colOff>142875</xdr:colOff>
                    <xdr:row>91</xdr:row>
                    <xdr:rowOff>104775</xdr:rowOff>
                  </from>
                  <to>
                    <xdr:col>3</xdr:col>
                    <xdr:colOff>266700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umptToLeague_EULCS_Week3_Click" altText="League of Legends">
                <anchor moveWithCells="1" sizeWithCells="1">
                  <from>
                    <xdr:col>1</xdr:col>
                    <xdr:colOff>142875</xdr:colOff>
                    <xdr:row>93</xdr:row>
                    <xdr:rowOff>104775</xdr:rowOff>
                  </from>
                  <to>
                    <xdr:col>3</xdr:col>
                    <xdr:colOff>266700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umptToLeague_EULCS_Week4_Click" altText="League of Legends">
                <anchor moveWithCells="1" sizeWithCells="1">
                  <from>
                    <xdr:col>3</xdr:col>
                    <xdr:colOff>371475</xdr:colOff>
                    <xdr:row>89</xdr:row>
                    <xdr:rowOff>104775</xdr:rowOff>
                  </from>
                  <to>
                    <xdr:col>5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umptToLeague_EULCS_Week5_Click" altText="League of Legends">
                <anchor moveWithCells="1" sizeWithCells="1">
                  <from>
                    <xdr:col>3</xdr:col>
                    <xdr:colOff>371475</xdr:colOff>
                    <xdr:row>91</xdr:row>
                    <xdr:rowOff>104775</xdr:rowOff>
                  </from>
                  <to>
                    <xdr:col>5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umptToLeague_EULCS_Week6_Click" altText="League of Legends">
                <anchor moveWithCells="1" sizeWithCells="1">
                  <from>
                    <xdr:col>3</xdr:col>
                    <xdr:colOff>371475</xdr:colOff>
                    <xdr:row>93</xdr:row>
                    <xdr:rowOff>104775</xdr:rowOff>
                  </from>
                  <to>
                    <xdr:col>5</xdr:col>
                    <xdr:colOff>228600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umptToLeague_EULCS_Week7_Click" altText="League of Legends">
                <anchor moveWithCells="1" sizeWithCells="1">
                  <from>
                    <xdr:col>5</xdr:col>
                    <xdr:colOff>352425</xdr:colOff>
                    <xdr:row>89</xdr:row>
                    <xdr:rowOff>104775</xdr:rowOff>
                  </from>
                  <to>
                    <xdr:col>8</xdr:col>
                    <xdr:colOff>266700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umptToLeague_EULCS_Week8_Click" altText="League of Legends">
                <anchor moveWithCells="1" sizeWithCells="1">
                  <from>
                    <xdr:col>5</xdr:col>
                    <xdr:colOff>352425</xdr:colOff>
                    <xdr:row>91</xdr:row>
                    <xdr:rowOff>104775</xdr:rowOff>
                  </from>
                  <to>
                    <xdr:col>8</xdr:col>
                    <xdr:colOff>266700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umptToLeague_EULCS_Week9_Click" altText="League of Legends">
                <anchor moveWithCells="1" sizeWithCells="1">
                  <from>
                    <xdr:col>5</xdr:col>
                    <xdr:colOff>352425</xdr:colOff>
                    <xdr:row>93</xdr:row>
                    <xdr:rowOff>104775</xdr:rowOff>
                  </from>
                  <to>
                    <xdr:col>8</xdr:col>
                    <xdr:colOff>266700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umptToLeague_EULCS_Week10_Click" altText="League of Legends">
                <anchor moveWithCells="1" sizeWithCells="1">
                  <from>
                    <xdr:col>8</xdr:col>
                    <xdr:colOff>371475</xdr:colOff>
                    <xdr:row>89</xdr:row>
                    <xdr:rowOff>104775</xdr:rowOff>
                  </from>
                  <to>
                    <xdr:col>10</xdr:col>
                    <xdr:colOff>276225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umpToLeague_Click" altText="League of Legends">
                <anchor moveWithCells="1" sizeWithCells="1">
                  <from>
                    <xdr:col>9</xdr:col>
                    <xdr:colOff>104775</xdr:colOff>
                    <xdr:row>93</xdr:row>
                    <xdr:rowOff>104775</xdr:rowOff>
                  </from>
                  <to>
                    <xdr:col>10</xdr:col>
                    <xdr:colOff>276225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umptToLeague_NALCS_Week1_Click" altText="League of Legends">
                <anchor moveWithCells="1" sizeWithCells="1">
                  <from>
                    <xdr:col>1</xdr:col>
                    <xdr:colOff>142875</xdr:colOff>
                    <xdr:row>104</xdr:row>
                    <xdr:rowOff>104775</xdr:rowOff>
                  </from>
                  <to>
                    <xdr:col>3</xdr:col>
                    <xdr:colOff>266700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umptToLeague_NALCS_Week2_Click" altText="League of Legends">
                <anchor moveWithCells="1" sizeWithCells="1">
                  <from>
                    <xdr:col>1</xdr:col>
                    <xdr:colOff>142875</xdr:colOff>
                    <xdr:row>106</xdr:row>
                    <xdr:rowOff>104775</xdr:rowOff>
                  </from>
                  <to>
                    <xdr:col>3</xdr:col>
                    <xdr:colOff>266700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umptToLeague_NALCS_Week3_Click" altText="League of Legends">
                <anchor moveWithCells="1" sizeWithCells="1">
                  <from>
                    <xdr:col>1</xdr:col>
                    <xdr:colOff>142875</xdr:colOff>
                    <xdr:row>108</xdr:row>
                    <xdr:rowOff>104775</xdr:rowOff>
                  </from>
                  <to>
                    <xdr:col>3</xdr:col>
                    <xdr:colOff>266700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umptToLeague_NALCS_Week4_Click" altText="League of Legends">
                <anchor moveWithCells="1" sizeWithCells="1">
                  <from>
                    <xdr:col>3</xdr:col>
                    <xdr:colOff>371475</xdr:colOff>
                    <xdr:row>104</xdr:row>
                    <xdr:rowOff>104775</xdr:rowOff>
                  </from>
                  <to>
                    <xdr:col>5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umptToLeague_NALCS_Week5_Click" altText="League of Legends">
                <anchor moveWithCells="1" sizeWithCells="1">
                  <from>
                    <xdr:col>3</xdr:col>
                    <xdr:colOff>371475</xdr:colOff>
                    <xdr:row>106</xdr:row>
                    <xdr:rowOff>104775</xdr:rowOff>
                  </from>
                  <to>
                    <xdr:col>5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umptToLeague_NALCS_Week6_Click" altText="League of Legends">
                <anchor moveWithCells="1" sizeWithCells="1">
                  <from>
                    <xdr:col>3</xdr:col>
                    <xdr:colOff>371475</xdr:colOff>
                    <xdr:row>108</xdr:row>
                    <xdr:rowOff>104775</xdr:rowOff>
                  </from>
                  <to>
                    <xdr:col>5</xdr:col>
                    <xdr:colOff>228600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umptToLeague_NALCS_Week7_Click" altText="League of Legends">
                <anchor moveWithCells="1" sizeWithCells="1">
                  <from>
                    <xdr:col>5</xdr:col>
                    <xdr:colOff>352425</xdr:colOff>
                    <xdr:row>104</xdr:row>
                    <xdr:rowOff>104775</xdr:rowOff>
                  </from>
                  <to>
                    <xdr:col>8</xdr:col>
                    <xdr:colOff>266700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umptToLeague_NALCS_Week8_Click" altText="League of Legends">
                <anchor moveWithCells="1" sizeWithCells="1">
                  <from>
                    <xdr:col>5</xdr:col>
                    <xdr:colOff>352425</xdr:colOff>
                    <xdr:row>106</xdr:row>
                    <xdr:rowOff>104775</xdr:rowOff>
                  </from>
                  <to>
                    <xdr:col>8</xdr:col>
                    <xdr:colOff>266700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umptToLeague_NALCS_Week9_Click" altText="League of Legends">
                <anchor moveWithCells="1" sizeWithCells="1">
                  <from>
                    <xdr:col>5</xdr:col>
                    <xdr:colOff>352425</xdr:colOff>
                    <xdr:row>108</xdr:row>
                    <xdr:rowOff>104775</xdr:rowOff>
                  </from>
                  <to>
                    <xdr:col>8</xdr:col>
                    <xdr:colOff>266700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umptToLeague_NALCS_Week10_Click" altText="League of Legends">
                <anchor moveWithCells="1" sizeWithCells="1">
                  <from>
                    <xdr:col>8</xdr:col>
                    <xdr:colOff>371475</xdr:colOff>
                    <xdr:row>104</xdr:row>
                    <xdr:rowOff>104775</xdr:rowOff>
                  </from>
                  <to>
                    <xdr:col>10</xdr:col>
                    <xdr:colOff>276225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umpToLeague_Click" altText="League of Legends">
                <anchor moveWithCells="1" sizeWithCells="1">
                  <from>
                    <xdr:col>9</xdr:col>
                    <xdr:colOff>104775</xdr:colOff>
                    <xdr:row>108</xdr:row>
                    <xdr:rowOff>104775</xdr:rowOff>
                  </from>
                  <to>
                    <xdr:col>10</xdr:col>
                    <xdr:colOff>276225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3" name="Button 52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161</xdr:row>
                    <xdr:rowOff>28575</xdr:rowOff>
                  </from>
                  <to>
                    <xdr:col>1</xdr:col>
                    <xdr:colOff>733425</xdr:colOff>
                    <xdr:row>162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4" name="Button 5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175</xdr:row>
                    <xdr:rowOff>28575</xdr:rowOff>
                  </from>
                  <to>
                    <xdr:col>1</xdr:col>
                    <xdr:colOff>733425</xdr:colOff>
                    <xdr:row>176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5" name="Button 54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189</xdr:row>
                    <xdr:rowOff>28575</xdr:rowOff>
                  </from>
                  <to>
                    <xdr:col>1</xdr:col>
                    <xdr:colOff>733425</xdr:colOff>
                    <xdr:row>190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6" name="Button 5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203</xdr:row>
                    <xdr:rowOff>28575</xdr:rowOff>
                  </from>
                  <to>
                    <xdr:col>1</xdr:col>
                    <xdr:colOff>733425</xdr:colOff>
                    <xdr:row>204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7" name="Button 56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217</xdr:row>
                    <xdr:rowOff>28575</xdr:rowOff>
                  </from>
                  <to>
                    <xdr:col>1</xdr:col>
                    <xdr:colOff>733425</xdr:colOff>
                    <xdr:row>218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8" name="Button 5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231</xdr:row>
                    <xdr:rowOff>28575</xdr:rowOff>
                  </from>
                  <to>
                    <xdr:col>1</xdr:col>
                    <xdr:colOff>733425</xdr:colOff>
                    <xdr:row>232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9" name="Button 58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245</xdr:row>
                    <xdr:rowOff>28575</xdr:rowOff>
                  </from>
                  <to>
                    <xdr:col>1</xdr:col>
                    <xdr:colOff>733425</xdr:colOff>
                    <xdr:row>246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0" name="Button 5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259</xdr:row>
                    <xdr:rowOff>28575</xdr:rowOff>
                  </from>
                  <to>
                    <xdr:col>1</xdr:col>
                    <xdr:colOff>733425</xdr:colOff>
                    <xdr:row>260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1" name="Button 60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273</xdr:row>
                    <xdr:rowOff>28575</xdr:rowOff>
                  </from>
                  <to>
                    <xdr:col>1</xdr:col>
                    <xdr:colOff>733425</xdr:colOff>
                    <xdr:row>274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2" name="Button 63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303</xdr:row>
                    <xdr:rowOff>28575</xdr:rowOff>
                  </from>
                  <to>
                    <xdr:col>1</xdr:col>
                    <xdr:colOff>733425</xdr:colOff>
                    <xdr:row>304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3" name="Button 64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317</xdr:row>
                    <xdr:rowOff>28575</xdr:rowOff>
                  </from>
                  <to>
                    <xdr:col>1</xdr:col>
                    <xdr:colOff>733425</xdr:colOff>
                    <xdr:row>318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4" name="Button 6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331</xdr:row>
                    <xdr:rowOff>28575</xdr:rowOff>
                  </from>
                  <to>
                    <xdr:col>1</xdr:col>
                    <xdr:colOff>733425</xdr:colOff>
                    <xdr:row>332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5" name="Button 66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345</xdr:row>
                    <xdr:rowOff>28575</xdr:rowOff>
                  </from>
                  <to>
                    <xdr:col>1</xdr:col>
                    <xdr:colOff>733425</xdr:colOff>
                    <xdr:row>346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6" name="Button 6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359</xdr:row>
                    <xdr:rowOff>28575</xdr:rowOff>
                  </from>
                  <to>
                    <xdr:col>1</xdr:col>
                    <xdr:colOff>733425</xdr:colOff>
                    <xdr:row>360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7" name="Button 68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373</xdr:row>
                    <xdr:rowOff>28575</xdr:rowOff>
                  </from>
                  <to>
                    <xdr:col>1</xdr:col>
                    <xdr:colOff>733425</xdr:colOff>
                    <xdr:row>374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8" name="Button 6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387</xdr:row>
                    <xdr:rowOff>28575</xdr:rowOff>
                  </from>
                  <to>
                    <xdr:col>1</xdr:col>
                    <xdr:colOff>733425</xdr:colOff>
                    <xdr:row>388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9" name="Button 70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401</xdr:row>
                    <xdr:rowOff>28575</xdr:rowOff>
                  </from>
                  <to>
                    <xdr:col>1</xdr:col>
                    <xdr:colOff>733425</xdr:colOff>
                    <xdr:row>402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0" name="Button 71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415</xdr:row>
                    <xdr:rowOff>28575</xdr:rowOff>
                  </from>
                  <to>
                    <xdr:col>1</xdr:col>
                    <xdr:colOff>733425</xdr:colOff>
                    <xdr:row>416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1" name="Button 72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429</xdr:row>
                    <xdr:rowOff>28575</xdr:rowOff>
                  </from>
                  <to>
                    <xdr:col>1</xdr:col>
                    <xdr:colOff>733425</xdr:colOff>
                    <xdr:row>430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2" name="Button 73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317</xdr:row>
                    <xdr:rowOff>28575</xdr:rowOff>
                  </from>
                  <to>
                    <xdr:col>1</xdr:col>
                    <xdr:colOff>733425</xdr:colOff>
                    <xdr:row>318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3" name="Button 74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331</xdr:row>
                    <xdr:rowOff>28575</xdr:rowOff>
                  </from>
                  <to>
                    <xdr:col>1</xdr:col>
                    <xdr:colOff>733425</xdr:colOff>
                    <xdr:row>332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4" name="Button 75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345</xdr:row>
                    <xdr:rowOff>28575</xdr:rowOff>
                  </from>
                  <to>
                    <xdr:col>1</xdr:col>
                    <xdr:colOff>733425</xdr:colOff>
                    <xdr:row>346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5" name="Button 76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359</xdr:row>
                    <xdr:rowOff>28575</xdr:rowOff>
                  </from>
                  <to>
                    <xdr:col>1</xdr:col>
                    <xdr:colOff>733425</xdr:colOff>
                    <xdr:row>360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6" name="Button 77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373</xdr:row>
                    <xdr:rowOff>28575</xdr:rowOff>
                  </from>
                  <to>
                    <xdr:col>1</xdr:col>
                    <xdr:colOff>733425</xdr:colOff>
                    <xdr:row>374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7" name="Button 78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387</xdr:row>
                    <xdr:rowOff>28575</xdr:rowOff>
                  </from>
                  <to>
                    <xdr:col>1</xdr:col>
                    <xdr:colOff>733425</xdr:colOff>
                    <xdr:row>388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8" name="Button 79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401</xdr:row>
                    <xdr:rowOff>28575</xdr:rowOff>
                  </from>
                  <to>
                    <xdr:col>1</xdr:col>
                    <xdr:colOff>733425</xdr:colOff>
                    <xdr:row>402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9" name="Button 80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415</xdr:row>
                    <xdr:rowOff>28575</xdr:rowOff>
                  </from>
                  <to>
                    <xdr:col>1</xdr:col>
                    <xdr:colOff>733425</xdr:colOff>
                    <xdr:row>416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0" name="Button 81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429</xdr:row>
                    <xdr:rowOff>28575</xdr:rowOff>
                  </from>
                  <to>
                    <xdr:col>1</xdr:col>
                    <xdr:colOff>733425</xdr:colOff>
                    <xdr:row>430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459</xdr:row>
                    <xdr:rowOff>28575</xdr:rowOff>
                  </from>
                  <to>
                    <xdr:col>1</xdr:col>
                    <xdr:colOff>733425</xdr:colOff>
                    <xdr:row>460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459</xdr:row>
                    <xdr:rowOff>28575</xdr:rowOff>
                  </from>
                  <to>
                    <xdr:col>1</xdr:col>
                    <xdr:colOff>733425</xdr:colOff>
                    <xdr:row>460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473</xdr:row>
                    <xdr:rowOff>28575</xdr:rowOff>
                  </from>
                  <to>
                    <xdr:col>1</xdr:col>
                    <xdr:colOff>733425</xdr:colOff>
                    <xdr:row>474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473</xdr:row>
                    <xdr:rowOff>28575</xdr:rowOff>
                  </from>
                  <to>
                    <xdr:col>1</xdr:col>
                    <xdr:colOff>733425</xdr:colOff>
                    <xdr:row>474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487</xdr:row>
                    <xdr:rowOff>28575</xdr:rowOff>
                  </from>
                  <to>
                    <xdr:col>1</xdr:col>
                    <xdr:colOff>733425</xdr:colOff>
                    <xdr:row>488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487</xdr:row>
                    <xdr:rowOff>28575</xdr:rowOff>
                  </from>
                  <to>
                    <xdr:col>1</xdr:col>
                    <xdr:colOff>733425</xdr:colOff>
                    <xdr:row>488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501</xdr:row>
                    <xdr:rowOff>28575</xdr:rowOff>
                  </from>
                  <to>
                    <xdr:col>1</xdr:col>
                    <xdr:colOff>733425</xdr:colOff>
                    <xdr:row>502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501</xdr:row>
                    <xdr:rowOff>28575</xdr:rowOff>
                  </from>
                  <to>
                    <xdr:col>1</xdr:col>
                    <xdr:colOff>733425</xdr:colOff>
                    <xdr:row>502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515</xdr:row>
                    <xdr:rowOff>28575</xdr:rowOff>
                  </from>
                  <to>
                    <xdr:col>1</xdr:col>
                    <xdr:colOff>733425</xdr:colOff>
                    <xdr:row>516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515</xdr:row>
                    <xdr:rowOff>28575</xdr:rowOff>
                  </from>
                  <to>
                    <xdr:col>1</xdr:col>
                    <xdr:colOff>733425</xdr:colOff>
                    <xdr:row>516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529</xdr:row>
                    <xdr:rowOff>28575</xdr:rowOff>
                  </from>
                  <to>
                    <xdr:col>1</xdr:col>
                    <xdr:colOff>733425</xdr:colOff>
                    <xdr:row>530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529</xdr:row>
                    <xdr:rowOff>28575</xdr:rowOff>
                  </from>
                  <to>
                    <xdr:col>1</xdr:col>
                    <xdr:colOff>733425</xdr:colOff>
                    <xdr:row>530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543</xdr:row>
                    <xdr:rowOff>28575</xdr:rowOff>
                  </from>
                  <to>
                    <xdr:col>1</xdr:col>
                    <xdr:colOff>733425</xdr:colOff>
                    <xdr:row>544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543</xdr:row>
                    <xdr:rowOff>28575</xdr:rowOff>
                  </from>
                  <to>
                    <xdr:col>1</xdr:col>
                    <xdr:colOff>733425</xdr:colOff>
                    <xdr:row>544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557</xdr:row>
                    <xdr:rowOff>28575</xdr:rowOff>
                  </from>
                  <to>
                    <xdr:col>1</xdr:col>
                    <xdr:colOff>733425</xdr:colOff>
                    <xdr:row>558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557</xdr:row>
                    <xdr:rowOff>28575</xdr:rowOff>
                  </from>
                  <to>
                    <xdr:col>1</xdr:col>
                    <xdr:colOff>733425</xdr:colOff>
                    <xdr:row>558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571</xdr:row>
                    <xdr:rowOff>28575</xdr:rowOff>
                  </from>
                  <to>
                    <xdr:col>1</xdr:col>
                    <xdr:colOff>733425</xdr:colOff>
                    <xdr:row>572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571</xdr:row>
                    <xdr:rowOff>28575</xdr:rowOff>
                  </from>
                  <to>
                    <xdr:col>1</xdr:col>
                    <xdr:colOff>733425</xdr:colOff>
                    <xdr:row>572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585</xdr:row>
                    <xdr:rowOff>28575</xdr:rowOff>
                  </from>
                  <to>
                    <xdr:col>1</xdr:col>
                    <xdr:colOff>733425</xdr:colOff>
                    <xdr:row>586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jumpToLeague_NALCS_Click" altText="League of Legends">
                <anchor moveWithCells="1" sizeWithCells="1">
                  <from>
                    <xdr:col>0</xdr:col>
                    <xdr:colOff>28575</xdr:colOff>
                    <xdr:row>585</xdr:row>
                    <xdr:rowOff>28575</xdr:rowOff>
                  </from>
                  <to>
                    <xdr:col>1</xdr:col>
                    <xdr:colOff>733425</xdr:colOff>
                    <xdr:row>586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jumpToLeague_LMS_Click" altText="League of Legends">
                <anchor moveWithCells="1" sizeWithCells="1">
                  <from>
                    <xdr:col>1</xdr:col>
                    <xdr:colOff>104775</xdr:colOff>
                    <xdr:row>55</xdr:row>
                    <xdr:rowOff>142875</xdr:rowOff>
                  </from>
                  <to>
                    <xdr:col>2</xdr:col>
                    <xdr:colOff>647700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jumptToLeague_LMS_Week1_Click" altText="League of Legends">
                <anchor moveWithCells="1" sizeWithCells="1">
                  <from>
                    <xdr:col>1</xdr:col>
                    <xdr:colOff>142875</xdr:colOff>
                    <xdr:row>119</xdr:row>
                    <xdr:rowOff>104775</xdr:rowOff>
                  </from>
                  <to>
                    <xdr:col>3</xdr:col>
                    <xdr:colOff>266700</xdr:colOff>
                    <xdr:row>120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3" name="Button 105">
              <controlPr defaultSize="0" print="0" autoFill="0" autoPict="0" macro="[0]!jumptToLeague_LMS_Week2_Click" altText="League of Legends">
                <anchor moveWithCells="1" sizeWithCells="1">
                  <from>
                    <xdr:col>1</xdr:col>
                    <xdr:colOff>142875</xdr:colOff>
                    <xdr:row>121</xdr:row>
                    <xdr:rowOff>104775</xdr:rowOff>
                  </from>
                  <to>
                    <xdr:col>3</xdr:col>
                    <xdr:colOff>266700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4" name="Button 106">
              <controlPr defaultSize="0" print="0" autoFill="0" autoPict="0" macro="[0]!jumptToLeague_LMS_Week3_Click" altText="League of Legends">
                <anchor moveWithCells="1" sizeWithCells="1">
                  <from>
                    <xdr:col>1</xdr:col>
                    <xdr:colOff>142875</xdr:colOff>
                    <xdr:row>123</xdr:row>
                    <xdr:rowOff>104775</xdr:rowOff>
                  </from>
                  <to>
                    <xdr:col>3</xdr:col>
                    <xdr:colOff>266700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5" name="Button 107">
              <controlPr defaultSize="0" print="0" autoFill="0" autoPict="0" macro="[0]!jumptToLeague_LMS_Week4_Click" altText="League of Legends">
                <anchor moveWithCells="1" sizeWithCells="1">
                  <from>
                    <xdr:col>3</xdr:col>
                    <xdr:colOff>371475</xdr:colOff>
                    <xdr:row>119</xdr:row>
                    <xdr:rowOff>104775</xdr:rowOff>
                  </from>
                  <to>
                    <xdr:col>5</xdr:col>
                    <xdr:colOff>228600</xdr:colOff>
                    <xdr:row>120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6" name="Button 108">
              <controlPr defaultSize="0" print="0" autoFill="0" autoPict="0" macro="[0]!jumptToLeague_LMS_Week5_Click" altText="League of Legends">
                <anchor moveWithCells="1" sizeWithCells="1">
                  <from>
                    <xdr:col>3</xdr:col>
                    <xdr:colOff>371475</xdr:colOff>
                    <xdr:row>121</xdr:row>
                    <xdr:rowOff>104775</xdr:rowOff>
                  </from>
                  <to>
                    <xdr:col>5</xdr:col>
                    <xdr:colOff>228600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7" name="Button 109">
              <controlPr defaultSize="0" print="0" autoFill="0" autoPict="0" macro="[0]!jumptToLeague_LMS_Week6_Click" altText="League of Legends">
                <anchor moveWithCells="1" sizeWithCells="1">
                  <from>
                    <xdr:col>3</xdr:col>
                    <xdr:colOff>371475</xdr:colOff>
                    <xdr:row>123</xdr:row>
                    <xdr:rowOff>104775</xdr:rowOff>
                  </from>
                  <to>
                    <xdr:col>5</xdr:col>
                    <xdr:colOff>228600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8" name="Button 110">
              <controlPr defaultSize="0" print="0" autoFill="0" autoPict="0" macro="[0]!jumptToLeague_LMS_Week7_Click" altText="League of Legends">
                <anchor moveWithCells="1" sizeWithCells="1">
                  <from>
                    <xdr:col>5</xdr:col>
                    <xdr:colOff>352425</xdr:colOff>
                    <xdr:row>119</xdr:row>
                    <xdr:rowOff>104775</xdr:rowOff>
                  </from>
                  <to>
                    <xdr:col>8</xdr:col>
                    <xdr:colOff>266700</xdr:colOff>
                    <xdr:row>120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9" name="Button 111">
              <controlPr defaultSize="0" print="0" autoFill="0" autoPict="0" macro="[0]!jumptToLeague_LMS_Week8_Click" altText="League of Legends">
                <anchor moveWithCells="1" sizeWithCells="1">
                  <from>
                    <xdr:col>5</xdr:col>
                    <xdr:colOff>352425</xdr:colOff>
                    <xdr:row>121</xdr:row>
                    <xdr:rowOff>104775</xdr:rowOff>
                  </from>
                  <to>
                    <xdr:col>8</xdr:col>
                    <xdr:colOff>266700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0" name="Button 112">
              <controlPr defaultSize="0" print="0" autoFill="0" autoPict="0" macro="[0]!jumptToLeague_LMS_Week9_Click" altText="League of Legends">
                <anchor moveWithCells="1" sizeWithCells="1">
                  <from>
                    <xdr:col>5</xdr:col>
                    <xdr:colOff>352425</xdr:colOff>
                    <xdr:row>123</xdr:row>
                    <xdr:rowOff>104775</xdr:rowOff>
                  </from>
                  <to>
                    <xdr:col>8</xdr:col>
                    <xdr:colOff>266700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1" name="Button 113">
              <controlPr defaultSize="0" print="0" autoFill="0" autoPict="0" macro="[0]!jumptToLeague_LMS_Week10_Click" altText="League of Legends">
                <anchor moveWithCells="1" sizeWithCells="1">
                  <from>
                    <xdr:col>8</xdr:col>
                    <xdr:colOff>371475</xdr:colOff>
                    <xdr:row>119</xdr:row>
                    <xdr:rowOff>104775</xdr:rowOff>
                  </from>
                  <to>
                    <xdr:col>10</xdr:col>
                    <xdr:colOff>276225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2" name="Button 114">
              <controlPr defaultSize="0" print="0" autoFill="0" autoPict="0" macro="[0]!jumpToLeague_Click" altText="League of Legends">
                <anchor moveWithCells="1" sizeWithCells="1">
                  <from>
                    <xdr:col>9</xdr:col>
                    <xdr:colOff>104775</xdr:colOff>
                    <xdr:row>123</xdr:row>
                    <xdr:rowOff>104775</xdr:rowOff>
                  </from>
                  <to>
                    <xdr:col>10</xdr:col>
                    <xdr:colOff>276225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03" name="Button 11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615</xdr:row>
                    <xdr:rowOff>28575</xdr:rowOff>
                  </from>
                  <to>
                    <xdr:col>1</xdr:col>
                    <xdr:colOff>733425</xdr:colOff>
                    <xdr:row>616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4" name="Button 116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615</xdr:row>
                    <xdr:rowOff>28575</xdr:rowOff>
                  </from>
                  <to>
                    <xdr:col>1</xdr:col>
                    <xdr:colOff>733425</xdr:colOff>
                    <xdr:row>616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5" name="Button 11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629</xdr:row>
                    <xdr:rowOff>28575</xdr:rowOff>
                  </from>
                  <to>
                    <xdr:col>1</xdr:col>
                    <xdr:colOff>733425</xdr:colOff>
                    <xdr:row>630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6" name="Button 118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629</xdr:row>
                    <xdr:rowOff>28575</xdr:rowOff>
                  </from>
                  <to>
                    <xdr:col>1</xdr:col>
                    <xdr:colOff>733425</xdr:colOff>
                    <xdr:row>630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07" name="Button 11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643</xdr:row>
                    <xdr:rowOff>28575</xdr:rowOff>
                  </from>
                  <to>
                    <xdr:col>1</xdr:col>
                    <xdr:colOff>733425</xdr:colOff>
                    <xdr:row>644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08" name="Button 120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643</xdr:row>
                    <xdr:rowOff>28575</xdr:rowOff>
                  </from>
                  <to>
                    <xdr:col>1</xdr:col>
                    <xdr:colOff>733425</xdr:colOff>
                    <xdr:row>644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09" name="Button 121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657</xdr:row>
                    <xdr:rowOff>28575</xdr:rowOff>
                  </from>
                  <to>
                    <xdr:col>1</xdr:col>
                    <xdr:colOff>733425</xdr:colOff>
                    <xdr:row>658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0" name="Button 122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657</xdr:row>
                    <xdr:rowOff>28575</xdr:rowOff>
                  </from>
                  <to>
                    <xdr:col>1</xdr:col>
                    <xdr:colOff>733425</xdr:colOff>
                    <xdr:row>658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1" name="Button 12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671</xdr:row>
                    <xdr:rowOff>28575</xdr:rowOff>
                  </from>
                  <to>
                    <xdr:col>1</xdr:col>
                    <xdr:colOff>733425</xdr:colOff>
                    <xdr:row>672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12" name="Button 124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671</xdr:row>
                    <xdr:rowOff>28575</xdr:rowOff>
                  </from>
                  <to>
                    <xdr:col>1</xdr:col>
                    <xdr:colOff>733425</xdr:colOff>
                    <xdr:row>672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3" name="Button 125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685</xdr:row>
                    <xdr:rowOff>28575</xdr:rowOff>
                  </from>
                  <to>
                    <xdr:col>1</xdr:col>
                    <xdr:colOff>733425</xdr:colOff>
                    <xdr:row>686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4" name="Button 126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685</xdr:row>
                    <xdr:rowOff>28575</xdr:rowOff>
                  </from>
                  <to>
                    <xdr:col>1</xdr:col>
                    <xdr:colOff>733425</xdr:colOff>
                    <xdr:row>686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5" name="Button 127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699</xdr:row>
                    <xdr:rowOff>28575</xdr:rowOff>
                  </from>
                  <to>
                    <xdr:col>1</xdr:col>
                    <xdr:colOff>733425</xdr:colOff>
                    <xdr:row>700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6" name="Button 128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699</xdr:row>
                    <xdr:rowOff>28575</xdr:rowOff>
                  </from>
                  <to>
                    <xdr:col>1</xdr:col>
                    <xdr:colOff>733425</xdr:colOff>
                    <xdr:row>700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7" name="Button 129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713</xdr:row>
                    <xdr:rowOff>28575</xdr:rowOff>
                  </from>
                  <to>
                    <xdr:col>1</xdr:col>
                    <xdr:colOff>733425</xdr:colOff>
                    <xdr:row>714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8" name="Button 130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713</xdr:row>
                    <xdr:rowOff>28575</xdr:rowOff>
                  </from>
                  <to>
                    <xdr:col>1</xdr:col>
                    <xdr:colOff>733425</xdr:colOff>
                    <xdr:row>714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9" name="Button 131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727</xdr:row>
                    <xdr:rowOff>28575</xdr:rowOff>
                  </from>
                  <to>
                    <xdr:col>1</xdr:col>
                    <xdr:colOff>733425</xdr:colOff>
                    <xdr:row>728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20" name="Button 132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727</xdr:row>
                    <xdr:rowOff>28575</xdr:rowOff>
                  </from>
                  <to>
                    <xdr:col>1</xdr:col>
                    <xdr:colOff>733425</xdr:colOff>
                    <xdr:row>728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21" name="Button 13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741</xdr:row>
                    <xdr:rowOff>28575</xdr:rowOff>
                  </from>
                  <to>
                    <xdr:col>1</xdr:col>
                    <xdr:colOff>733425</xdr:colOff>
                    <xdr:row>742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22" name="Button 134">
              <controlPr defaultSize="0" print="0" autoFill="0" autoPict="0" macro="[0]!jumpToLeague_LMS_Click" altText="League of Legends">
                <anchor moveWithCells="1" sizeWithCells="1">
                  <from>
                    <xdr:col>0</xdr:col>
                    <xdr:colOff>28575</xdr:colOff>
                    <xdr:row>741</xdr:row>
                    <xdr:rowOff>28575</xdr:rowOff>
                  </from>
                  <to>
                    <xdr:col>1</xdr:col>
                    <xdr:colOff>733425</xdr:colOff>
                    <xdr:row>742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23" name="Button 138">
              <controlPr defaultSize="0" print="0" autoFill="0" autoPict="0" macro="[0]!jumpToRiftWars_Click" altText="League of Legends">
                <anchor moveWithCells="1" sizeWithCells="1">
                  <from>
                    <xdr:col>3</xdr:col>
                    <xdr:colOff>104775</xdr:colOff>
                    <xdr:row>49</xdr:row>
                    <xdr:rowOff>114300</xdr:rowOff>
                  </from>
                  <to>
                    <xdr:col>3</xdr:col>
                    <xdr:colOff>1628775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4" name="Button 142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147</xdr:row>
                    <xdr:rowOff>28575</xdr:rowOff>
                  </from>
                  <to>
                    <xdr:col>1</xdr:col>
                    <xdr:colOff>733425</xdr:colOff>
                    <xdr:row>148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25" name="Button 143">
              <controlPr defaultSize="0" print="0" autoFill="0" autoPict="0" macro="[0]!jumpToLeague_LCK_Click" altText="League of Legends">
                <anchor moveWithCells="1" sizeWithCells="1">
                  <from>
                    <xdr:col>0</xdr:col>
                    <xdr:colOff>28575</xdr:colOff>
                    <xdr:row>303</xdr:row>
                    <xdr:rowOff>28575</xdr:rowOff>
                  </from>
                  <to>
                    <xdr:col>1</xdr:col>
                    <xdr:colOff>733425</xdr:colOff>
                    <xdr:row>304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26" name="Button 144">
              <controlPr defaultSize="0" print="0" autoFill="0" autoPict="0" macro="[0]!jumpToLeague_EULCS_Click" altText="League of Legends">
                <anchor moveWithCells="1" sizeWithCells="1">
                  <from>
                    <xdr:col>0</xdr:col>
                    <xdr:colOff>28575</xdr:colOff>
                    <xdr:row>303</xdr:row>
                    <xdr:rowOff>28575</xdr:rowOff>
                  </from>
                  <to>
                    <xdr:col>1</xdr:col>
                    <xdr:colOff>733425</xdr:colOff>
                    <xdr:row>304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27" name="Button 145">
              <controlPr defaultSize="0" print="0" autoFill="0" autoPict="0">
                <anchor moveWithCells="1" sizeWithCells="1">
                  <from>
                    <xdr:col>22</xdr:col>
                    <xdr:colOff>685800</xdr:colOff>
                    <xdr:row>3</xdr:row>
                    <xdr:rowOff>19050</xdr:rowOff>
                  </from>
                  <to>
                    <xdr:col>25</xdr:col>
                    <xdr:colOff>533400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8" name="Button 146">
              <controlPr defaultSize="0" print="0" autoFill="0" autoPict="0" macro="[0]!Import_Percentages">
                <anchor moveWithCells="1" sizeWithCells="1">
                  <from>
                    <xdr:col>22</xdr:col>
                    <xdr:colOff>704850</xdr:colOff>
                    <xdr:row>6</xdr:row>
                    <xdr:rowOff>38100</xdr:rowOff>
                  </from>
                  <to>
                    <xdr:col>25</xdr:col>
                    <xdr:colOff>561975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9" name="Button 147">
              <controlPr defaultSize="0" print="0" autoFill="0" autoPict="0" macro="[0]!Delete_Percentages">
                <anchor moveWithCells="1" sizeWithCells="1">
                  <from>
                    <xdr:col>25</xdr:col>
                    <xdr:colOff>714375</xdr:colOff>
                    <xdr:row>6</xdr:row>
                    <xdr:rowOff>9525</xdr:rowOff>
                  </from>
                  <to>
                    <xdr:col>28</xdr:col>
                    <xdr:colOff>657225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Benjamin Thorand</cp:lastModifiedBy>
  <dcterms:created xsi:type="dcterms:W3CDTF">2017-05-31T13:55:13Z</dcterms:created>
  <dcterms:modified xsi:type="dcterms:W3CDTF">2018-05-20T19:02:38Z</dcterms:modified>
</cp:coreProperties>
</file>